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PC List" sheetId="1" r:id="rId5"/>
    <sheet state="visible" name="Hairstyles" sheetId="2" r:id="rId6"/>
    <sheet state="visible" name="Hairstyle Requirements" sheetId="3" r:id="rId7"/>
    <sheet state="visible" name="Races" sheetId="4" r:id="rId8"/>
    <sheet state="visible" name="Screenshot Creation" sheetId="5" r:id="rId9"/>
  </sheets>
  <definedNames>
    <definedName name="Argonian_Female">#REF!</definedName>
    <definedName name="Human_Male">#REF!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tc={09a94faa-b3ec-44be-b9dc-df5e393c2b3f}</author>
    <author>tc={24ad3ac6-ddfe-4cc3-ae57-4d6d1eb41829}</author>
    <author>tc={29457d3e-8721-4177-97be-6a6b45883bba}</author>
    <author>tc={46843d71-5ef8-499b-a646-16e548ccd5f1}</author>
    <author>tc={82df73a6-aa2c-498e-a06d-240f99bbf58e}</author>
    <author>tc={ac5cd1ad-f4a2-499c-a91c-ab26787f52c2}</author>
    <author>tc={b718b5ba-23dd-42f0-a841-a93c0e853021}</author>
    <author>tc={bdbaf637-99b1-45b7-9ec4-fe92ec29fe6f}</author>
    <author>tc={c0998ca5-f2bc-4988-916b-5e0df328f808}</author>
    <author>tc={d3f2ce71-fdc0-45c3-9069-33010ea251c2}</author>
    <author>tc={ee48a2ae-5583-41f1-8fc6-fe69f7420bfb}</author>
    <author>tc={f3503ee6-8cd2-49d3-9f6a-07a58e36f907}</author>
  </authors>
  <commentList>
    <comment authorId="0" xr:uid="{09a94faa-b3ec-44be-b9dc-df5e393c2b3f}" ref="A1">
      <text>
        <t xml:space="preserve">[Threaded comment]
 Your version of Excel allows you to read this threaded comment; however, any edits to it will get removed if the file is opened in a newer version of Excel. Learn more: https://go.microsoft.com/fwlink/?linkid=870924
Comment:
	Add an X (or anything) here to have the NPC's vanilla hairstyle commented out in the SPID form. It will automatically be commented out if an alternate hairstyle is added.
</t>
      </text>
    </comment>
    <comment authorId="1" xr:uid="{24ad3ac6-ddfe-4cc3-ae57-4d6d1eb41829}" ref="A1">
      <text>
        <t xml:space="preserve">[Threaded comment]
 Your version of Excel allows you to read this threaded comment; however, any edits to it will get removed if the file is opened in a newer version of Excel. Learn more: https://go.microsoft.com/fwlink/?linkid=870924
Comment:
	Race is used to check the validity of the chosen wig.
</t>
      </text>
    </comment>
    <comment authorId="2" xr:uid="{29457d3e-8721-4177-97be-6a6b45883bba}" ref="A1">
      <text>
        <t xml:space="preserve">[Threaded comment]
 Your version of Excel allows you to read this threaded comment; however, any edits to it will get removed if the file is opened in a newer version of Excel. Learn more: https://go.microsoft.com/fwlink/?linkid=870924
Comment:
	Add an X (or anything) here to have the NPC's alternate hairstyle commented out in the SPID form.
</t>
      </text>
    </comment>
    <comment authorId="3" xr:uid="{46843d71-5ef8-499b-a646-16e548ccd5f1}" ref="A1">
      <text>
        <t xml:space="preserve">[Threaded comment]
 Your version of Excel allows you to read this threaded comment; however, any edits to it will get removed if the file is opened in a newer version of Excel. Learn more: https://go.microsoft.com/fwlink/?linkid=870924
Comment:
	The NPC's Vanilla Hairstyle. This will appear in the SPID form, but can be overridden by choosing an alternate hairstyle.
</t>
      </text>
    </comment>
    <comment authorId="4" xr:uid="{82df73a6-aa2c-498e-a06d-240f99bbf58e}" ref="A1">
      <text>
        <t xml:space="preserve">[Threaded comment]
 Your version of Excel allows you to read this threaded comment; however, any edits to it will get removed if the file is opened in a newer version of Excel. Learn more: https://go.microsoft.com/fwlink/?linkid=870924
Comment:
	Automatically generated based on all the other columns. 
Highlight this whole column (except the header) and copy/paste it into your SPID distribution ini file.
</t>
      </text>
    </comment>
    <comment authorId="5" xr:uid="{ac5cd1ad-f4a2-499c-a91c-ab26787f52c2}" ref="A1">
      <text>
        <t xml:space="preserve">[Threaded comment]
 Your version of Excel allows you to read this threaded comment; however, any edits to it will get removed if the file is opened in a newer version of Excel. Learn more: https://go.microsoft.com/fwlink/?linkid=870924
Comment:
	The name of the NPC's Vanilla Hairstyle.
</t>
      </text>
    </comment>
    <comment authorId="6" xr:uid="{b718b5ba-23dd-42f0-a841-a93c0e853021}" ref="A1">
      <text>
        <t xml:space="preserve">[Threaded comment]
 Your version of Excel allows you to read this threaded comment; however, any edits to it will get removed if the file is opened in a newer version of Excel. Learn more: https://go.microsoft.com/fwlink/?linkid=870924
Comment:
	Enter an NPC's EditorID here. If it's in the "NPC List" tab, the NPC's info will automatically populate in the other columns.
</t>
      </text>
    </comment>
    <comment authorId="7" xr:uid="{bdbaf637-99b1-45b7-9ec4-fe92ec29fe6f}" ref="A1">
      <text>
        <t xml:space="preserve">[Threaded comment]
 Your version of Excel allows you to read this threaded comment; however, any edits to it will get removed if the file is opened in a newer version of Excel. Learn more: https://go.microsoft.com/fwlink/?linkid=870924
Comment:
	Select an alternate hairstyle if you want. The vanilla hairstyle will be commented out in the SPID form if anything is entered here.
Dropdown options are based on the NPC's hair category.
</t>
      </text>
    </comment>
    <comment authorId="8" xr:uid="{c0998ca5-f2bc-4988-916b-5e0df328f808}" ref="A1">
      <text>
        <t xml:space="preserve">[Threaded comment]
 Your version of Excel allows you to read this threaded comment; however, any edits to it will get removed if the file is opened in a newer version of Excel. Learn more: https://go.microsoft.com/fwlink/?linkid=870924
Comment:
	Notes will appear next to the NPC's name in the SPID form.
</t>
      </text>
    </comment>
    <comment authorId="9" xr:uid="{d3f2ce71-fdc0-45c3-9069-33010ea251c2}" ref="A1">
      <text>
        <t xml:space="preserve">[Threaded comment]
 Your version of Excel allows you to read this threaded comment; however, any edits to it will get removed if the file is opened in a newer version of Excel. Learn more: https://go.microsoft.com/fwlink/?linkid=870924
Comment:
	Gender is used to check the validity of the chosen wig.
</t>
      </text>
    </comment>
    <comment authorId="10" xr:uid="{ee48a2ae-5583-41f1-8fc6-fe69f7420bfb}" ref="A1">
      <text>
        <t xml:space="preserve">[Threaded comment]
 Your version of Excel allows you to read this threaded comment; however, any edits to it will get removed if the file is opened in a newer version of Excel. Learn more: https://go.microsoft.com/fwlink/?linkid=870924
Comment:
	The FormID can be handy when running player.placeatme commands in-game to see how the new hairstyle looks.
</t>
      </text>
    </comment>
    <comment authorId="11" xr:uid="{f3503ee6-8cd2-49d3-9f6a-07a58e36f907}" ref="A1">
      <text>
        <t xml:space="preserve">[Threaded comment]
 Your version of Excel allows you to read this threaded comment; however, any edits to it will get removed if the file is opened in a newer version of Excel. Learn more: https://go.microsoft.com/fwlink/?linkid=870924
Comment:
	Used to determine which hairstyles are available to the NPC
</t>
      </text>
    </comment>
  </commentList>
</comments>
</file>

<file path=xl/sharedStrings.xml><?xml version="1.0" encoding="utf-8"?>
<sst xmlns="http://schemas.openxmlformats.org/spreadsheetml/2006/main" count="32152" uniqueCount="11068">
  <si>
    <t>RequirementID</t>
  </si>
  <si>
    <t>Race Group</t>
  </si>
  <si>
    <t>Link Text</t>
  </si>
  <si>
    <t>Link</t>
  </si>
  <si>
    <t>VHR</t>
  </si>
  <si>
    <t>Race EditorID</t>
  </si>
  <si>
    <t>Race Name</t>
  </si>
  <si>
    <t>Race Type</t>
  </si>
  <si>
    <t>Vanilla Hair Remake (Main file)</t>
  </si>
  <si>
    <t>Vanilla - Main</t>
  </si>
  <si>
    <t>EditorID</t>
  </si>
  <si>
    <t>https://www.nexusmods.com/skyrimspecialedition/mods/63979</t>
  </si>
  <si>
    <t>ArgonianRace</t>
  </si>
  <si>
    <t>FormID</t>
  </si>
  <si>
    <t>Argonian</t>
  </si>
  <si>
    <t>Name</t>
  </si>
  <si>
    <t>Race</t>
  </si>
  <si>
    <t>Gender</t>
  </si>
  <si>
    <t>Hairstyle</t>
  </si>
  <si>
    <t>Leveled</t>
  </si>
  <si>
    <t>Template</t>
  </si>
  <si>
    <t>TemplateUseTraits</t>
  </si>
  <si>
    <t>BretonRace</t>
  </si>
  <si>
    <t>ReferencedByLVLN</t>
  </si>
  <si>
    <t>Breton</t>
  </si>
  <si>
    <t>ExcludeDescendants</t>
  </si>
  <si>
    <t>Human</t>
  </si>
  <si>
    <t>FaceSharingDescendants</t>
  </si>
  <si>
    <t>LeveledFaceSharingDescendants</t>
  </si>
  <si>
    <t>Abelone</t>
  </si>
  <si>
    <t>DarkElfRace</t>
  </si>
  <si>
    <t>0008774F</t>
  </si>
  <si>
    <t>Dark Elf</t>
  </si>
  <si>
    <t>Elf</t>
  </si>
  <si>
    <t>NordRace</t>
  </si>
  <si>
    <t>Female</t>
  </si>
  <si>
    <t>HairFemaleNord07</t>
  </si>
  <si>
    <t>AcolyteJenssen</t>
  </si>
  <si>
    <t>ElderRace</t>
  </si>
  <si>
    <t>000D3E79</t>
  </si>
  <si>
    <t>Elder</t>
  </si>
  <si>
    <t>Acolyte Jenssen</t>
  </si>
  <si>
    <t>Male</t>
  </si>
  <si>
    <t>HairMaleNord05</t>
  </si>
  <si>
    <t>Adara</t>
  </si>
  <si>
    <t>00013385</t>
  </si>
  <si>
    <t>HighElfRace</t>
  </si>
  <si>
    <t>High Elf</t>
  </si>
  <si>
    <t>RedguardRaceChild</t>
  </si>
  <si>
    <t>HairFemaleRedguardChild01</t>
  </si>
  <si>
    <t>ImperialRace</t>
  </si>
  <si>
    <t>Imperial</t>
  </si>
  <si>
    <t>Addvar</t>
  </si>
  <si>
    <t>00013255</t>
  </si>
  <si>
    <t>HairMaleNord09</t>
  </si>
  <si>
    <t>KhajiitRace</t>
  </si>
  <si>
    <t>Addvild</t>
  </si>
  <si>
    <t>Khajiit</t>
  </si>
  <si>
    <t>00019DC7</t>
  </si>
  <si>
    <t>Adeber</t>
  </si>
  <si>
    <t>VHRWU</t>
  </si>
  <si>
    <t>Nord</t>
  </si>
  <si>
    <t>000661AD</t>
  </si>
  <si>
    <t>Vanilla Hair Remake Wigs Unlocked</t>
  </si>
  <si>
    <t>https://www.nexusmods.com/skyrimspecialedition/mods/187429</t>
  </si>
  <si>
    <t>HairMaleNord07</t>
  </si>
  <si>
    <t>Adelaisa</t>
  </si>
  <si>
    <t>OrcRace</t>
  </si>
  <si>
    <t>0001411D</t>
  </si>
  <si>
    <t>Orc</t>
  </si>
  <si>
    <t>Adelaisa Vendicci</t>
  </si>
  <si>
    <t>HairFemaleNord11</t>
  </si>
  <si>
    <t>1</t>
  </si>
  <si>
    <t>Adisla</t>
  </si>
  <si>
    <t>RedguardRace</t>
  </si>
  <si>
    <t>0001411E</t>
  </si>
  <si>
    <t>Redguard</t>
  </si>
  <si>
    <t>HairFemaleNord05</t>
  </si>
  <si>
    <t>AdonatoLeotelli</t>
  </si>
  <si>
    <t>0001413C</t>
  </si>
  <si>
    <t>WoodElfRace</t>
  </si>
  <si>
    <t>Adonato Leotelli</t>
  </si>
  <si>
    <t>Wood Elf</t>
  </si>
  <si>
    <t>HairMaleElder4</t>
  </si>
  <si>
    <t>AdrianneAvenicci</t>
  </si>
  <si>
    <t>Vanilla - Vampire</t>
  </si>
  <si>
    <t>00013BB9</t>
  </si>
  <si>
    <t>Adrianne Avenicci</t>
  </si>
  <si>
    <t>ArgonianRaceVampire</t>
  </si>
  <si>
    <t>Argonian Vampire</t>
  </si>
  <si>
    <t>HairFemaleNord14</t>
  </si>
  <si>
    <t>AduriSarethi</t>
  </si>
  <si>
    <t>00019BFF</t>
  </si>
  <si>
    <t>Aduri Sarethi</t>
  </si>
  <si>
    <t>BretonRaceVampire</t>
  </si>
  <si>
    <t>Breton Vampire</t>
  </si>
  <si>
    <t>HairFemaleDarkElf01</t>
  </si>
  <si>
    <t>AelaTheHuntress</t>
  </si>
  <si>
    <t>0001A696</t>
  </si>
  <si>
    <t>Aela the Huntress</t>
  </si>
  <si>
    <t>Dint02</t>
  </si>
  <si>
    <t>DarkElfRaceVampire</t>
  </si>
  <si>
    <t>Dint Hair Pack 02</t>
  </si>
  <si>
    <t>Dark Elf Vampire</t>
  </si>
  <si>
    <t>HairFemaleNord18</t>
  </si>
  <si>
    <t>https://www.patreon.com/dint999/posts/hairpack02-hdt-1-29917266</t>
  </si>
  <si>
    <t>Aeri</t>
  </si>
  <si>
    <t>0001360B</t>
  </si>
  <si>
    <t>ElderRaceVampire</t>
  </si>
  <si>
    <t>Elder Vampire</t>
  </si>
  <si>
    <t>HairFemaleNord15</t>
  </si>
  <si>
    <t>Aerin</t>
  </si>
  <si>
    <t>00013346</t>
  </si>
  <si>
    <t>HairMaleNord15</t>
  </si>
  <si>
    <t>Agna</t>
  </si>
  <si>
    <t>000A9599</t>
  </si>
  <si>
    <t>HighElfRaceVampire</t>
  </si>
  <si>
    <t>High Elf Vampire</t>
  </si>
  <si>
    <t>HairFemaleNord09</t>
  </si>
  <si>
    <t>TreasCorpseBanditNordFemale</t>
  </si>
  <si>
    <t>Agni</t>
  </si>
  <si>
    <t>000135E5</t>
  </si>
  <si>
    <t>ImperialRaceVampire</t>
  </si>
  <si>
    <t>Imperial Vampire</t>
  </si>
  <si>
    <t>NordRaceChild</t>
  </si>
  <si>
    <t>HairFemaleNordChild01</t>
  </si>
  <si>
    <t>Agnis</t>
  </si>
  <si>
    <t>KhajiitRaceVampire</t>
  </si>
  <si>
    <t>00020044</t>
  </si>
  <si>
    <t>Khajiit Vampire</t>
  </si>
  <si>
    <t>Ahkari</t>
  </si>
  <si>
    <t>0001B1D6</t>
  </si>
  <si>
    <t>NordRaceVampire</t>
  </si>
  <si>
    <t>Nord Vampire</t>
  </si>
  <si>
    <t>HairKhajiit00</t>
  </si>
  <si>
    <t>Ahlam</t>
  </si>
  <si>
    <t>00013BBE</t>
  </si>
  <si>
    <t>OrcRaceVampire</t>
  </si>
  <si>
    <t>Orc Vampire</t>
  </si>
  <si>
    <t>Ahtar</t>
  </si>
  <si>
    <t>0001325F</t>
  </si>
  <si>
    <t>Dint_BDOR</t>
  </si>
  <si>
    <t>RedguardRaceVampire</t>
  </si>
  <si>
    <t>Dint BDOR Hair</t>
  </si>
  <si>
    <t>Redguard Vampire</t>
  </si>
  <si>
    <t>https://www.mediafire.com/file/ai9zz0jbh6rb3ks/%5BDint999%5D_BDOR_Hairs_SSE_0.24.7z/file</t>
  </si>
  <si>
    <t>HairMaleRedguard6</t>
  </si>
  <si>
    <t>AiaArria</t>
  </si>
  <si>
    <t>0001325C</t>
  </si>
  <si>
    <t>Aia Arria</t>
  </si>
  <si>
    <t>WoodElfRaceVampire</t>
  </si>
  <si>
    <t>Wood Elf Vampire</t>
  </si>
  <si>
    <t>Aicantar</t>
  </si>
  <si>
    <t>0001402E</t>
  </si>
  <si>
    <t>Vanilla - Children</t>
  </si>
  <si>
    <t>BretonRaceChild</t>
  </si>
  <si>
    <t>Breton Child</t>
  </si>
  <si>
    <t>HairMaleDarkElf01</t>
  </si>
  <si>
    <t>HumanChild</t>
  </si>
  <si>
    <t>Ainethach</t>
  </si>
  <si>
    <t>00013B69</t>
  </si>
  <si>
    <t>BretonRaceChildVampire</t>
  </si>
  <si>
    <t>HairMaleElder3</t>
  </si>
  <si>
    <t>Breton Child Vampire</t>
  </si>
  <si>
    <t>AlainDufont</t>
  </si>
  <si>
    <t>0001B074</t>
  </si>
  <si>
    <t>Alain Dufont</t>
  </si>
  <si>
    <t>HairMaleNord11</t>
  </si>
  <si>
    <t>ImperialRaceChild</t>
  </si>
  <si>
    <t>Alessandra</t>
  </si>
  <si>
    <t>Imperial Child</t>
  </si>
  <si>
    <t>00013347</t>
  </si>
  <si>
    <t>HairFemaleNord12</t>
  </si>
  <si>
    <t>AlexiaVici</t>
  </si>
  <si>
    <t>Nord Child</t>
  </si>
  <si>
    <t>00060B29</t>
  </si>
  <si>
    <t>Alexia Vici</t>
  </si>
  <si>
    <t>AlfhildBattleBorn</t>
  </si>
  <si>
    <t>Redguard Child</t>
  </si>
  <si>
    <t>00013BB0</t>
  </si>
  <si>
    <t>Alfhild Battle-Born</t>
  </si>
  <si>
    <t>Dint_BDOR_Addon</t>
  </si>
  <si>
    <t>Vanilla - Other</t>
  </si>
  <si>
    <t>Dint BDOR Addon</t>
  </si>
  <si>
    <t>Alva</t>
  </si>
  <si>
    <t>DA13AfflictedRace</t>
  </si>
  <si>
    <t>000135E6</t>
  </si>
  <si>
    <t>https://www.patreon.com/Caenarvon/posts/happy-new-year-119283988</t>
  </si>
  <si>
    <t>Breton (Afflicted)</t>
  </si>
  <si>
    <t>HairFemaleNord19</t>
  </si>
  <si>
    <t>Alvor</t>
  </si>
  <si>
    <t>NordRaceAstrid</t>
  </si>
  <si>
    <t>00013475</t>
  </si>
  <si>
    <t>Nord (Astrid)</t>
  </si>
  <si>
    <t>AmaundMotierre</t>
  </si>
  <si>
    <t>DLC1NordRace</t>
  </si>
  <si>
    <t>0003B43A</t>
  </si>
  <si>
    <t>Nord (DLC1)</t>
  </si>
  <si>
    <t>Amaund Motierre</t>
  </si>
  <si>
    <t>HairMaleNord12</t>
  </si>
  <si>
    <t>AmaundMotierreEnd</t>
  </si>
  <si>
    <t>SnowElfRace</t>
  </si>
  <si>
    <t>0004E64F</t>
  </si>
  <si>
    <t>Snow Elf</t>
  </si>
  <si>
    <t>Modded</t>
  </si>
  <si>
    <t>AmbarysRendar</t>
  </si>
  <si>
    <t>00DZB_BretonRace</t>
  </si>
  <si>
    <t>0001413E</t>
  </si>
  <si>
    <t>Ambarys Rendar</t>
  </si>
  <si>
    <t>COTR Breton</t>
  </si>
  <si>
    <t>COTR</t>
  </si>
  <si>
    <t>HairMaleDarkElf03</t>
  </si>
  <si>
    <t>Mod_SMP_Hair</t>
  </si>
  <si>
    <t>Modular SMP Hairstyles</t>
  </si>
  <si>
    <t>Amren</t>
  </si>
  <si>
    <t>00DZB_BretonRaceVampire</t>
  </si>
  <si>
    <t>https://www.nexusmods.com/skyrimspecialedition/mods/93608</t>
  </si>
  <si>
    <t>00013BAA</t>
  </si>
  <si>
    <t>COTR Breton Vampire</t>
  </si>
  <si>
    <t>HairMaleRedguard7</t>
  </si>
  <si>
    <t>Ancano</t>
  </si>
  <si>
    <t>00DZD_DarkElfRace</t>
  </si>
  <si>
    <t>0001E7D7</t>
  </si>
  <si>
    <t>COTR Dark Elf</t>
  </si>
  <si>
    <t>Andurs</t>
  </si>
  <si>
    <t>00DZD_DarkElfRaceVampire</t>
  </si>
  <si>
    <t>00013BA8</t>
  </si>
  <si>
    <t>COTR Dark Elf Vampire</t>
  </si>
  <si>
    <t>HairMaleRedguard1</t>
  </si>
  <si>
    <t>AngelineMorrard</t>
  </si>
  <si>
    <t>00DZH_HighElfRace</t>
  </si>
  <si>
    <t>00013260</t>
  </si>
  <si>
    <t>COTR High Elf</t>
  </si>
  <si>
    <t>Angeline Morrard</t>
  </si>
  <si>
    <t>Angrenor</t>
  </si>
  <si>
    <t>00014137</t>
  </si>
  <si>
    <t>Angrenor Once-Honored</t>
  </si>
  <si>
    <t>00DZH_HighElfRaceVampire</t>
  </si>
  <si>
    <t>HairMaleElder1</t>
  </si>
  <si>
    <t>COTR High Elf Vampire</t>
  </si>
  <si>
    <t>Angvid</t>
  </si>
  <si>
    <t>000AE77D</t>
  </si>
  <si>
    <t>00DZI_ImperialRace</t>
  </si>
  <si>
    <t>Mod_SMP_Wig</t>
  </si>
  <si>
    <t>Annekke</t>
  </si>
  <si>
    <t>COTR Imperial</t>
  </si>
  <si>
    <t>00013666</t>
  </si>
  <si>
    <t>Modular SMP Wigs</t>
  </si>
  <si>
    <t>Annekke Crag-Jumper</t>
  </si>
  <si>
    <t>https://www.nexusmods.com/skyrimspecialedition/mods/180029</t>
  </si>
  <si>
    <t>00DZI_ImperialRaceVampire</t>
  </si>
  <si>
    <t>Anoriath</t>
  </si>
  <si>
    <t>COTR Imperial Vampire</t>
  </si>
  <si>
    <t>00013B97</t>
  </si>
  <si>
    <t>Anton</t>
  </si>
  <si>
    <t>00DZN_NordRace</t>
  </si>
  <si>
    <t>00013387</t>
  </si>
  <si>
    <t>Anton Virane</t>
  </si>
  <si>
    <t>COTR Nord</t>
  </si>
  <si>
    <t>Anuriel</t>
  </si>
  <si>
    <t>00013349</t>
  </si>
  <si>
    <t>00DZN_NordRaceVampire</t>
  </si>
  <si>
    <t>COTR Nord Vampire</t>
  </si>
  <si>
    <t>HairFemaleDarkElf04</t>
  </si>
  <si>
    <t>Anwen</t>
  </si>
  <si>
    <t>00013386</t>
  </si>
  <si>
    <t>00DZO_OrcRace</t>
  </si>
  <si>
    <t>HairFemaleRedguard01</t>
  </si>
  <si>
    <t>COTR Orc</t>
  </si>
  <si>
    <t>AquilliusAeresius</t>
  </si>
  <si>
    <t>000D6AD8</t>
  </si>
  <si>
    <t>Aquillius Aeresius</t>
  </si>
  <si>
    <t>00DZO_OrcRaceVampire</t>
  </si>
  <si>
    <t>COTR Orc Vampire</t>
  </si>
  <si>
    <t>Arcadia</t>
  </si>
  <si>
    <t>00013BA4</t>
  </si>
  <si>
    <t>Kora1</t>
  </si>
  <si>
    <t>Koralina's Hair Collection 1 (Wig file)</t>
  </si>
  <si>
    <t>HairFemaleNord10</t>
  </si>
  <si>
    <t>https://www.nexusmods.com/skyrimspecialedition/mods/114769</t>
  </si>
  <si>
    <t>00DZR_RedguardRace</t>
  </si>
  <si>
    <t>ArgiFarseer</t>
  </si>
  <si>
    <t>COTR Redguard</t>
  </si>
  <si>
    <t>00013602</t>
  </si>
  <si>
    <t>Argi Farseer</t>
  </si>
  <si>
    <t>00DZR_RedguardRaceVampire</t>
  </si>
  <si>
    <t>COTR Redguard Vampire</t>
  </si>
  <si>
    <t>00DZW_WoodElfRace</t>
  </si>
  <si>
    <t>COTR Wood Elf</t>
  </si>
  <si>
    <t>ArgonianFemalePreset01</t>
  </si>
  <si>
    <t>000B2E11</t>
  </si>
  <si>
    <t>00DZW_WoodElfRaceVampire</t>
  </si>
  <si>
    <t>HairArgonianFemale00</t>
  </si>
  <si>
    <t>COTR Wood Elf Vampire</t>
  </si>
  <si>
    <t>ArgonianFemalePreset02</t>
  </si>
  <si>
    <t>000B2E12</t>
  </si>
  <si>
    <t>00UBE_BretonRace</t>
  </si>
  <si>
    <t>HairArgonianFemale01</t>
  </si>
  <si>
    <t>UBE Breton</t>
  </si>
  <si>
    <t>UBE</t>
  </si>
  <si>
    <t>ArgonianFemalePreset03</t>
  </si>
  <si>
    <t>000B2E13</t>
  </si>
  <si>
    <t>HairArgonianFemale02</t>
  </si>
  <si>
    <t>00UBE_BretonRaceVampire</t>
  </si>
  <si>
    <t>ArgonianFemalePreset04</t>
  </si>
  <si>
    <t>UBE Breton Vampire</t>
  </si>
  <si>
    <t>000B2E14</t>
  </si>
  <si>
    <t>Kora2</t>
  </si>
  <si>
    <t>Koralina's Hair Collection 2 (Wig file)</t>
  </si>
  <si>
    <t>HairArgonianFemale03</t>
  </si>
  <si>
    <t>https://www.nexusmods.com/skyrimspecialedition/mods/172939</t>
  </si>
  <si>
    <t>ArgonianFemalePreset05</t>
  </si>
  <si>
    <t>00UBE_DarkElfRace</t>
  </si>
  <si>
    <t>000B2E15</t>
  </si>
  <si>
    <t>UBE Dark Elf</t>
  </si>
  <si>
    <t>HairArgonianFemale04</t>
  </si>
  <si>
    <t>ArgonianFemalePreset06</t>
  </si>
  <si>
    <t>000B2E16</t>
  </si>
  <si>
    <t>00UBE_DarkElfRaceVampire</t>
  </si>
  <si>
    <t>UBE Dark Elf Vampire</t>
  </si>
  <si>
    <t>HairArgonianFemale05</t>
  </si>
  <si>
    <t>ArgonianFemalePreset07</t>
  </si>
  <si>
    <t>0010D3BE</t>
  </si>
  <si>
    <t>00UBE_HighElfRace</t>
  </si>
  <si>
    <t>HairArgonianFemale07</t>
  </si>
  <si>
    <t>UBE High Elf</t>
  </si>
  <si>
    <t>ArgonianFemalePreset08</t>
  </si>
  <si>
    <t>0010D3BF</t>
  </si>
  <si>
    <t>HairArgonianFemale08</t>
  </si>
  <si>
    <t>00UBE_HighElfRaceVampire</t>
  </si>
  <si>
    <t>UBE High Elf Vampire</t>
  </si>
  <si>
    <t>ArgonianFemalePreset09</t>
  </si>
  <si>
    <t>0010D3C0</t>
  </si>
  <si>
    <t>HairArgonianFemale09</t>
  </si>
  <si>
    <t>ArgonianFemalePreset10</t>
  </si>
  <si>
    <t>00UBE_ImperialRace</t>
  </si>
  <si>
    <t>0010D3C1</t>
  </si>
  <si>
    <t>UBE Imperial</t>
  </si>
  <si>
    <t>HairArgonianFemale10</t>
  </si>
  <si>
    <t>ArgonianMalePreset01</t>
  </si>
  <si>
    <t>00043E57</t>
  </si>
  <si>
    <t>00UBE_ImperialRaceVampire</t>
  </si>
  <si>
    <t>Fuse_Aldo</t>
  </si>
  <si>
    <t>UBE Imperial Vampire</t>
  </si>
  <si>
    <t>Fuse Hair Collection - Aldo</t>
  </si>
  <si>
    <t>HairArgonianMale00</t>
  </si>
  <si>
    <t>00UBE_NordRace</t>
  </si>
  <si>
    <t>https://www.patreon.com/posts/68250938?collection=209996</t>
  </si>
  <si>
    <t>UBE Nord</t>
  </si>
  <si>
    <t>ArgonianMalePreset02</t>
  </si>
  <si>
    <t>00043E58</t>
  </si>
  <si>
    <t>HairArgonianMale01</t>
  </si>
  <si>
    <t>00UBE_NordRaceVampire</t>
  </si>
  <si>
    <t>UBE Nord Vampire</t>
  </si>
  <si>
    <t>ArgonianMalePreset03</t>
  </si>
  <si>
    <t>000A2CEB</t>
  </si>
  <si>
    <t>HairArgonianMale02</t>
  </si>
  <si>
    <t>00UBE_OrcRace</t>
  </si>
  <si>
    <t>ArgonianMalePreset04</t>
  </si>
  <si>
    <t>UBE Orc</t>
  </si>
  <si>
    <t>000A2CEF</t>
  </si>
  <si>
    <t>HairArgonianMale03</t>
  </si>
  <si>
    <t>ArgonianMalePreset05</t>
  </si>
  <si>
    <t>00UBE_OrcRaceVampire</t>
  </si>
  <si>
    <t>000A2CF0</t>
  </si>
  <si>
    <t>UBE Orc Vampire</t>
  </si>
  <si>
    <t>HairArgonianMale04</t>
  </si>
  <si>
    <t>ArgonianMalePreset06</t>
  </si>
  <si>
    <t>000B2E10</t>
  </si>
  <si>
    <t>00UBE_RedguardRace</t>
  </si>
  <si>
    <t>UBE Redguard</t>
  </si>
  <si>
    <t>HairArgonianMale05</t>
  </si>
  <si>
    <t>ArgonianMalePreset07</t>
  </si>
  <si>
    <t>0010D3C2</t>
  </si>
  <si>
    <t>00UBE_RedguardRaceVampire</t>
  </si>
  <si>
    <t>HairArgonianMale06</t>
  </si>
  <si>
    <t>UBE Redguard Vampire</t>
  </si>
  <si>
    <t>ArgonianMalePreset08</t>
  </si>
  <si>
    <t>0010D3C3</t>
  </si>
  <si>
    <t>HairArgonianMale07</t>
  </si>
  <si>
    <t>00UBE_WoodElfRace</t>
  </si>
  <si>
    <t>ArgonianMalePreset09</t>
  </si>
  <si>
    <t>UBE Wood Elf</t>
  </si>
  <si>
    <t>0010D3C4</t>
  </si>
  <si>
    <t>Fuse_Alucard</t>
  </si>
  <si>
    <t>Fuse Hair Collection - Alucard</t>
  </si>
  <si>
    <t>HairArgonianMale08</t>
  </si>
  <si>
    <t>https://www.patreon.com/posts/98291872?collection=209996</t>
  </si>
  <si>
    <t>ArgonianMalePreset10</t>
  </si>
  <si>
    <t>00UBE_WoodElfRaceVampire</t>
  </si>
  <si>
    <t>0010D3C5</t>
  </si>
  <si>
    <t>UBE Wood Elf Vampire</t>
  </si>
  <si>
    <t>HairArgonianMale09</t>
  </si>
  <si>
    <t>Aringoth</t>
  </si>
  <si>
    <t>0001334A</t>
  </si>
  <si>
    <t>HairMaleDarkElf02</t>
  </si>
  <si>
    <t>Arivanya</t>
  </si>
  <si>
    <t>00014127</t>
  </si>
  <si>
    <t>Arnbjorn</t>
  </si>
  <si>
    <t>0001BDB0</t>
  </si>
  <si>
    <t>HairMaleNord18</t>
  </si>
  <si>
    <t>Arngeir</t>
  </si>
  <si>
    <t>0002C6C7</t>
  </si>
  <si>
    <t>ArnielGane</t>
  </si>
  <si>
    <t>0001C19D</t>
  </si>
  <si>
    <t>Arniel Gane</t>
  </si>
  <si>
    <t>Arnskar</t>
  </si>
  <si>
    <t>00029DAD</t>
  </si>
  <si>
    <t>Arnskar Ember-Master</t>
  </si>
  <si>
    <t>Arob</t>
  </si>
  <si>
    <t>00013B7B</t>
  </si>
  <si>
    <t>HairFemaleOrc14</t>
  </si>
  <si>
    <t>Asbjorn</t>
  </si>
  <si>
    <t>00019DF2</t>
  </si>
  <si>
    <t>Asbjorn Fire-Tamer</t>
  </si>
  <si>
    <t>Asgeir</t>
  </si>
  <si>
    <t>Fuse_Amber</t>
  </si>
  <si>
    <t>0001334B</t>
  </si>
  <si>
    <t>Fuse Hair Collection - Amber</t>
  </si>
  <si>
    <t>Asgeir Snow-Shod</t>
  </si>
  <si>
    <t>https://www.patreon.com/posts/76570894?collection=209996</t>
  </si>
  <si>
    <t>Aslfur</t>
  </si>
  <si>
    <t>000135E7</t>
  </si>
  <si>
    <t>HairMaleNord03</t>
  </si>
  <si>
    <t>Assur</t>
  </si>
  <si>
    <t>0001C18A</t>
  </si>
  <si>
    <t>HairMaleImperialChild01</t>
  </si>
  <si>
    <t>Astrid</t>
  </si>
  <si>
    <t>0001BDB4</t>
  </si>
  <si>
    <t>HairFemaleNord03</t>
  </si>
  <si>
    <t>AstridEnd</t>
  </si>
  <si>
    <t>0004D6D0</t>
  </si>
  <si>
    <t>AtAfAlan</t>
  </si>
  <si>
    <t>00013295</t>
  </si>
  <si>
    <t>Ataf</t>
  </si>
  <si>
    <t>HairMaleRedguard3</t>
  </si>
  <si>
    <t>Atahba</t>
  </si>
  <si>
    <t>0001B1DA</t>
  </si>
  <si>
    <t>Atahbah</t>
  </si>
  <si>
    <t>HairKhajiitFemale10</t>
  </si>
  <si>
    <t>Atar</t>
  </si>
  <si>
    <t>Fuse_BraidedHair</t>
  </si>
  <si>
    <t>000622E5</t>
  </si>
  <si>
    <t>Fuse Hair Collection - Braided Hairstyles</t>
  </si>
  <si>
    <t>https://www.patreon.com/posts/64262256?collection=209996</t>
  </si>
  <si>
    <t>HairMaleRedguard2</t>
  </si>
  <si>
    <t>Athis</t>
  </si>
  <si>
    <t>0001A6D5</t>
  </si>
  <si>
    <t>Atub</t>
  </si>
  <si>
    <t>00019E18</t>
  </si>
  <si>
    <t>HairFemaleOrc03</t>
  </si>
  <si>
    <t>AudioTemplateAshGuardian</t>
  </si>
  <si>
    <t>0403C359</t>
  </si>
  <si>
    <t>DefaultRace</t>
  </si>
  <si>
    <t>NoHair</t>
  </si>
  <si>
    <t>AudioTemplateAshHopper</t>
  </si>
  <si>
    <t>0401F179</t>
  </si>
  <si>
    <t>AudioTemplateAtronachFlame</t>
  </si>
  <si>
    <t>000B5D82</t>
  </si>
  <si>
    <t>AudioTemplateAtronachFrost</t>
  </si>
  <si>
    <t>0005ED6F</t>
  </si>
  <si>
    <t>Fuse_Dreadlocks</t>
  </si>
  <si>
    <t>Fuse Hair Collection - Dreadlocks</t>
  </si>
  <si>
    <t>AudioTemplateAtronachStorm</t>
  </si>
  <si>
    <t>https://www.patreon.com/posts/62876423?collection=209996</t>
  </si>
  <si>
    <t>000ABF38</t>
  </si>
  <si>
    <t>AudioTemplateBear</t>
  </si>
  <si>
    <t>0008A3C2</t>
  </si>
  <si>
    <t>AudioTemplateChaurus</t>
  </si>
  <si>
    <t>0005C305</t>
  </si>
  <si>
    <t>AudioTemplateCow</t>
  </si>
  <si>
    <t>0004D2A8</t>
  </si>
  <si>
    <t>AudioTemplateDragonPriest</t>
  </si>
  <si>
    <t>00046B83</t>
  </si>
  <si>
    <t>AudioTemplateDraugr</t>
  </si>
  <si>
    <t>000BF452</t>
  </si>
  <si>
    <t>AudioTemplateDwarvenCenturion</t>
  </si>
  <si>
    <t>0008CF6D</t>
  </si>
  <si>
    <t>Fuse_Hilda</t>
  </si>
  <si>
    <t>Fuse Hair Collection - Hilda</t>
  </si>
  <si>
    <t>https://www.patreon.com/posts/86395571?collection=209996</t>
  </si>
  <si>
    <t>AudioTemplateDwarvenSphere</t>
  </si>
  <si>
    <t>0006CE2F</t>
  </si>
  <si>
    <t>AudioTemplateDwarvenSpider</t>
  </si>
  <si>
    <t>0007EDC9</t>
  </si>
  <si>
    <t>AudioTemplateElk</t>
  </si>
  <si>
    <t>Fuse_King</t>
  </si>
  <si>
    <t>Fuse Hair Collection - King</t>
  </si>
  <si>
    <t>https://www.patreon.com/posts/89043767?collection=209996</t>
  </si>
  <si>
    <t>000FFA08</t>
  </si>
  <si>
    <t>AudioTemplateFalmer</t>
  </si>
  <si>
    <t>0006759A</t>
  </si>
  <si>
    <t>AudioTemplateGiant</t>
  </si>
  <si>
    <t>000C4E2F</t>
  </si>
  <si>
    <t>AudioTemplateHagraven</t>
  </si>
  <si>
    <t>000C0D8A</t>
  </si>
  <si>
    <t>AudioTemplateHorse</t>
  </si>
  <si>
    <t>000F9644</t>
  </si>
  <si>
    <t>AudioTemplateHorseCarriage</t>
  </si>
  <si>
    <t>00084784</t>
  </si>
  <si>
    <t>AudioTemplateHorseFlames</t>
  </si>
  <si>
    <t>02002884</t>
  </si>
  <si>
    <t>Fuse_Lagertha</t>
  </si>
  <si>
    <t>Fuse Hair Collection - Lagertha</t>
  </si>
  <si>
    <t>AudioTemplateIceWraith</t>
  </si>
  <si>
    <t>https://www.patreon.com/posts/72123559?collection=209996</t>
  </si>
  <si>
    <t>0004D2C2</t>
  </si>
  <si>
    <t>AudioTemplateMudcrab</t>
  </si>
  <si>
    <t>0003E8A1</t>
  </si>
  <si>
    <t>AudioTemplateSabreCat</t>
  </si>
  <si>
    <t>00017F39</t>
  </si>
  <si>
    <t>AudioTemplateSkeever</t>
  </si>
  <si>
    <t>00017F3A</t>
  </si>
  <si>
    <t>AudioTemplateSpiderFrostbite</t>
  </si>
  <si>
    <t>00038A33</t>
  </si>
  <si>
    <t>AudioTemplateSpiderFrostbiteGiant</t>
  </si>
  <si>
    <t>000BF55C</t>
  </si>
  <si>
    <t>AudioTemplateSpriggan</t>
  </si>
  <si>
    <t>000A91FF</t>
  </si>
  <si>
    <t>Fuse_Marco</t>
  </si>
  <si>
    <t>Fuse Hair Collection - Marco</t>
  </si>
  <si>
    <t>https://www.patreon.com/posts/65302074?collection=209996</t>
  </si>
  <si>
    <t>AudioTemplateSprigganBurnt</t>
  </si>
  <si>
    <t>0403B565</t>
  </si>
  <si>
    <t>AudioTemplateTroll</t>
  </si>
  <si>
    <t>00038A31</t>
  </si>
  <si>
    <t>AudioTemplateTrollFollower</t>
  </si>
  <si>
    <t>020039B9</t>
  </si>
  <si>
    <t>AudioTemplateWerewolf</t>
  </si>
  <si>
    <t>000F7EAD</t>
  </si>
  <si>
    <t>AudioTemplateWitchlight</t>
  </si>
  <si>
    <t>000D3ADD</t>
  </si>
  <si>
    <t>AvalAtheron</t>
  </si>
  <si>
    <t>00014140</t>
  </si>
  <si>
    <t>Aval Atheron</t>
  </si>
  <si>
    <t>HairMaleDarkElf09</t>
  </si>
  <si>
    <t>AventusAretino</t>
  </si>
  <si>
    <t>00014132</t>
  </si>
  <si>
    <t>Fuse_P</t>
  </si>
  <si>
    <t>Aventus Aretino</t>
  </si>
  <si>
    <t>Fuse Hair Collection - P</t>
  </si>
  <si>
    <t>https://www.patreon.com/posts/73058791?collection=209996</t>
  </si>
  <si>
    <t>AvrusaSarethi</t>
  </si>
  <si>
    <t>00019BFE</t>
  </si>
  <si>
    <t>Avrusa Sarethi</t>
  </si>
  <si>
    <t>HairFemaleDarkElf02</t>
  </si>
  <si>
    <t>AvulsteinGrayMane</t>
  </si>
  <si>
    <t>00013B9A</t>
  </si>
  <si>
    <t>Avulstein Gray-Mane</t>
  </si>
  <si>
    <t>AzzadaLylvieve</t>
  </si>
  <si>
    <t>00019A2A</t>
  </si>
  <si>
    <t>Azzada Lylvieve</t>
  </si>
  <si>
    <t>Babette</t>
  </si>
  <si>
    <t>0001D4B7</t>
  </si>
  <si>
    <t>Badnir</t>
  </si>
  <si>
    <t>000AE779</t>
  </si>
  <si>
    <t>HairMaleNord01</t>
  </si>
  <si>
    <t>Bagrak</t>
  </si>
  <si>
    <t>00019955</t>
  </si>
  <si>
    <t>Fuse_Siren</t>
  </si>
  <si>
    <t>Fuse Hair Collection - Siren</t>
  </si>
  <si>
    <t>HairFemaleOrc07</t>
  </si>
  <si>
    <t>https://www.patreon.com/posts/75589695?collection=209996</t>
  </si>
  <si>
    <t>BalagogGroNolob</t>
  </si>
  <si>
    <t>00038C6E</t>
  </si>
  <si>
    <t>Balagog gro-Nolob</t>
  </si>
  <si>
    <t>HairMaleOrc25</t>
  </si>
  <si>
    <t>BalgruuftheGreater</t>
  </si>
  <si>
    <t>00013BBD</t>
  </si>
  <si>
    <t>Balgruuf the Greater</t>
  </si>
  <si>
    <t>Balimund</t>
  </si>
  <si>
    <t>0001334C</t>
  </si>
  <si>
    <t>HairMaleNord04</t>
  </si>
  <si>
    <t>Banning</t>
  </si>
  <si>
    <t>0009A7A8</t>
  </si>
  <si>
    <t>HairMaleNord14</t>
  </si>
  <si>
    <t>BassianusAxius</t>
  </si>
  <si>
    <t>000136C1</t>
  </si>
  <si>
    <t>Bassianus Axius</t>
  </si>
  <si>
    <t>Beirand</t>
  </si>
  <si>
    <t>00013261</t>
  </si>
  <si>
    <t>Beitild</t>
  </si>
  <si>
    <t>Fuse_Tauriel</t>
  </si>
  <si>
    <t>00013612</t>
  </si>
  <si>
    <t>Fuse Hair Collection - Tauriel</t>
  </si>
  <si>
    <t>https://www.patreon.com/posts/62190804?collection=209996</t>
  </si>
  <si>
    <t>Belchimac</t>
  </si>
  <si>
    <t>00013B6B</t>
  </si>
  <si>
    <t>Belethor</t>
  </si>
  <si>
    <t>00013BA1</t>
  </si>
  <si>
    <t>BelynHlaalu</t>
  </si>
  <si>
    <t>00014138</t>
  </si>
  <si>
    <t>Belyn Hlaalu</t>
  </si>
  <si>
    <t>Bendt</t>
  </si>
  <si>
    <t>000E77CB</t>
  </si>
  <si>
    <t>Benkum</t>
  </si>
  <si>
    <t>0001E94C</t>
  </si>
  <si>
    <t>Benor</t>
  </si>
  <si>
    <t>000135E8</t>
  </si>
  <si>
    <t>HairMaleNord10</t>
  </si>
  <si>
    <t>BergritteBattleBorn</t>
  </si>
  <si>
    <t>00013BB3</t>
  </si>
  <si>
    <t>Bergritte Battle-Born</t>
  </si>
  <si>
    <t>Fuse_Yen</t>
  </si>
  <si>
    <t>Fuse Hair Collection - Yen</t>
  </si>
  <si>
    <t>HairFemaleNord08</t>
  </si>
  <si>
    <t>https://www.patreon.com/posts/71131410?collection=209996</t>
  </si>
  <si>
    <t>Bersi</t>
  </si>
  <si>
    <t>0001334D</t>
  </si>
  <si>
    <t>Bersi Honey-Hand</t>
  </si>
  <si>
    <t>HairMaleElder5</t>
  </si>
  <si>
    <t>Betrid</t>
  </si>
  <si>
    <t>00013388</t>
  </si>
  <si>
    <t>Betrid Silver-Blood</t>
  </si>
  <si>
    <t>Birna</t>
  </si>
  <si>
    <t>0001C187</t>
  </si>
  <si>
    <t>HairFemaleNord13</t>
  </si>
  <si>
    <t>Bjartur</t>
  </si>
  <si>
    <t>00013262</t>
  </si>
  <si>
    <t>HairFemaleNord01</t>
  </si>
  <si>
    <t>Bodil</t>
  </si>
  <si>
    <t>000876DC</t>
  </si>
  <si>
    <t>Bolar</t>
  </si>
  <si>
    <t>0001B076</t>
  </si>
  <si>
    <t>HairFemaleOrc09</t>
  </si>
  <si>
    <t>Bolfrida</t>
  </si>
  <si>
    <t>00014126</t>
  </si>
  <si>
    <t>Bolfrida Brandy-Mug</t>
  </si>
  <si>
    <t>Fuse_Collection_Khajiit</t>
  </si>
  <si>
    <t>Fuse Hair Collection - For Khajiit (Wigs installed in FOMOD)</t>
  </si>
  <si>
    <t>BolgeirBearclaw</t>
  </si>
  <si>
    <t>https://www.nexusmods.com/skyrimspecialedition/mods/183885</t>
  </si>
  <si>
    <t>00013264</t>
  </si>
  <si>
    <t>Bolgeir Bearclaw</t>
  </si>
  <si>
    <t>HairMaleNord02</t>
  </si>
  <si>
    <t>Bolli</t>
  </si>
  <si>
    <t>0001334E</t>
  </si>
  <si>
    <t>HairMaleNord13</t>
  </si>
  <si>
    <t>Bolund</t>
  </si>
  <si>
    <t>00013651</t>
  </si>
  <si>
    <t>Bor</t>
  </si>
  <si>
    <t>000C78E1</t>
  </si>
  <si>
    <t>HairFemaleOrc08</t>
  </si>
  <si>
    <t>Borgakh</t>
  </si>
  <si>
    <t>00019959</t>
  </si>
  <si>
    <t>Borgakh the Steel Heart</t>
  </si>
  <si>
    <t>Borgny</t>
  </si>
  <si>
    <t>Fuse_Valkyr1</t>
  </si>
  <si>
    <t>000877B2</t>
  </si>
  <si>
    <t>Valkyr SMP Hairstyles 1</t>
  </si>
  <si>
    <t>https://www.nexusmods.com/skyrimspecialedition/mods/63181</t>
  </si>
  <si>
    <t>Borkul</t>
  </si>
  <si>
    <t>0001338A</t>
  </si>
  <si>
    <t>Borkul the Beast</t>
  </si>
  <si>
    <t>HairMaleOrc27</t>
  </si>
  <si>
    <t>Borri</t>
  </si>
  <si>
    <t>0002C6CE</t>
  </si>
  <si>
    <t>HairMaleNord06</t>
  </si>
  <si>
    <t>Bothela</t>
  </si>
  <si>
    <t>0001338B</t>
  </si>
  <si>
    <t>Hairstyle Category</t>
  </si>
  <si>
    <t>Boti</t>
  </si>
  <si>
    <t>000136BE</t>
  </si>
  <si>
    <t>Hair Spell IDs</t>
  </si>
  <si>
    <t>Screenshot Name</t>
  </si>
  <si>
    <t>Combined</t>
  </si>
  <si>
    <t>Human_Female</t>
  </si>
  <si>
    <t>Fuse_Valkyr2</t>
  </si>
  <si>
    <t>Valkyr SMP Hairstyles 2</t>
  </si>
  <si>
    <t>https://www.nexusmods.com/skyrimspecialedition/mods/64259</t>
  </si>
  <si>
    <t>Braig</t>
  </si>
  <si>
    <t>00013389</t>
  </si>
  <si>
    <t>HairMaleNord19</t>
  </si>
  <si>
    <t>Braith</t>
  </si>
  <si>
    <t>00013BA9</t>
  </si>
  <si>
    <t>BrandShei</t>
  </si>
  <si>
    <t>0001334F</t>
  </si>
  <si>
    <t>Brand-Shei</t>
  </si>
  <si>
    <t>Brelas</t>
  </si>
  <si>
    <t>00069F38</t>
  </si>
  <si>
    <t>HairFemaleElf07</t>
  </si>
  <si>
    <t>BrelynaMaryon</t>
  </si>
  <si>
    <t>0001C196</t>
  </si>
  <si>
    <t>Brelyna Maryon</t>
  </si>
  <si>
    <t>Brenuin</t>
  </si>
  <si>
    <t>00013BA7</t>
  </si>
  <si>
    <t>HairMaleRedguard5</t>
  </si>
  <si>
    <t>BretonFemalePreset01</t>
  </si>
  <si>
    <t>Fuse_Valkyr_Khajiit</t>
  </si>
  <si>
    <t>00079F65</t>
  </si>
  <si>
    <t>Valkyr SMP Hairstyles - For Khajiit (Wigs installed in FOMOD)</t>
  </si>
  <si>
    <t>Prisoner</t>
  </si>
  <si>
    <t>https://www.nexusmods.com/skyrimspecialedition/mods/174832</t>
  </si>
  <si>
    <t>BretonFemalePreset02</t>
  </si>
  <si>
    <t>00079F63</t>
  </si>
  <si>
    <t>HairFemaleNord02</t>
  </si>
  <si>
    <t>BretonFemalePreset03</t>
  </si>
  <si>
    <t>00079F62</t>
  </si>
  <si>
    <t>BretonFemalePreset04</t>
  </si>
  <si>
    <t>00079F61</t>
  </si>
  <si>
    <t>BretonFemalePreset05</t>
  </si>
  <si>
    <t>00099D50</t>
  </si>
  <si>
    <t>HairFemaleRedguard03</t>
  </si>
  <si>
    <t>BretonFemalePreset06</t>
  </si>
  <si>
    <t>0010AB62</t>
  </si>
  <si>
    <t>KS_SMP</t>
  </si>
  <si>
    <t>BretonFemalePreset07</t>
  </si>
  <si>
    <t>KS Hairdos SMP (Wigs installed in FOMOD)</t>
  </si>
  <si>
    <t>0010AB63</t>
  </si>
  <si>
    <t>https://www.nexusmods.com/skyrimspecialedition/mods/31300</t>
  </si>
  <si>
    <t>HairFemaleNord17</t>
  </si>
  <si>
    <t>BretonFemalePreset08</t>
  </si>
  <si>
    <t>0010AB64</t>
  </si>
  <si>
    <t>HairFemaleRedguard02</t>
  </si>
  <si>
    <t>BretonFemalePreset09</t>
  </si>
  <si>
    <t>0010AB65</t>
  </si>
  <si>
    <t>BretonFemalePreset10</t>
  </si>
  <si>
    <t>0010AB66</t>
  </si>
  <si>
    <t>BretonMalePreset01</t>
  </si>
  <si>
    <t>00079F6A</t>
  </si>
  <si>
    <t>HairMaleImperial1</t>
  </si>
  <si>
    <t>BretonMalePreset02</t>
  </si>
  <si>
    <t>00079F64</t>
  </si>
  <si>
    <t>KS_SMP_Khajiit</t>
  </si>
  <si>
    <t>KS Hairdos SMP - For Khajiit (Wigs installed in FOMOD)</t>
  </si>
  <si>
    <t>https://www.nexusmods.com/skyrimspecialedition/mods/170525</t>
  </si>
  <si>
    <t>BretonMalePreset03</t>
  </si>
  <si>
    <t>00079F60</t>
  </si>
  <si>
    <t>BretonMalePreset04</t>
  </si>
  <si>
    <t>00079F5F</t>
  </si>
  <si>
    <t>BretonMalePreset05</t>
  </si>
  <si>
    <t>00099D22</t>
  </si>
  <si>
    <t>HairMaleNord16</t>
  </si>
  <si>
    <t>BretonMalePreset06</t>
  </si>
  <si>
    <t>0010AB67</t>
  </si>
  <si>
    <t>BretonMalePreset07</t>
  </si>
  <si>
    <t>0010AB68</t>
  </si>
  <si>
    <t>BretonMalePreset08</t>
  </si>
  <si>
    <t>0010AB69</t>
  </si>
  <si>
    <t>Xing</t>
  </si>
  <si>
    <t>Xing HDT-SMP Hair and Wigs Unisex</t>
  </si>
  <si>
    <t>BretonMalePreset09</t>
  </si>
  <si>
    <t>https://www.nexusmods.com/skyrimspecialedition/mods/56583</t>
  </si>
  <si>
    <t>0010AB6A</t>
  </si>
  <si>
    <t>BretonMalePreset10</t>
  </si>
  <si>
    <t>0010AB6B</t>
  </si>
  <si>
    <t>Breya</t>
  </si>
  <si>
    <t>0004C724</t>
  </si>
  <si>
    <t>BreyaCorpse</t>
  </si>
  <si>
    <t>0004C754</t>
  </si>
  <si>
    <t>Briehl</t>
  </si>
  <si>
    <t>000585FB</t>
  </si>
  <si>
    <t>Brill</t>
  </si>
  <si>
    <t>0001A6A2</t>
  </si>
  <si>
    <t>Xing_Misc</t>
  </si>
  <si>
    <t>Xing HDT-SMP Hair and Wigs - Misc Improvements</t>
  </si>
  <si>
    <t>HairMaleElder6</t>
  </si>
  <si>
    <t>https://www.nexusmods.com/skyrimspecialedition/mods/184585</t>
  </si>
  <si>
    <t>BrinaMerilis</t>
  </si>
  <si>
    <t>0001A6B7</t>
  </si>
  <si>
    <t>Brina Merilis</t>
  </si>
  <si>
    <t>Britte</t>
  </si>
  <si>
    <t>000136B9</t>
  </si>
  <si>
    <t>HairFemaleNordChild02</t>
  </si>
  <si>
    <t>Brond</t>
  </si>
  <si>
    <t>00014144</t>
  </si>
  <si>
    <t>BrotherVerulus</t>
  </si>
  <si>
    <t>0001338C</t>
  </si>
  <si>
    <t>Brother Verulus</t>
  </si>
  <si>
    <t>jg1_Lion_Mane</t>
  </si>
  <si>
    <t>Lion's Mane (SMP File)</t>
  </si>
  <si>
    <t>https://www.nexusmods.com/skyrimspecialedition/mods/72166</t>
  </si>
  <si>
    <t>Brunwulf</t>
  </si>
  <si>
    <t>00014149</t>
  </si>
  <si>
    <t>Brunwulf Free-Winter</t>
  </si>
  <si>
    <t>Bryling</t>
  </si>
  <si>
    <t>00013265</t>
  </si>
  <si>
    <t>Brynjolf</t>
  </si>
  <si>
    <t>0001B07D</t>
  </si>
  <si>
    <t>Bulfrek</t>
  </si>
  <si>
    <t>00013613</t>
  </si>
  <si>
    <t>Burguk</t>
  </si>
  <si>
    <t>00013B79</t>
  </si>
  <si>
    <t>Chief Burguk</t>
  </si>
  <si>
    <t>HairMaleOrc14</t>
  </si>
  <si>
    <t>BYOHCarriageDriver1</t>
  </si>
  <si>
    <t>030032B0</t>
  </si>
  <si>
    <t>Gunjar</t>
  </si>
  <si>
    <t>CarriageDriverTemplateNew</t>
  </si>
  <si>
    <t>jg1_Forest_Cat</t>
  </si>
  <si>
    <t>BYOHCarriageDriver2</t>
  </si>
  <si>
    <t>Forest Cat (SMP File)</t>
  </si>
  <si>
    <t>0300BE12</t>
  </si>
  <si>
    <t>Engar</t>
  </si>
  <si>
    <t>https://www.nexusmods.com/skyrimspecialedition/mods/72351</t>
  </si>
  <si>
    <t>BYOHCarriageDriver3</t>
  </si>
  <si>
    <t>03010FBA</t>
  </si>
  <si>
    <t>Markus</t>
  </si>
  <si>
    <t>BYOHFishHatcheryNPC</t>
  </si>
  <si>
    <t>0300090D</t>
  </si>
  <si>
    <t>Fish Hatchery</t>
  </si>
  <si>
    <t>BYOHHouse1Bard</t>
  </si>
  <si>
    <t>03018DE0</t>
  </si>
  <si>
    <t>Llewellyn the Nightingale</t>
  </si>
  <si>
    <t>BYOHHouse2Bard</t>
  </si>
  <si>
    <t>03019630</t>
  </si>
  <si>
    <t>Sonir</t>
  </si>
  <si>
    <t>BYOHHouse3Bard</t>
  </si>
  <si>
    <t>03019631</t>
  </si>
  <si>
    <t>Oriella</t>
  </si>
  <si>
    <t>BYOHHousecarlFalkreath</t>
  </si>
  <si>
    <t>03005215</t>
  </si>
  <si>
    <t>Rayya</t>
  </si>
  <si>
    <t>HairFemaleRedguard04</t>
  </si>
  <si>
    <t>BYOHHousecarlHjaalmarch</t>
  </si>
  <si>
    <t>0300521B</t>
  </si>
  <si>
    <t>Valdimar</t>
  </si>
  <si>
    <t>BYOHHousecarlPale</t>
  </si>
  <si>
    <t>0300521E</t>
  </si>
  <si>
    <t>Gregor</t>
  </si>
  <si>
    <t>BYOHHouseMannequin</t>
  </si>
  <si>
    <t>03015D5D</t>
  </si>
  <si>
    <t>ManakinRace</t>
  </si>
  <si>
    <t>BYOHPlanterNPC</t>
  </si>
  <si>
    <t>03008248</t>
  </si>
  <si>
    <t>Planter</t>
  </si>
  <si>
    <t>BYOHUrchin_Alesan</t>
  </si>
  <si>
    <t>0300403C</t>
  </si>
  <si>
    <t>Alesan</t>
  </si>
  <si>
    <t>HairMaleRedguardChild01</t>
  </si>
  <si>
    <t>BYOHUrchin_Blaise</t>
  </si>
  <si>
    <t>03003F56</t>
  </si>
  <si>
    <t>Blaise</t>
  </si>
  <si>
    <t>BYOHUrchin_Lucia</t>
  </si>
  <si>
    <t>03003F5F</t>
  </si>
  <si>
    <t>Lucia</t>
  </si>
  <si>
    <t>BYOHUrchin_Sofie</t>
  </si>
  <si>
    <t>0300403B</t>
  </si>
  <si>
    <t>Sofie</t>
  </si>
  <si>
    <t>C04DeadKodlak</t>
  </si>
  <si>
    <t>000AD3A5</t>
  </si>
  <si>
    <t>KodlakWhitemane</t>
  </si>
  <si>
    <t>C06DeadKodlak</t>
  </si>
  <si>
    <t>000DCCC0</t>
  </si>
  <si>
    <t>C06KodlaksGhost</t>
  </si>
  <si>
    <t>0001720B</t>
  </si>
  <si>
    <t>Cairine</t>
  </si>
  <si>
    <t>000D66FE</t>
  </si>
  <si>
    <t>Calcelmo</t>
  </si>
  <si>
    <t>0001338E</t>
  </si>
  <si>
    <t>Calixto</t>
  </si>
  <si>
    <t>0001414A</t>
  </si>
  <si>
    <t>Calixto Corrium</t>
  </si>
  <si>
    <t>CamillaValerius</t>
  </si>
  <si>
    <t>0001347B</t>
  </si>
  <si>
    <t>Camilla Valerius</t>
  </si>
  <si>
    <t>CaptainAldis</t>
  </si>
  <si>
    <t>00041FB8</t>
  </si>
  <si>
    <t>Captain Aldis</t>
  </si>
  <si>
    <t>CaptainLonelyGale</t>
  </si>
  <si>
    <t>00014134</t>
  </si>
  <si>
    <t>Captain Lonely-Gale</t>
  </si>
  <si>
    <t>CaptainMetilius</t>
  </si>
  <si>
    <t>0001C9F7</t>
  </si>
  <si>
    <t>Captain Metilius</t>
  </si>
  <si>
    <t>CarlottaValentia</t>
  </si>
  <si>
    <t>00013B99</t>
  </si>
  <si>
    <t>Carlotta Valentia</t>
  </si>
  <si>
    <t>HairFemaleNord06</t>
  </si>
  <si>
    <t>CarriageDriverMarkarth</t>
  </si>
  <si>
    <t>0003F21E</t>
  </si>
  <si>
    <t>Kibell</t>
  </si>
  <si>
    <t>CarriageDriverRiften</t>
  </si>
  <si>
    <t>0009B7AA</t>
  </si>
  <si>
    <t>Sigaar</t>
  </si>
  <si>
    <t>CarriageDriverSolitude</t>
  </si>
  <si>
    <t>0009B7A6</t>
  </si>
  <si>
    <t>Thaer</t>
  </si>
  <si>
    <t>HairMaleElder2</t>
  </si>
  <si>
    <t>CarriageDriverTemplate</t>
  </si>
  <si>
    <t>0009A079</t>
  </si>
  <si>
    <t>Cart Driver</t>
  </si>
  <si>
    <t>000F6EF3</t>
  </si>
  <si>
    <t>CarriageDriverWhiterun;MQ201PartyCarriageSolitudeDriver;CarriageDriverMarkarth;MQ201PartyCarriageDriver1;MQ201PartyCarriageDriver2;CarriageDriverSolitude;CarriageDriverRiften;CarriageDriverWindhelm;DLC1VQ03CarriageDriver;DLC1VQ03VampireDriver;BYOHCarriageDriver1;BYOHCarriageDriver2;BYOHCarriageDriver3</t>
  </si>
  <si>
    <t>CarriageDriverWhiterun</t>
  </si>
  <si>
    <t>00013669</t>
  </si>
  <si>
    <t>Bjorlam</t>
  </si>
  <si>
    <t>CarriageDriverWindhelm</t>
  </si>
  <si>
    <t>0009B7AB</t>
  </si>
  <si>
    <t>Alfarinn</t>
  </si>
  <si>
    <t>Cedran</t>
  </si>
  <si>
    <t>0001338F</t>
  </si>
  <si>
    <t>Cicero</t>
  </si>
  <si>
    <t>0001BDB1</t>
  </si>
  <si>
    <t>CiceroDawnstar</t>
  </si>
  <si>
    <t>0009BCAF</t>
  </si>
  <si>
    <t>CiceroRoad</t>
  </si>
  <si>
    <t>000550F0</t>
  </si>
  <si>
    <t>ClintonLylvieve</t>
  </si>
  <si>
    <t>00019A2C</t>
  </si>
  <si>
    <t>Clinton Lylvieve</t>
  </si>
  <si>
    <t>ColetteMarence</t>
  </si>
  <si>
    <t>0001C19A</t>
  </si>
  <si>
    <t>Colette Marence</t>
  </si>
  <si>
    <t>CommanderCaius</t>
  </si>
  <si>
    <t>00038257</t>
  </si>
  <si>
    <t>Commander Caius</t>
  </si>
  <si>
    <t>CommanderMaro</t>
  </si>
  <si>
    <t>0001D4B5</t>
  </si>
  <si>
    <t>Commander Maro</t>
  </si>
  <si>
    <t>ConstanceMichel</t>
  </si>
  <si>
    <t>00013350</t>
  </si>
  <si>
    <t>Constance Michel</t>
  </si>
  <si>
    <t>HairFemaleNord04</t>
  </si>
  <si>
    <t>CorpsePrisonerNordMale</t>
  </si>
  <si>
    <t>000A5794</t>
  </si>
  <si>
    <t>EncBandit01Melee1HNordM</t>
  </si>
  <si>
    <t>CorpulusVinius</t>
  </si>
  <si>
    <t>00013266</t>
  </si>
  <si>
    <t>Corpulus Vinius</t>
  </si>
  <si>
    <t>Cosnach</t>
  </si>
  <si>
    <t>00013390</t>
  </si>
  <si>
    <t>Curwe</t>
  </si>
  <si>
    <t>0001A6B3</t>
  </si>
  <si>
    <t>HairFemaleElf10</t>
  </si>
  <si>
    <t>CurweDead</t>
  </si>
  <si>
    <t>0007F42A</t>
  </si>
  <si>
    <t>CW03ImperialScout</t>
  </si>
  <si>
    <t>000DC25D</t>
  </si>
  <si>
    <t>CWBattleGalmar</t>
  </si>
  <si>
    <t>000D0570</t>
  </si>
  <si>
    <t>Galmar Stone-Fist</t>
  </si>
  <si>
    <t>CWBattleRikke</t>
  </si>
  <si>
    <t>000D0573</t>
  </si>
  <si>
    <t>Legate Rikke</t>
  </si>
  <si>
    <t>CWBattleTullius</t>
  </si>
  <si>
    <t>000D0577</t>
  </si>
  <si>
    <t>General Tullius</t>
  </si>
  <si>
    <t>CWBattleUlfric</t>
  </si>
  <si>
    <t>000D0575</t>
  </si>
  <si>
    <t>Ulfric Stormcloak</t>
  </si>
  <si>
    <t>CWFieldCOImperial</t>
  </si>
  <si>
    <t>000205C9</t>
  </si>
  <si>
    <t>Imperial Field Legate</t>
  </si>
  <si>
    <t>CWSoldierImperial</t>
  </si>
  <si>
    <t>CWFieldCOImperialHaafingar;CWFieldCOImperialHjaalmarch;CWFieldCOImperialReach;CWFieldCOImperialWhiterun;CWFieldCOImperialPale;CWFieldCOImperialWinterhold;CWFieldCOImperialEastmarch;CWFieldCOImperialRift;CWFieldCOImperialFalkreath</t>
  </si>
  <si>
    <t>CWFieldCOImperialEastmarch</t>
  </si>
  <si>
    <t>0008454E</t>
  </si>
  <si>
    <t>Legate Hrollod</t>
  </si>
  <si>
    <t>CWFieldCOImperialFalkreath</t>
  </si>
  <si>
    <t>0008455E</t>
  </si>
  <si>
    <t>Legate Skulnar</t>
  </si>
  <si>
    <t>CWFieldCOImperialHaafingar</t>
  </si>
  <si>
    <t>000844B1</t>
  </si>
  <si>
    <t>Legate Adventus Caesennius</t>
  </si>
  <si>
    <t>CWFieldCOImperialHjaalmarch</t>
  </si>
  <si>
    <t>000844B2</t>
  </si>
  <si>
    <t>Legate Taurinus Duilis</t>
  </si>
  <si>
    <t>CWFieldCOImperialPale</t>
  </si>
  <si>
    <t>00084539</t>
  </si>
  <si>
    <t>Legate Constantius Tituleius</t>
  </si>
  <si>
    <t>CWFieldCOImperialReach</t>
  </si>
  <si>
    <t>000844D0</t>
  </si>
  <si>
    <t>Legate Emmanuel Admand</t>
  </si>
  <si>
    <t>CWFieldCOImperialRift</t>
  </si>
  <si>
    <t>0008454F</t>
  </si>
  <si>
    <t>Legate Fasendil</t>
  </si>
  <si>
    <t>HairMaleDarkElf08</t>
  </si>
  <si>
    <t>CWFieldCOImperialWhiterun</t>
  </si>
  <si>
    <t>000844D1</t>
  </si>
  <si>
    <t>Legate Quentin Cipius</t>
  </si>
  <si>
    <t>CWFieldCOImperialWinterhold</t>
  </si>
  <si>
    <t>0008453A</t>
  </si>
  <si>
    <t>Legate Sevan Telendas</t>
  </si>
  <si>
    <t>HairMaleDarkElf07</t>
  </si>
  <si>
    <t>CWFieldCOSons</t>
  </si>
  <si>
    <t>000205C8</t>
  </si>
  <si>
    <t>Stormcloak Field Commander</t>
  </si>
  <si>
    <t>CWSoldierSons</t>
  </si>
  <si>
    <t>CWFieldCOSonsHaafingar;CWFieldCOSonsEastmarch;CWFieldCOSonsHjaalmarch;CWFieldCOSonsPale;CWFieldCOSonsReach;CWFieldCOSonsRift;CWFieldCOSonsWhiterun;CWFieldCOSonsFalkreath;CWFieldCOSonsWinterhold</t>
  </si>
  <si>
    <t>CWFieldCOSonsEastmarch</t>
  </si>
  <si>
    <t>00084551</t>
  </si>
  <si>
    <t>Yrsarald Thrice-Pierced</t>
  </si>
  <si>
    <t>CWFieldCOSonsFalkreath</t>
  </si>
  <si>
    <t>0008455F</t>
  </si>
  <si>
    <t>Thorygg Sun-Killer</t>
  </si>
  <si>
    <t>CWFieldCOSonsHaafingar</t>
  </si>
  <si>
    <t>00084550</t>
  </si>
  <si>
    <t>Istar Cairn-Breaker</t>
  </si>
  <si>
    <t>CWFieldCOSonsHjaalmarch</t>
  </si>
  <si>
    <t>00084552</t>
  </si>
  <si>
    <t>Arrald Frozen-Heart</t>
  </si>
  <si>
    <t>CWFieldCOSonsPale</t>
  </si>
  <si>
    <t>00084553</t>
  </si>
  <si>
    <t>Frorkmar Banner-Torn</t>
  </si>
  <si>
    <t>CWFieldCOSonsReach</t>
  </si>
  <si>
    <t>00084556</t>
  </si>
  <si>
    <t>Kottir Red-Shoal</t>
  </si>
  <si>
    <t>CWFieldCOSonsRift</t>
  </si>
  <si>
    <t>0008455B</t>
  </si>
  <si>
    <t>Gonnar Oath-Giver</t>
  </si>
  <si>
    <t>CWFieldCOSonsWhiterun</t>
  </si>
  <si>
    <t>0008455D</t>
  </si>
  <si>
    <t>Hjornskar Head-Smasher</t>
  </si>
  <si>
    <t>CWFieldCOSonsWinterhold</t>
  </si>
  <si>
    <t>00084568</t>
  </si>
  <si>
    <t>Kai Wet-Pommel</t>
  </si>
  <si>
    <t>CWMission06DissaffectSoldierImperial1</t>
  </si>
  <si>
    <t>000770B2</t>
  </si>
  <si>
    <t>CWSoldierImperialNotGuard</t>
  </si>
  <si>
    <t>CWMission06DissaffectSoldierSons1</t>
  </si>
  <si>
    <t>Mod</t>
  </si>
  <si>
    <t>000770B6</t>
  </si>
  <si>
    <t>CWSoldierSonsNotGuard</t>
  </si>
  <si>
    <t>CWMission06LoyalistLeaderImperial</t>
  </si>
  <si>
    <t>000770BA</t>
  </si>
  <si>
    <t>Hairstyle EditorIDs</t>
  </si>
  <si>
    <t>Hairstyle Name</t>
  </si>
  <si>
    <t>CWMission06LoyalistLeaderSons</t>
  </si>
  <si>
    <t>000770BB</t>
  </si>
  <si>
    <t>Zoom F</t>
  </si>
  <si>
    <t>Zoom S</t>
  </si>
  <si>
    <t>Wig Spell EditorID</t>
  </si>
  <si>
    <t>Valid Race Types</t>
  </si>
  <si>
    <t>CWMission08CowHand</t>
  </si>
  <si>
    <t>000510C2</t>
  </si>
  <si>
    <t>Valid Genders</t>
  </si>
  <si>
    <t>Cow Hand</t>
  </si>
  <si>
    <t>Race_Gender Categories</t>
  </si>
  <si>
    <t>CWMission11Orc</t>
  </si>
  <si>
    <t>0008F35A</t>
  </si>
  <si>
    <t>Makhel Abbas</t>
  </si>
  <si>
    <t>Requirements</t>
  </si>
  <si>
    <t>HairMaleOrc01</t>
  </si>
  <si>
    <t>Race/Gender Specific Requirements</t>
  </si>
  <si>
    <t>LvlBanditBossOrcM</t>
  </si>
  <si>
    <t>CWPrisonerImperial</t>
  </si>
  <si>
    <t>Process_Screenshots CSV</t>
  </si>
  <si>
    <t>0001675D</t>
  </si>
  <si>
    <t>CWPrisonerImperialA</t>
  </si>
  <si>
    <t>0010D4B2</t>
  </si>
  <si>
    <t>CWPrisonerImperialB</t>
  </si>
  <si>
    <t>0010D4B3</t>
  </si>
  <si>
    <t>Vanilla</t>
  </si>
  <si>
    <t>HairMaleRedguard4</t>
  </si>
  <si>
    <t>CWPrisonerImperialC</t>
  </si>
  <si>
    <t>0010D4B4</t>
  </si>
  <si>
    <t>Vanilla - Afro Large</t>
  </si>
  <si>
    <t>CWPrisonerImperialD</t>
  </si>
  <si>
    <t>0010D4B5</t>
  </si>
  <si>
    <t>Uvi_Wig_Spell_VHRU_AfroLarge</t>
  </si>
  <si>
    <t>Human_Female, Human_Male, Elf_Female, Elf_Male, Orc_Female, Orc_Male</t>
  </si>
  <si>
    <t>CWPrisonerSons</t>
  </si>
  <si>
    <t>VHR,VHRWU</t>
  </si>
  <si>
    <t>0001675C</t>
  </si>
  <si>
    <t>CWPrisonerSonsA</t>
  </si>
  <si>
    <t>0010D4B6</t>
  </si>
  <si>
    <t>CWPrisonerSonsB</t>
  </si>
  <si>
    <t>0010D4B7</t>
  </si>
  <si>
    <t>CWPrisonerSonsC</t>
  </si>
  <si>
    <t>0010D4B8</t>
  </si>
  <si>
    <t>CWPrisonerSonsD</t>
  </si>
  <si>
    <t>0010D4B9</t>
  </si>
  <si>
    <t>CWSiegeImperialArcher</t>
  </si>
  <si>
    <t>00045BDF</t>
  </si>
  <si>
    <t>EncSiegeImperialArcherTemplate</t>
  </si>
  <si>
    <t>CWSiegeImperialArcherHold</t>
  </si>
  <si>
    <t>00073FD4</t>
  </si>
  <si>
    <t>CWSiegeImperialSoldierHold</t>
  </si>
  <si>
    <t>00073FD8</t>
  </si>
  <si>
    <t>EncSiegeImperialSoldierTemplate</t>
  </si>
  <si>
    <t>CWSiegeImperialSoldierOfficer</t>
  </si>
  <si>
    <t>0001AE44</t>
  </si>
  <si>
    <t>Imperial Officer</t>
  </si>
  <si>
    <t>CWSiegeImperialWizard</t>
  </si>
  <si>
    <t>0004622A</t>
  </si>
  <si>
    <t>Imperial Wizard</t>
  </si>
  <si>
    <t>EncWarlock02TemplateFire</t>
  </si>
  <si>
    <t>CWSiegeSonsArcher</t>
  </si>
  <si>
    <t>00045BE3</t>
  </si>
  <si>
    <t>Vanilla - Afro Small</t>
  </si>
  <si>
    <t>EncSiegeSonsArcherTemplate</t>
  </si>
  <si>
    <t>Uvi_Wig_Spell_VHRU_AfroSmall</t>
  </si>
  <si>
    <t>CWSiegeSonsArcherHold</t>
  </si>
  <si>
    <t>0007C4D3</t>
  </si>
  <si>
    <t>CWSiegeSonsArcherInvul</t>
  </si>
  <si>
    <t>0002FFA7</t>
  </si>
  <si>
    <t>HairArgonianFemale01,HairArgonianMale01</t>
  </si>
  <si>
    <t>Vanilla - Argonian 01</t>
  </si>
  <si>
    <t>CWSiegeSonsSoldierHold</t>
  </si>
  <si>
    <t>Uvi_Wig_Spell_VHRU_Argonian01</t>
  </si>
  <si>
    <t>0007C4D2</t>
  </si>
  <si>
    <t>Argonian_Female, Argonian_Male</t>
  </si>
  <si>
    <t>EncSiegeSonsSoldierTemplate</t>
  </si>
  <si>
    <t>CWSiegeSonsWizard</t>
  </si>
  <si>
    <t>0004622B</t>
  </si>
  <si>
    <t>Stormcloak Mage</t>
  </si>
  <si>
    <t>EncWarlock02TemplateIce</t>
  </si>
  <si>
    <t>CWSiegeSonsWizardInvul</t>
  </si>
  <si>
    <t>HairArgonianFemale02,HairArgonianMale02</t>
  </si>
  <si>
    <t>0002FFA6</t>
  </si>
  <si>
    <t>Vanilla - Argonian 02</t>
  </si>
  <si>
    <t>Uvi_Wig_Spell_VHRU_Argonian02</t>
  </si>
  <si>
    <t>CWVoiceTypeSoldierFemaleCommander</t>
  </si>
  <si>
    <t>0006B197</t>
  </si>
  <si>
    <t>CWVoiceTypeSoldierFemaleNord</t>
  </si>
  <si>
    <t>0006B199</t>
  </si>
  <si>
    <t>HairArgonianFemale03,HairArgonianMale03</t>
  </si>
  <si>
    <t>Vanilla - Argonian 03</t>
  </si>
  <si>
    <t>CWVoiceTypeSoldierMaleCommander</t>
  </si>
  <si>
    <t>0006B196</t>
  </si>
  <si>
    <t>Uvi_Wig_Spell_VHRU_Argonian03</t>
  </si>
  <si>
    <t>CWVoiceTypeSoldierMaleNord</t>
  </si>
  <si>
    <t>0006B194</t>
  </si>
  <si>
    <t>CWVoiceTypeSoldierMaleSoldier</t>
  </si>
  <si>
    <t>HairArgonianFemale04,HairArgonianMale04</t>
  </si>
  <si>
    <t>0006B193</t>
  </si>
  <si>
    <t>Vanilla - Argonian 04</t>
  </si>
  <si>
    <t>Uvi_Wig_Spell_VHRU_Argonian04</t>
  </si>
  <si>
    <t>CWVoiceTypeSoldierMaleYoungEager</t>
  </si>
  <si>
    <t>0006B195</t>
  </si>
  <si>
    <t>CynricEndell</t>
  </si>
  <si>
    <t>000D4FD8</t>
  </si>
  <si>
    <t>Cynric Endell</t>
  </si>
  <si>
    <t>HairArgonianFemale05,HairArgonianMale05</t>
  </si>
  <si>
    <t>Vanilla - Argonian 05</t>
  </si>
  <si>
    <t>DA01Aranea</t>
  </si>
  <si>
    <t>Uvi_Wig_Spell_VHRU_Argonian05</t>
  </si>
  <si>
    <t>00028AD0</t>
  </si>
  <si>
    <t>Aranea Ienith</t>
  </si>
  <si>
    <t>DA01AzuraVoice</t>
  </si>
  <si>
    <t>00028AE9</t>
  </si>
  <si>
    <t>Azura</t>
  </si>
  <si>
    <t>HairArgonianFemale06,HairArgonianMale06</t>
  </si>
  <si>
    <t>Vanilla - Argonian 06</t>
  </si>
  <si>
    <t>DA01MalynVaren</t>
  </si>
  <si>
    <t>00028AD3</t>
  </si>
  <si>
    <t>Uvi_Wig_Spell_VHRU_Argonian06</t>
  </si>
  <si>
    <t>Malyn Varen</t>
  </si>
  <si>
    <t>DA02Boethiah</t>
  </si>
  <si>
    <t>0004D91B</t>
  </si>
  <si>
    <t>Voice of Boethiah</t>
  </si>
  <si>
    <t>HairArgonianFemale07,HairArgonianMale07</t>
  </si>
  <si>
    <t>HairFemaleDarkElf07</t>
  </si>
  <si>
    <t>Vanilla - Argonian 07</t>
  </si>
  <si>
    <t>DA02Champion</t>
  </si>
  <si>
    <t>000834FE</t>
  </si>
  <si>
    <t>Champion of Boethiah</t>
  </si>
  <si>
    <t>Uvi_Wig_Spell_VHRU_Argonian07</t>
  </si>
  <si>
    <t>LvlForswornBoss</t>
  </si>
  <si>
    <t>DA02CultistF1</t>
  </si>
  <si>
    <t>0004D8D1</t>
  </si>
  <si>
    <t>Boethiah Cultist</t>
  </si>
  <si>
    <t>LvlBanditMelee1H</t>
  </si>
  <si>
    <t>HairArgonianFemale08,HairArgonianMale08</t>
  </si>
  <si>
    <t>Vanilla - Argonian 08</t>
  </si>
  <si>
    <t>DA02CultistF2</t>
  </si>
  <si>
    <t>0004D8D3</t>
  </si>
  <si>
    <t>Uvi_Wig_Spell_VHRU_Argonian08</t>
  </si>
  <si>
    <t>DA02CultistM1</t>
  </si>
  <si>
    <t>0004D8D4</t>
  </si>
  <si>
    <t>HairArgonianFemale09,HairArgonianMale09</t>
  </si>
  <si>
    <t>Vanilla - Argonian 09</t>
  </si>
  <si>
    <t>DA02CultistM2</t>
  </si>
  <si>
    <t>Uvi_Wig_Spell_VHRU_Argonian09</t>
  </si>
  <si>
    <t>0004D8D5</t>
  </si>
  <si>
    <t>LvlBanditWizard</t>
  </si>
  <si>
    <t>DA02CultistM3</t>
  </si>
  <si>
    <t>0004D8D2</t>
  </si>
  <si>
    <t>HairArgonianFemale10,HairArgonianMale10</t>
  </si>
  <si>
    <t>Vanilla - Argonian 10</t>
  </si>
  <si>
    <t>LvlBanditMelee2H</t>
  </si>
  <si>
    <t>Uvi_Wig_Spell_VHRU_Argonian10</t>
  </si>
  <si>
    <t>DA03ClavicusVile</t>
  </si>
  <si>
    <t>0001C4E4</t>
  </si>
  <si>
    <t>Clavicus Vile</t>
  </si>
  <si>
    <t>DA03Wizard</t>
  </si>
  <si>
    <t>0001C4E5</t>
  </si>
  <si>
    <t>HairArgonianFemale11</t>
  </si>
  <si>
    <t>Vanilla - Argonian 11</t>
  </si>
  <si>
    <t>DA04Septimus</t>
  </si>
  <si>
    <t>0002D514</t>
  </si>
  <si>
    <t>Septimus Signus</t>
  </si>
  <si>
    <t>Uvi_Wig_Spell_VHRU_Argonian11</t>
  </si>
  <si>
    <t>Argonian_Female</t>
  </si>
  <si>
    <t>DA05_LvlHuntersOfHircine_KhajiitF</t>
  </si>
  <si>
    <t>000CED00</t>
  </si>
  <si>
    <t>DA05_LvlHuntersOfHircine</t>
  </si>
  <si>
    <t>HairArgonianFemale12</t>
  </si>
  <si>
    <t>DA05Hunter05_02Missile_Tsrasuna;DA05Hunter11_04Melee_Ahjisi</t>
  </si>
  <si>
    <t>Vanilla - Argonian 12</t>
  </si>
  <si>
    <t>DA05_LvlHuntersOfHircine_KhajiitM</t>
  </si>
  <si>
    <t>000955B5</t>
  </si>
  <si>
    <t>Uvi_Wig_Spell_VHRU_Argonian12</t>
  </si>
  <si>
    <t>HairKhajiitMale03</t>
  </si>
  <si>
    <t>DA05Hunter01_JKier;DA05Hunter04_Rakheran</t>
  </si>
  <si>
    <t>DA05_LvlHuntersOfHircine_NordF</t>
  </si>
  <si>
    <t>000955B6</t>
  </si>
  <si>
    <t>HairArgonianFemale13</t>
  </si>
  <si>
    <t>Vanilla - Argonian 13</t>
  </si>
  <si>
    <t>DA05Hunter03_Eriana;DA05Hunter13_04Melee_Heratar</t>
  </si>
  <si>
    <t>Uvi_Wig_Spell_VHRU_Argonian13</t>
  </si>
  <si>
    <t>DA05_LvlHuntersOfHircine_NordM</t>
  </si>
  <si>
    <t>000955BA</t>
  </si>
  <si>
    <t>DA05Hunter02_Rissing;DA05Hunter08_03Melee_Torkild;DA05Hunter12_04Archer_Thjollod</t>
  </si>
  <si>
    <t>DA05_LvlHuntersOfHircine_OrcF</t>
  </si>
  <si>
    <t>000CED01</t>
  </si>
  <si>
    <t>HairArgonianFemale00,HairArgonianMale00,HairKhajiit00,HairKhajiitMale10,KhajiitFemaleEarTufts,KhajiitMaleEarTufts,NoHair</t>
  </si>
  <si>
    <t>Vanilla - Bald</t>
  </si>
  <si>
    <t>DA05Hunter06_02Melee_Mazgak</t>
  </si>
  <si>
    <t>Uvi_Wig_Spell_VHRU_BaldCap</t>
  </si>
  <si>
    <t>Argonian_Male, Argonian_Female, Elf_Male, Elf_Female, Human_Male, Human_Female, HumanChild_Male, HumanChild_Female, Khajiit_Male, Khajiit_Female, Orc_Male, Orc_Female</t>
  </si>
  <si>
    <t>DA05_LvlHuntersOfHircine_OrcM</t>
  </si>
  <si>
    <t>000CE08A</t>
  </si>
  <si>
    <t>HairMaleOrc13</t>
  </si>
  <si>
    <t>HairMaleOrc08</t>
  </si>
  <si>
    <t>DA05Hunter10_03Missile_Yar</t>
  </si>
  <si>
    <t>Vanilla - Balding Bun</t>
  </si>
  <si>
    <t>DA05Hircine</t>
  </si>
  <si>
    <t>Uvi_Wig_Spell_VHRU_BaldingBun</t>
  </si>
  <si>
    <t>0001BB96</t>
  </si>
  <si>
    <t>Hircine</t>
  </si>
  <si>
    <t>Human_Male, Orc_Male</t>
  </si>
  <si>
    <t>HairMaleElf08</t>
  </si>
  <si>
    <t>DA05Hunter01_JKier</t>
  </si>
  <si>
    <t>0002ABC3</t>
  </si>
  <si>
    <t>J'Kier</t>
  </si>
  <si>
    <t>HairMaleNord19,HairMaleElf09</t>
  </si>
  <si>
    <t>HairKhajiitMale05</t>
  </si>
  <si>
    <t>DA05Hunter02_Rissing</t>
  </si>
  <si>
    <t>Vanilla - Balding Long</t>
  </si>
  <si>
    <t>0002ABC0</t>
  </si>
  <si>
    <t>Rissing</t>
  </si>
  <si>
    <t>Uvi_Wig_Spell_VHRU_BaldingLong</t>
  </si>
  <si>
    <t>Human_Male, Elf_Male, Orc_Male, Khajiit_Male</t>
  </si>
  <si>
    <t>DA05Hunter03_Eriana</t>
  </si>
  <si>
    <t>0002ABC4</t>
  </si>
  <si>
    <t>Eriana</t>
  </si>
  <si>
    <t>HairFemaleNord21</t>
  </si>
  <si>
    <t>DA05Hunter04_Rakheran</t>
  </si>
  <si>
    <t>HairMaleOrc11,HairMaleElder6</t>
  </si>
  <si>
    <t>0002ABC2</t>
  </si>
  <si>
    <t>Vanilla - Balding Ponytail Long</t>
  </si>
  <si>
    <t>Ra'kheran</t>
  </si>
  <si>
    <t>HairKhajiitMale07</t>
  </si>
  <si>
    <t>Uvi_Wig_Spell_VHRU_BaldingPonytailLong</t>
  </si>
  <si>
    <t>Human_Male, Elf_Male, Orc_Male</t>
  </si>
  <si>
    <t>DA05Hunter05_02Missile_Tsrasuna</t>
  </si>
  <si>
    <t>000CE081</t>
  </si>
  <si>
    <t>Tsrasuna</t>
  </si>
  <si>
    <t>HairKhajiitFemale08</t>
  </si>
  <si>
    <t>HairMaleOrc10</t>
  </si>
  <si>
    <t>Vanilla - Balding Ponytail Medium</t>
  </si>
  <si>
    <t>000CE082</t>
  </si>
  <si>
    <t>Mazgak</t>
  </si>
  <si>
    <t>Uvi_Wig_Spell_VHRU_BaldingPonytailMedium</t>
  </si>
  <si>
    <t>Orc_Male</t>
  </si>
  <si>
    <t>DA05Hunter08_03Melee_Torkild</t>
  </si>
  <si>
    <t>000CE084</t>
  </si>
  <si>
    <t>Torkild the Fearsome</t>
  </si>
  <si>
    <t>HairMaleOrc09</t>
  </si>
  <si>
    <t>Vanilla - Balding Ponytail Short</t>
  </si>
  <si>
    <t>DA05Hunter09_03Missile_Viding</t>
  </si>
  <si>
    <t>Uvi_Wig_Spell_VHRU_BaldingPonytailShort</t>
  </si>
  <si>
    <t>000CE085</t>
  </si>
  <si>
    <t>Viding</t>
  </si>
  <si>
    <t>000CE087</t>
  </si>
  <si>
    <t>Yar gro-Gatuk</t>
  </si>
  <si>
    <t>Vanilla - Balding Short 1</t>
  </si>
  <si>
    <t>Uvi_Wig_Spell_VHRU_BaldingShort1</t>
  </si>
  <si>
    <t>DA05Hunter11_04Melee_Ahjisi</t>
  </si>
  <si>
    <t>000CE086</t>
  </si>
  <si>
    <t>Ahjisi</t>
  </si>
  <si>
    <t>HairKhajiitFemale03</t>
  </si>
  <si>
    <t>DA05Hunter12_04Archer_Thjollod</t>
  </si>
  <si>
    <t>Vanilla - Balding Short 2</t>
  </si>
  <si>
    <t>000CE088</t>
  </si>
  <si>
    <t>Thjollod</t>
  </si>
  <si>
    <t>Uvi_Wig_Spell_VHRU_BaldingShort2</t>
  </si>
  <si>
    <t>DA05Hunter13_04Melee_Heratar</t>
  </si>
  <si>
    <t>000CE089</t>
  </si>
  <si>
    <t>Heratar</t>
  </si>
  <si>
    <t>Vanilla - Balding Short 3</t>
  </si>
  <si>
    <t>DA05Hunter14_01DeadMage_Hoddreid</t>
  </si>
  <si>
    <t>Uvi_Wig_Spell_VHRU_BaldingShort3</t>
  </si>
  <si>
    <t>000CE09D</t>
  </si>
  <si>
    <t>Hoddreid</t>
  </si>
  <si>
    <t>EncBandit02MagicNordF</t>
  </si>
  <si>
    <t>DA05Hunter15_01DeadMelee_Matasarr</t>
  </si>
  <si>
    <t>000CE09B</t>
  </si>
  <si>
    <t>Ma'tasarr</t>
  </si>
  <si>
    <t>Vanilla - Balding Short 4</t>
  </si>
  <si>
    <t>TreasCorpseCommonerKhajiitMale</t>
  </si>
  <si>
    <t>Uvi_Wig_Spell_VHRU_BaldingShort4</t>
  </si>
  <si>
    <t>DA05Hunter16_01DeadMissile_Batum</t>
  </si>
  <si>
    <t>000CE09C</t>
  </si>
  <si>
    <t>Batum gra-Bar</t>
  </si>
  <si>
    <t>TreasCorpseBanditOrcMale</t>
  </si>
  <si>
    <t>DA05SindingGhost</t>
  </si>
  <si>
    <t>00090CF2</t>
  </si>
  <si>
    <t>Vanilla - Balding Short 5</t>
  </si>
  <si>
    <t>DA05SindingHuman</t>
  </si>
  <si>
    <t>Uvi_Wig_Spell_VHRU_BaldingShort5</t>
  </si>
  <si>
    <t>0006C1B7</t>
  </si>
  <si>
    <t>Sinding</t>
  </si>
  <si>
    <t>DA06LvlOrcMelee</t>
  </si>
  <si>
    <t>0008CDA2</t>
  </si>
  <si>
    <t>Vanilla - Corn Row Mohawk</t>
  </si>
  <si>
    <t>HairMaleOrc15</t>
  </si>
  <si>
    <t>Uvi_Wig_Spell_VHRU_CornRowMohawk</t>
  </si>
  <si>
    <t>Human_Female, Human_Male, Elf_Female, Elf_Male, Orc_Female, Orc_Male, Khajiit_Female, Khajiit_Male</t>
  </si>
  <si>
    <t>DA07VoiceMehrunesDagon</t>
  </si>
  <si>
    <t>000252AA</t>
  </si>
  <si>
    <t>Mehrunes Dagon</t>
  </si>
  <si>
    <t>DremoraRace</t>
  </si>
  <si>
    <t>DA08Mephala</t>
  </si>
  <si>
    <t>0005BF3D</t>
  </si>
  <si>
    <t>Mephala</t>
  </si>
  <si>
    <t>Vanilla - Corn Rows</t>
  </si>
  <si>
    <t>HairKhajiitFemale04</t>
  </si>
  <si>
    <t>Uvi_Wig_Spell_VHRU_CornRows</t>
  </si>
  <si>
    <t>DA09Meridia</t>
  </si>
  <si>
    <t>0004E4DF</t>
  </si>
  <si>
    <t>Meridia</t>
  </si>
  <si>
    <t>HairFemaleElf05</t>
  </si>
  <si>
    <t>DA10MolagBalVoice</t>
  </si>
  <si>
    <t>00022F16</t>
  </si>
  <si>
    <t>Molag Bal</t>
  </si>
  <si>
    <t>DA11Nimphaneth</t>
  </si>
  <si>
    <t>HairFemaleNord21,HairMaleRedguard8,HairFemaleOrc17,HairMaleOrc27</t>
  </si>
  <si>
    <t>0009BB45</t>
  </si>
  <si>
    <t>Vanilla - Dreadlock Mohawk</t>
  </si>
  <si>
    <t>Nimphaneth</t>
  </si>
  <si>
    <t>Uvi_Wig_Spell_VHRU_DreadlockMohawk</t>
  </si>
  <si>
    <t>HairFemaleElf01</t>
  </si>
  <si>
    <t>DA11Sanyon</t>
  </si>
  <si>
    <t>0009BB47</t>
  </si>
  <si>
    <t>Sanyon</t>
  </si>
  <si>
    <t>HairMaleRedguard5,HairMaleOrc26</t>
  </si>
  <si>
    <t>DA11VoiceofNamira</t>
  </si>
  <si>
    <t>0008797F</t>
  </si>
  <si>
    <t>Vanilla - Dreadlock Ponytail</t>
  </si>
  <si>
    <t>Voice of Namira</t>
  </si>
  <si>
    <t>Uvi_Wig_Spell_VHRU_DreadlockPonytail</t>
  </si>
  <si>
    <t>HairFemaleDarkElf03</t>
  </si>
  <si>
    <t>DA13encAfflicted</t>
  </si>
  <si>
    <t>00043AB8</t>
  </si>
  <si>
    <t>Afflicted Devotee</t>
  </si>
  <si>
    <t>DA13EncAfflicted00Template</t>
  </si>
  <si>
    <t>HairMaleNord03,HairFemaleNord03,HairFemaleElf03</t>
  </si>
  <si>
    <t>00064A42</t>
  </si>
  <si>
    <t>Vanilla - French Braids</t>
  </si>
  <si>
    <t>Afflicted</t>
  </si>
  <si>
    <t>Uvi_Wig_Spell_VHRU_FrenchBraids</t>
  </si>
  <si>
    <t>Human_Female, Human_Male, Elf_Female, Orc_Female, Orc_Male, Khajiit_Female</t>
  </si>
  <si>
    <t>DA13EncAfflicted01TemplateMelee;DA13EncAfflicted02TemplateMelee;DA13EncAfflicted03TemplateMelee;DA13EncAfflicted04TemplateMelee;DA13EncAfflicted05TemplateMelee;DA13EncAfflicted06TemplateMelee;DA13EncAfflicted01TemplateMagic;DA13EncAfflicted05TemplateMagic;DA13EncAfflicted04TemplateMagic;DA13EncAfflicted03TemplateMagic;DA13EncAfflicted02TemplateMagic;DA13EncAfflicted01TemplateMissile;DA13EncAfflicted03TemplateMissile;DA13EncAfflicted02TemplateMissile;DA13EncAfflicted04TemplateMissile;DA13EncAfflicted05TemplateMissile;DA13EncAfflicted06TemplateMissile</t>
  </si>
  <si>
    <t>DA13EncAfflicted01MagicCondF</t>
  </si>
  <si>
    <t>00064A77</t>
  </si>
  <si>
    <t>HairFemaleNord19,HairFemaleElf09</t>
  </si>
  <si>
    <t>DA13EncAfflicted01TemplateMagic</t>
  </si>
  <si>
    <t>Vanilla - French Braids High</t>
  </si>
  <si>
    <t>DA13EncAfflicted01MagicCondM</t>
  </si>
  <si>
    <t>Uvi_Wig_Spell_VHRU_FrenchBraidsHigh</t>
  </si>
  <si>
    <t>00064A78</t>
  </si>
  <si>
    <t>DA13EncAfflicted01MagicEvenTonedF</t>
  </si>
  <si>
    <t>00064A75</t>
  </si>
  <si>
    <t>Vanilla - French Braids Ponytail</t>
  </si>
  <si>
    <t>DA13EncAfflicted01MagicEvenTonedM</t>
  </si>
  <si>
    <t>Uvi_Wig_Spell_VHRU_FrenchBraidsPonytail</t>
  </si>
  <si>
    <t>00064A76</t>
  </si>
  <si>
    <t>Human_Female, Human_Male, Orc_Female, Orc_Male, Khajiit_Female</t>
  </si>
  <si>
    <t>DA13EncAfflicted01Melee1HCondF</t>
  </si>
  <si>
    <t>00064A3F</t>
  </si>
  <si>
    <t>HairFemaleNord10,HairFemaleElf07</t>
  </si>
  <si>
    <t>DA13EncAfflicted01TemplateMelee</t>
  </si>
  <si>
    <t>Vanilla - French Braids Small</t>
  </si>
  <si>
    <t>DA13EncAfflicted01Melee1HTankCondF</t>
  </si>
  <si>
    <t>Uvi_Wig_Spell_VHRU_FrenchBraidsSmall</t>
  </si>
  <si>
    <t>DA13EncAfflicted01Melee1HCondM</t>
  </si>
  <si>
    <t>00064A40</t>
  </si>
  <si>
    <t>Human_Female, Human_Male, Elf_Female, Elf_Male, Orc_Female, Orc_Male, Khajiit_Female</t>
  </si>
  <si>
    <t>DA13EncAfflicted01Melee1HTankCondM</t>
  </si>
  <si>
    <t>DA13EncAfflicted01Melee1HEvenTonedF</t>
  </si>
  <si>
    <t>00064A3D</t>
  </si>
  <si>
    <t>Vanilla - Loose Bob Side Part</t>
  </si>
  <si>
    <t>Uvi_Wig_Spell_VHRU_LooseBobSidePart</t>
  </si>
  <si>
    <t>DA13EncAfflicted01Melee1HTankEvenTonedF</t>
  </si>
  <si>
    <t>Human_Female, Elf_Female, Orc_Female</t>
  </si>
  <si>
    <t>DA13EncAfflicted01Melee1HEvenTonedM</t>
  </si>
  <si>
    <t>00064A3E</t>
  </si>
  <si>
    <t>DA13EncAfflicted01Melee1HTankEvenTonedM</t>
  </si>
  <si>
    <t>HairFemaleRedguard01,HairFemaleElder01,HairFemaleElder02</t>
  </si>
  <si>
    <t>Vanilla - Loose Bun</t>
  </si>
  <si>
    <t>00064A8C</t>
  </si>
  <si>
    <t>Uvi_Wig_Spell_VHRU_LooseBun</t>
  </si>
  <si>
    <t>00064A8D</t>
  </si>
  <si>
    <t>Vanilla - Mohawk Braid Ponytails</t>
  </si>
  <si>
    <t>Uvi_Wig_Spell_VHRU_MohawkBraidPonytails</t>
  </si>
  <si>
    <t>00064A8A</t>
  </si>
  <si>
    <t>00064A8B</t>
  </si>
  <si>
    <t>Human_Female, Elf_Female, Orc_Female, Khajiit_Female, Khajiit_Male</t>
  </si>
  <si>
    <t>DA13EncAfflicted01MissileCondF</t>
  </si>
  <si>
    <t>00064AC3</t>
  </si>
  <si>
    <t>HairMaleNord16,HairFemaleNord16</t>
  </si>
  <si>
    <t>DA13EncAfflicted01TemplateMissile</t>
  </si>
  <si>
    <t>Vanilla - Mohawk French Braids</t>
  </si>
  <si>
    <t>DA13EncAfflicted01MissileCondM</t>
  </si>
  <si>
    <t>Uvi_Wig_Spell_VHRU_MohawkFrenchBraids</t>
  </si>
  <si>
    <t>00064AC4</t>
  </si>
  <si>
    <t>DA13EncAfflicted01MissileEvenTonedF</t>
  </si>
  <si>
    <t>00064AB2</t>
  </si>
  <si>
    <t>HairMaleNord17,HairKhajiitMale07</t>
  </si>
  <si>
    <t>Vanilla - Mohawk Long</t>
  </si>
  <si>
    <t>DA13EncAfflicted01MissileEvenTonedM</t>
  </si>
  <si>
    <t>Uvi_Wig_Spell_VHRU_MohawkLong</t>
  </si>
  <si>
    <t>00064AB3</t>
  </si>
  <si>
    <t>00064A69</t>
  </si>
  <si>
    <t>HairKhajiitFemale04,HairKhajiitFemale08</t>
  </si>
  <si>
    <t>Vanilla - Mohawk Messy Long Braid</t>
  </si>
  <si>
    <t>DA13EncAfflicted01MagicEvenTonedF;DA13EncAfflicted01MagicEvenTonedM;DA13EncAfflicted01MagicCondF;DA13EncAfflicted01MagicCondM</t>
  </si>
  <si>
    <t>Uvi_Wig_Spell_VHRU_MohawkMessyLongBraid</t>
  </si>
  <si>
    <t>00064A41</t>
  </si>
  <si>
    <t>DA13EncAfflicted01Melee1HEvenTonedF;DA13EncAfflicted01Melee1HEvenTonedM;DA13EncAfflicted01Melee1HCondF;DA13EncAfflicted01Melee1HCondM</t>
  </si>
  <si>
    <t>00064AAB</t>
  </si>
  <si>
    <t>HairKhajiitMale09,HairKhajiitFemale01,HairKhajiitFemale09</t>
  </si>
  <si>
    <t>Vanilla - Mohawk Messy Ringed Braids</t>
  </si>
  <si>
    <t>DA13EncAfflicted01MissileEvenTonedF;DA13EncAfflicted01MissileEvenTonedM;DA13EncAfflicted02MissileEvenTonedM;DA13EncAfflicted01MissileCondF;DA13EncAfflicted01MissileCondM;DA13EncAfflicted02MissileCondM</t>
  </si>
  <si>
    <t>Uvi_Wig_Spell_VHRU_MohawkMessyRingedBraids</t>
  </si>
  <si>
    <t>DA13EncAfflicted02MagicCondF</t>
  </si>
  <si>
    <t>00064A7B</t>
  </si>
  <si>
    <t>DA13EncAfflicted02TemplateMagic</t>
  </si>
  <si>
    <t>DA13EncAfflicted02MagicCondM</t>
  </si>
  <si>
    <t>00064A7C</t>
  </si>
  <si>
    <t>DA13EncAfflicted02MagicEvenTonedF</t>
  </si>
  <si>
    <t>00064A79</t>
  </si>
  <si>
    <t>DA13EncAfflicted02MagicEvenTonedM</t>
  </si>
  <si>
    <t>00064A7A</t>
  </si>
  <si>
    <t>HairKhajiitMale04,HairKhajiitFemale03,HairKhajiitFemale07</t>
  </si>
  <si>
    <t>Vanilla - Mohawk Messy Side Braids</t>
  </si>
  <si>
    <t>Uvi_Wig_Spell_VHRU_MohawkMessySideBraids</t>
  </si>
  <si>
    <t>DA13EncAfflicted02Melee1HCondF</t>
  </si>
  <si>
    <t>00064A46</t>
  </si>
  <si>
    <t>DA13EncAfflicted02TemplateMelee</t>
  </si>
  <si>
    <t>DA13EncAfflicted02Melee1HTankCondF</t>
  </si>
  <si>
    <t>DA13EncAfflicted02Melee1HCondM</t>
  </si>
  <si>
    <t>00064A47</t>
  </si>
  <si>
    <t>Vanilla - Mohawk Mullet</t>
  </si>
  <si>
    <t>DA13EncAfflicted02Melee1HTankCondM</t>
  </si>
  <si>
    <t>Uvi_Wig_Spell_VHRU_MohawkMullet</t>
  </si>
  <si>
    <t>DA13EncAfflicted02Melee1HEvenTonedF</t>
  </si>
  <si>
    <t>00064A44</t>
  </si>
  <si>
    <t>DA13EncAfflicted02Melee1HTankEvenTonedF</t>
  </si>
  <si>
    <t>DA13EncAfflicted02Melee1HEvenTonedM</t>
  </si>
  <si>
    <t>00064A45</t>
  </si>
  <si>
    <t>HairKhajiitMale01</t>
  </si>
  <si>
    <t>Vanilla - Mohawk Mullet Side Braids</t>
  </si>
  <si>
    <t>DA13EncAfflicted02Melee1HTankEvenTonedM</t>
  </si>
  <si>
    <t>Uvi_Wig_Spell_VHRU_MohawkMulletSideBraids</t>
  </si>
  <si>
    <t>00064AA0</t>
  </si>
  <si>
    <t>Human_Male, Elf_Male, Orc_Male, Khajiit_Female, Khajiit_Male</t>
  </si>
  <si>
    <t>00064AA1</t>
  </si>
  <si>
    <t>HairKhajiitMale06</t>
  </si>
  <si>
    <t>Vanilla - Mohawk Ponytail</t>
  </si>
  <si>
    <t>Uvi_Wig_Spell_VHRU_MohawkPonytail</t>
  </si>
  <si>
    <t>00064A96</t>
  </si>
  <si>
    <t>HairKhajiitFemale05</t>
  </si>
  <si>
    <t>Vanilla - Mohawk Ponytails</t>
  </si>
  <si>
    <t>00064A97</t>
  </si>
  <si>
    <t>Uvi_Wig_Spell_VHRU_MohawkPonytails</t>
  </si>
  <si>
    <t>DA13EncAfflicted02MissileCondF</t>
  </si>
  <si>
    <t>00064AC6</t>
  </si>
  <si>
    <t>DA13EncAfflicted02TemplateMissile</t>
  </si>
  <si>
    <t>HairKhajiitFemale06</t>
  </si>
  <si>
    <t>Vanilla - Mohawk Segmented Ponytail</t>
  </si>
  <si>
    <t>DA13EncAfflicted02MissileCondM</t>
  </si>
  <si>
    <t>00064AC5</t>
  </si>
  <si>
    <t>Uvi_Wig_Spell_VHRU_MohawkSegmentedPonytail</t>
  </si>
  <si>
    <t>DA13EncAfflicted02MissileEvenTonedF</t>
  </si>
  <si>
    <t>00064AB4</t>
  </si>
  <si>
    <t>HairMaleDarkElf05,HairFemaleDarkElf06</t>
  </si>
  <si>
    <t>Vanilla - Mohawk Short</t>
  </si>
  <si>
    <t>DA13EncAfflicted02MissileEvenTonedM</t>
  </si>
  <si>
    <t>00064AB5</t>
  </si>
  <si>
    <t>Uvi_Wig_Spell_VHRU_MohawkShort</t>
  </si>
  <si>
    <t>00064A6E</t>
  </si>
  <si>
    <t>DA13EncAfflicted02MagicEvenTonedF;DA13EncAfflicted02MagicEvenTonedM;DA13EncAfflicted02MagicCondF;DA13EncAfflicted02MagicCondM</t>
  </si>
  <si>
    <t>Vanilla - Ponytail Bangs Long</t>
  </si>
  <si>
    <t>00064A43</t>
  </si>
  <si>
    <t>Uvi_Wig_Spell_VHRU_PonytailBangsLong</t>
  </si>
  <si>
    <t>DA13EncAfflicted02Melee1HEvenTonedF;DA13EncAfflicted02Melee1HEvenTonedM;DA13EncAfflicted02Melee1HCondF;DA13EncAfflicted02Melee1HCondM</t>
  </si>
  <si>
    <t>00064AB7</t>
  </si>
  <si>
    <t>Vanilla - Ponytail Bangs Short</t>
  </si>
  <si>
    <t>DA13EncAfflicted02MissileEvenTonedF;DA13EncAfflicted02MissileCondF</t>
  </si>
  <si>
    <t>DA13EncAfflicted03MagicCondF</t>
  </si>
  <si>
    <t>Uvi_Wig_Spell_VHRU_PonytailBangsShort</t>
  </si>
  <si>
    <t>00064A7F</t>
  </si>
  <si>
    <t>DA13EncAfflicted03TemplateMagic</t>
  </si>
  <si>
    <t>DA13EncAfflicted03MagicCondM</t>
  </si>
  <si>
    <t>00064A80</t>
  </si>
  <si>
    <t>HairFemaleNord17,HairFemaleElder04</t>
  </si>
  <si>
    <t>Vanilla - Ponytail Braid Looped</t>
  </si>
  <si>
    <t>DA13EncAfflicted03MagicEvenTonedF</t>
  </si>
  <si>
    <t>Uvi_Wig_Spell_VHRU_PonytailBraidLooped</t>
  </si>
  <si>
    <t>00064A7D</t>
  </si>
  <si>
    <t>DA13EncAfflicted03MagicEvenTonedM</t>
  </si>
  <si>
    <t>00064A7E</t>
  </si>
  <si>
    <t>DA13EncAfflicted03Melee1HCondF</t>
  </si>
  <si>
    <t>HairMaleNord05,HairFemaleNord05,HairMaleElf03,HairFemaleElf04,HairKhajiitMale02,HairKhajiitFemale02,HairKhajiitFemale10,HairFemaleElder03</t>
  </si>
  <si>
    <t>00064A4B</t>
  </si>
  <si>
    <t>Vanilla - Ponytail Half-up</t>
  </si>
  <si>
    <t>DA13EncAfflicted03TemplateMelee</t>
  </si>
  <si>
    <t>Uvi_Wig_Spell_VHRU_PonytailHalf-up</t>
  </si>
  <si>
    <t>DA13EncAfflicted03Melee1HTankCondF</t>
  </si>
  <si>
    <t>Human_Female, Human_Male, Elf_Female, Elf_Male, Orc_Male, Khajiit_Female, Khajiit_Male</t>
  </si>
  <si>
    <t>DA13EncAfflicted03Melee1HCondM</t>
  </si>
  <si>
    <t>00064A4C</t>
  </si>
  <si>
    <t>DA13EncAfflicted03Melee1HTankCondM</t>
  </si>
  <si>
    <t>DA13EncAfflicted03Melee1HEvenTonedF</t>
  </si>
  <si>
    <t>Vanilla - Ponytail Half-up Bangs</t>
  </si>
  <si>
    <t>00064A49</t>
  </si>
  <si>
    <t>Uvi_Wig_Spell_VHRU_PonytailHalf-upBangs</t>
  </si>
  <si>
    <t>DA13EncAfflicted03Melee1HTankEvenTonedF</t>
  </si>
  <si>
    <t>DA13EncAfflicted03Melee1HEvenTonedM</t>
  </si>
  <si>
    <t>00064A4A</t>
  </si>
  <si>
    <t>HairMaleNord12,HairFemaleNord12,HairMaleElf06</t>
  </si>
  <si>
    <t>DA13EncAfflicted03Melee1HTankEvenTonedM</t>
  </si>
  <si>
    <t>Vanilla - Ponytail Low</t>
  </si>
  <si>
    <t>00064AA2</t>
  </si>
  <si>
    <t>Uvi_Wig_Spell_VHRU_PonytailLow</t>
  </si>
  <si>
    <t>00064AA3</t>
  </si>
  <si>
    <t>HairMaleNord13,HairFemaleNord13</t>
  </si>
  <si>
    <t>Vanilla - Pulled Back Long Braid</t>
  </si>
  <si>
    <t>00064A98</t>
  </si>
  <si>
    <t>Uvi_Wig_Spell_VHRU_PulledBackLongBraid</t>
  </si>
  <si>
    <t>00064A99</t>
  </si>
  <si>
    <t>HairFemaleOrc06</t>
  </si>
  <si>
    <t>Vanilla - Ronin Pinned Bun</t>
  </si>
  <si>
    <t>Uvi_Wig_Spell_VHRU_RoninPinnedBun</t>
  </si>
  <si>
    <t>DA13EncAfflicted03MissileCondF</t>
  </si>
  <si>
    <t>00064AC7</t>
  </si>
  <si>
    <t>DA13EncAfflicted03TemplateMissile</t>
  </si>
  <si>
    <t>HairFemaleOrc05</t>
  </si>
  <si>
    <t>DA13EncAfflicted03MissileCondM</t>
  </si>
  <si>
    <t>Vanilla - Ronin Pinned Bun Half-up</t>
  </si>
  <si>
    <t>00064ACE</t>
  </si>
  <si>
    <t>Uvi_Wig_Spell_VHRU_RoninPinnedBunHalf-up</t>
  </si>
  <si>
    <t>DA13EncAfflicted03MissileEvenTonedF</t>
  </si>
  <si>
    <t>00064ABB</t>
  </si>
  <si>
    <t>DA13EncAfflicted03MissileEvenTonedM</t>
  </si>
  <si>
    <t>00064ABC</t>
  </si>
  <si>
    <t>HairMaleOrc07</t>
  </si>
  <si>
    <t>Vanilla - Ronin Ponytail Banded</t>
  </si>
  <si>
    <t>Uvi_Wig_Spell_VHRU_RoninPonytailBanded</t>
  </si>
  <si>
    <t>00064A6D</t>
  </si>
  <si>
    <t>DA13EncAfflicted03MagicEvenTonedF;DA13EncAfflicted03MagicEvenTonedM;DA13EncAfflicted03MagicCondF;DA13EncAfflicted03MagicCondM</t>
  </si>
  <si>
    <t>HairMaleOrc06</t>
  </si>
  <si>
    <t>00064A48</t>
  </si>
  <si>
    <t>Vanilla - Ronin Ponytail Braid</t>
  </si>
  <si>
    <t>Uvi_Wig_Spell_VHRU_RoninPonytailBraid</t>
  </si>
  <si>
    <t>DA13EncAfflicted03Melee1HEvenTonedF;DA13EncAfflicted03Melee1HEvenTonedM;DA13EncAfflicted03Melee1HCondF;DA13EncAfflicted03Melee1HCondM</t>
  </si>
  <si>
    <t>00064AB6</t>
  </si>
  <si>
    <t>DA13EncAfflicted03MissileEvenTonedF;DA13EncAfflicted03MissileEvenTonedM;DA13EncAfflicted03MissileCondF;DA13EncAfflicted03MissileCondM</t>
  </si>
  <si>
    <t>HairFemaleOrc01,HairMaleOrc01</t>
  </si>
  <si>
    <t>Vanilla - Ronin Ponytail Half-up</t>
  </si>
  <si>
    <t>DA13EncAfflicted04MagicCondF</t>
  </si>
  <si>
    <t>00064A83</t>
  </si>
  <si>
    <t>Uvi_Wig_Spell_VHRU_RoninPonytailHalf-up</t>
  </si>
  <si>
    <t>DA13EncAfflicted04TemplateMagic</t>
  </si>
  <si>
    <t>DA13EncAfflicted04MagicCondM</t>
  </si>
  <si>
    <t>00064A84</t>
  </si>
  <si>
    <t>HairFemaleOrc03,HairMaleOrc05</t>
  </si>
  <si>
    <t>DA13EncAfflicted04MagicEvenTonedF</t>
  </si>
  <si>
    <t>Vanilla - Ronin Ponytail Long</t>
  </si>
  <si>
    <t>00064A81</t>
  </si>
  <si>
    <t>Uvi_Wig_Spell_VHRU_RoninPonytailLong</t>
  </si>
  <si>
    <t>DA13EncAfflicted04MagicEvenTonedM</t>
  </si>
  <si>
    <t>00064A82</t>
  </si>
  <si>
    <t>HairMaleOrc04</t>
  </si>
  <si>
    <t>Da13EncAfflicted04Melee1HCondF</t>
  </si>
  <si>
    <t>Vanilla - Ronin Ponytail Medium</t>
  </si>
  <si>
    <t>00064A50</t>
  </si>
  <si>
    <t>Uvi_Wig_Spell_VHRU_RoninPonytailMedium</t>
  </si>
  <si>
    <t>DA13EncAfflicted04TemplateMelee</t>
  </si>
  <si>
    <t>Human_Female, Orc_Male</t>
  </si>
  <si>
    <t>DA13EncAfflicted04Melee1HTankCondF</t>
  </si>
  <si>
    <t>DA13EncAfflicted04Melee1HCondM</t>
  </si>
  <si>
    <t>00064A51</t>
  </si>
  <si>
    <t>HairMaleOrc03</t>
  </si>
  <si>
    <t>Vanilla - Ronin Ponytail Short</t>
  </si>
  <si>
    <t>DA13EncAfflicted04Melee1HTankCondM</t>
  </si>
  <si>
    <t>DA13EncAfflicted04Melee1HEvenTonedF</t>
  </si>
  <si>
    <t>Uvi_Wig_Spell_VHRU_RoninPonytailShort</t>
  </si>
  <si>
    <t>00064A4E</t>
  </si>
  <si>
    <t>Human_Female, Elf_Female, Orc_Male</t>
  </si>
  <si>
    <t>DA13EncAfflicted04Melee1HTankEvenTonedF</t>
  </si>
  <si>
    <t>Da13EncAfflicted04Melee1HEvenTonedM</t>
  </si>
  <si>
    <t>00064A4F</t>
  </si>
  <si>
    <t>Vanilla - Ronin Stacked Buns</t>
  </si>
  <si>
    <t>DA13EncAfflicted04Melee1HTankEvenTonedM</t>
  </si>
  <si>
    <t>Uvi_Wig_Spell_VHRU_RoninStackedBuns</t>
  </si>
  <si>
    <t>00064AA4</t>
  </si>
  <si>
    <t>Human_Female, Elf_Female, Orc_Female, Orc_Male</t>
  </si>
  <si>
    <t>00064AA5</t>
  </si>
  <si>
    <t>Vanilla - Ronin Stacked Buns Half-up</t>
  </si>
  <si>
    <t>Uvi_Wig_Spell_VHRU_RoninStackedBunsHalf-up</t>
  </si>
  <si>
    <t>00064A9A</t>
  </si>
  <si>
    <t>00064A9B</t>
  </si>
  <si>
    <t>HairMaleOrc02,HairFemaleOrc04</t>
  </si>
  <si>
    <t>Vanilla - Ronin Top-knot</t>
  </si>
  <si>
    <t>Uvi_Wig_Spell_VHRU_RoninTop-knot</t>
  </si>
  <si>
    <t>DA13EncAfflicted04MissileCondF</t>
  </si>
  <si>
    <t>00064ACD</t>
  </si>
  <si>
    <t>DA13EncAfflicted04TemplateMissile</t>
  </si>
  <si>
    <t>DA13EncAfflicted04MissileCondM</t>
  </si>
  <si>
    <t>00064AC8</t>
  </si>
  <si>
    <t>HairFemaleOrc02</t>
  </si>
  <si>
    <t>Vanilla - Ronin Top-knot Half-up</t>
  </si>
  <si>
    <t>Uvi_Wig_Spell_VHRU_RoninTop-knotHalf-up</t>
  </si>
  <si>
    <t>DA13EncAfflicted04MissileEvenTonedF</t>
  </si>
  <si>
    <t>00064ABD</t>
  </si>
  <si>
    <t>DA13EncAfflicted04MissileEvenTonedM</t>
  </si>
  <si>
    <t>00064ABE</t>
  </si>
  <si>
    <t>Vanilla - Ronin Undercut Ponytail Banded</t>
  </si>
  <si>
    <t>Uvi_Wig_Spell_VHRU_RoninUndercutPonytailBanded</t>
  </si>
  <si>
    <t>00064A6C</t>
  </si>
  <si>
    <t>DA13EncAfflicted04MagicEvenTonedF;DA13EncAfflicted04MagicEvenTonedM;DA13EncAfflicted04MagicCondF;DA13EncAfflicted04MagicCondM</t>
  </si>
  <si>
    <t>00064A4D</t>
  </si>
  <si>
    <t>Vanilla - Ronin Undercut Ponytail Long</t>
  </si>
  <si>
    <t>Uvi_Wig_Spell_VHRU_RoninUndercutPonytailLong</t>
  </si>
  <si>
    <t>DA13EncAfflicted04Melee1HEvenTonedF;Da13EncAfflicted04Melee1HEvenTonedM;Da13EncAfflicted04Melee1HCondF;DA13EncAfflicted04Melee1HCondM</t>
  </si>
  <si>
    <t>00064AB8</t>
  </si>
  <si>
    <t>DA13EncAfflicted04MissileEvenTonedF;DA13EncAfflicted04MissileEvenTonedM;DA13EncAfflicted04MissileCondM;DA13EncAfflicted04MissileCondF</t>
  </si>
  <si>
    <t>DA13EncAfflicted05MagicCondF</t>
  </si>
  <si>
    <t>00064A87</t>
  </si>
  <si>
    <t>HairMaleOrc12</t>
  </si>
  <si>
    <t>Vanilla - Ronin Undercut Ponytail Short</t>
  </si>
  <si>
    <t>DA13EncAfflicted05TemplateMagic</t>
  </si>
  <si>
    <t>Uvi_Wig_Spell_VHRU_RoninUndercutPonytailShort</t>
  </si>
  <si>
    <t>DA13EncAfflicted05MagicEvenTonedF</t>
  </si>
  <si>
    <t>00064A85</t>
  </si>
  <si>
    <t>DA13EncAfflicted05MagicEvenTonedM</t>
  </si>
  <si>
    <t>00064A86</t>
  </si>
  <si>
    <t>HairMaleRedguard1,HairFemaleRedguard03,HairFemaleDarkElf07,HairMaleDarkElf07,HairFemaleOrc13,HairMaleOrc25</t>
  </si>
  <si>
    <t>Vanilla - Shaved 1</t>
  </si>
  <si>
    <t>DA13EncAfflicted05Melee1HCondF</t>
  </si>
  <si>
    <t>00064A55</t>
  </si>
  <si>
    <t>Uvi_Wig_Spell_VHRU_Shaved1</t>
  </si>
  <si>
    <t>DA13EncAfflicted05TemplateMelee</t>
  </si>
  <si>
    <t>DA13EncAfflicted05Melee1HTankCondF</t>
  </si>
  <si>
    <t>DA13EncAfflicted05Melee1HCondM</t>
  </si>
  <si>
    <t>00064A56</t>
  </si>
  <si>
    <t>HairMaleRedguard2,HairFemaleRedguard04</t>
  </si>
  <si>
    <t>Vanilla - Shaved 2</t>
  </si>
  <si>
    <t>DA13EncAfflicted05Melee1HTankCondM</t>
  </si>
  <si>
    <t>Uvi_Wig_Spell_VHRU_Shaved2</t>
  </si>
  <si>
    <t>DA13EncAfflicted05Melee1HEvenTonedF</t>
  </si>
  <si>
    <t>Human_Female, Human_Male</t>
  </si>
  <si>
    <t>00064A53</t>
  </si>
  <si>
    <t>DA13EncAfflicted05Melee1HTankEvenTonedF</t>
  </si>
  <si>
    <t>HairFemaleOrc12</t>
  </si>
  <si>
    <t>DA13EncAfflicted05Melee1HEvenTonedM</t>
  </si>
  <si>
    <t>Vanilla - Shaved Ponytail Banded Long</t>
  </si>
  <si>
    <t>00064A54</t>
  </si>
  <si>
    <t>Uvi_Wig_Spell_VHRU_ShavedPonytailBandedLong</t>
  </si>
  <si>
    <t>DA13EncAfflicted05Melee1HTankEvenTonedM</t>
  </si>
  <si>
    <t>00064AA6</t>
  </si>
  <si>
    <t>HairFemaleOrc11</t>
  </si>
  <si>
    <t>Vanilla - Shaved Ponytail Banded Short</t>
  </si>
  <si>
    <t>00064AA7</t>
  </si>
  <si>
    <t>Uvi_Wig_Spell_VHRU_ShavedPonytailBandedShort</t>
  </si>
  <si>
    <t>Human_Female, Elf_Female, Orc_Female, Orc_Male, Khajiit_Female</t>
  </si>
  <si>
    <t>00064A9C</t>
  </si>
  <si>
    <t>HairMaleOrc24</t>
  </si>
  <si>
    <t>Vanilla - Shaved Ponytail Braid</t>
  </si>
  <si>
    <t>00064A9D</t>
  </si>
  <si>
    <t>Uvi_Wig_Spell_VHRU_ShavedPonytailBraid</t>
  </si>
  <si>
    <t>DA13EncAfflicted05MissileCondF</t>
  </si>
  <si>
    <t>00064AC9</t>
  </si>
  <si>
    <t>DA13EncAfflicted05TemplateMissile</t>
  </si>
  <si>
    <t>HairMaleOrc23</t>
  </si>
  <si>
    <t>DA13EncAfflicted05MissileCondM</t>
  </si>
  <si>
    <t>Vanilla - Shaved Ponytail Long</t>
  </si>
  <si>
    <t>00064ACA</t>
  </si>
  <si>
    <t>Uvi_Wig_Spell_VHRU_ShavedPonytailLong</t>
  </si>
  <si>
    <t>DA13EncAfflicted05MissileEvenTonedF</t>
  </si>
  <si>
    <t>00064ABF</t>
  </si>
  <si>
    <t>DA13EncAfflicted05MissileEvenTonedM</t>
  </si>
  <si>
    <t>00064AC0</t>
  </si>
  <si>
    <t>HairMaleOrc22</t>
  </si>
  <si>
    <t>Vanilla - Shaved Ponytail Medium</t>
  </si>
  <si>
    <t>Uvi_Wig_Spell_VHRU_ShavedPonytailMedium</t>
  </si>
  <si>
    <t>00064A6B</t>
  </si>
  <si>
    <t>DA13EncAfflicted05MagicEvenTonedF;DA13EncAfflicted05MagicEvenTonedM;DA13EncAfflicted05MagicCondF</t>
  </si>
  <si>
    <t>00064A52</t>
  </si>
  <si>
    <t>HairMaleOrc21</t>
  </si>
  <si>
    <t>Vanilla - Shaved Ponytail Short</t>
  </si>
  <si>
    <t>Uvi_Wig_Spell_VHRU_ShavedPonytailShort</t>
  </si>
  <si>
    <t>DA13EncAfflicted05Melee1HEvenTonedF;DA13EncAfflicted05Melee1HEvenTonedM;DA13EncAfflicted05Melee1HCondF;DA13EncAfflicted05Melee1HCondM</t>
  </si>
  <si>
    <t>00064AB9</t>
  </si>
  <si>
    <t>DA13EncAfflicted05MissileEvenTonedF;DA13EncAfflicted05MissileEvenTonedM;DA13EncAfflicted05MissileCondF;DA13EncAfflicted05MissileCondM</t>
  </si>
  <si>
    <t>HairFemaleOrc10</t>
  </si>
  <si>
    <t>DA13EncAfflicted06Melee1HCondF</t>
  </si>
  <si>
    <t>Vanilla - Shaved Top Ponytail Banded Long</t>
  </si>
  <si>
    <t>00064A5A</t>
  </si>
  <si>
    <t>Uvi_Wig_Spell_VHRU_ShavedTopPonytailBandedLong</t>
  </si>
  <si>
    <t>DA13EncAfflicted06TemplateMelee</t>
  </si>
  <si>
    <t>DA13EncAfflicted06Melee1HTankCondF</t>
  </si>
  <si>
    <t>DA13EncAfflicted06Melee1HCondM</t>
  </si>
  <si>
    <t>00064A5B</t>
  </si>
  <si>
    <t>Vanilla - Shaved Top Ponytail Banded Short</t>
  </si>
  <si>
    <t>DA13EncAfflicted06Melee1HTankCondM</t>
  </si>
  <si>
    <t>DA13EncAfflicted06Melee1HEvenTonedF</t>
  </si>
  <si>
    <t>Uvi_Wig_Spell_VHRU_ShavedTopPonytailBandedShort</t>
  </si>
  <si>
    <t>00064A58</t>
  </si>
  <si>
    <t>HairMaleOrc20</t>
  </si>
  <si>
    <t>Vanilla - Shaved Top Ponytail Long</t>
  </si>
  <si>
    <t>DA13EncAfflicted06Melee1HTankEvenTonedF</t>
  </si>
  <si>
    <t>DA13EncAfflicted06Melee1HEvenTonedM</t>
  </si>
  <si>
    <t>00064A59</t>
  </si>
  <si>
    <t>Uvi_Wig_Spell_VHRU_ShavedTopPonytailLong</t>
  </si>
  <si>
    <t>DA13EncAfflicted06Melee1HTankEvenTonedM</t>
  </si>
  <si>
    <t>00064AA8</t>
  </si>
  <si>
    <t>HairMaleOrc19</t>
  </si>
  <si>
    <t>Vanilla - Shaved Top Ponytail Medium</t>
  </si>
  <si>
    <t>Uvi_Wig_Spell_VHRU_ShavedTopPonytailMedium</t>
  </si>
  <si>
    <t>00064AA9</t>
  </si>
  <si>
    <t>00064A9E</t>
  </si>
  <si>
    <t>HairMaleOrc18</t>
  </si>
  <si>
    <t>Vanilla - Shaved Top Ponytail Short</t>
  </si>
  <si>
    <t>Uvi_Wig_Spell_VHRU_ShavedTopPonytailShort</t>
  </si>
  <si>
    <t>00064A9F</t>
  </si>
  <si>
    <t>DA13EncAfflicted06MissileCondF</t>
  </si>
  <si>
    <t>00064ACB</t>
  </si>
  <si>
    <t>HairFemaleImperial1,HairMaleImperial1</t>
  </si>
  <si>
    <t>Vanilla - Short</t>
  </si>
  <si>
    <t>DA13EncAfflicted06TemplateMissile</t>
  </si>
  <si>
    <t>Uvi_Wig_Spell_VHRU_Short</t>
  </si>
  <si>
    <t>Human_Female, Human_Male, Orc_Female, Orc_Male</t>
  </si>
  <si>
    <t>DA13EncAfflicted06MissileCondM</t>
  </si>
  <si>
    <t>00064ACC</t>
  </si>
  <si>
    <t>DA13EncAfflicted06MissileEvenTonedF</t>
  </si>
  <si>
    <t>00064AC1</t>
  </si>
  <si>
    <t>Vanilla - Short Loose</t>
  </si>
  <si>
    <t>Uvi_Wig_Spell_VHRU_ShortLoose</t>
  </si>
  <si>
    <t>DA13EncAfflicted06MissileEvenTonedM</t>
  </si>
  <si>
    <t>00064AC2</t>
  </si>
  <si>
    <t>00064A57</t>
  </si>
  <si>
    <t>Vanilla - Short Loose Braids</t>
  </si>
  <si>
    <t>DA13EncAfflicted06Melee1HEvenTonedF;DA13EncAfflicted06Melee1HEvenTonedM;DA13EncAfflicted06Melee1HCondF;DA13EncAfflicted06Melee1HCondM</t>
  </si>
  <si>
    <t>Uvi_Wig_Spell_VHRU_ShortLooseBraids</t>
  </si>
  <si>
    <t>00064ABA</t>
  </si>
  <si>
    <t>DA13EncAfflicted06MissileEvenTonedF;DA13EncAfflicted06MissileEvenTonedM;DA13EncAfflicted06MissileCondF;DA13EncAfflicted06MissileCondM</t>
  </si>
  <si>
    <t>DA13LvlAfflictedMelee1HEvenTonedM</t>
  </si>
  <si>
    <t>HairMaleNord20</t>
  </si>
  <si>
    <t>00084447</t>
  </si>
  <si>
    <t>Vanilla - Sidecut Long</t>
  </si>
  <si>
    <t>Uvi_Wig_Spell_VHRU_SidecutLong</t>
  </si>
  <si>
    <t>DA13LvlAfflictedMelee1HWERefugee</t>
  </si>
  <si>
    <t>Human_Female, Human_Male, Orc_Female, Orc_Male, Khajiit_Female, Khajiit_Male</t>
  </si>
  <si>
    <t>000BEDE5</t>
  </si>
  <si>
    <t>Afflicted Refugee</t>
  </si>
  <si>
    <t>HairMaleDarkElf04,HairFemaleDarkElf08</t>
  </si>
  <si>
    <t>Vanilla - Sidecut Short</t>
  </si>
  <si>
    <t>Uvi_Wig_Spell_VHRU_SidecutShort</t>
  </si>
  <si>
    <t>DA13LvlAfflictedMissileEvenTonedM</t>
  </si>
  <si>
    <t>0008443D</t>
  </si>
  <si>
    <t>Human_Female, Elf_Female, Elf_Male, Orc_Female, Orc_Male</t>
  </si>
  <si>
    <t>DA13LvlAfflictedWizardCondM</t>
  </si>
  <si>
    <t>00084446</t>
  </si>
  <si>
    <t>HairMaleNord06,HairFemaleNord06,HairFemaleElf05</t>
  </si>
  <si>
    <t>Vanilla - Slicked Back Long Side Braid</t>
  </si>
  <si>
    <t>DA13LvlAfflictedWizardEvenTonedF</t>
  </si>
  <si>
    <t>Uvi_Wig_Spell_VHRU_SlickedBackLongSideBraid</t>
  </si>
  <si>
    <t>00084448</t>
  </si>
  <si>
    <t>DA13LvlAfflictedWizardEvenTonedFPlayIdle</t>
  </si>
  <si>
    <t>00064ADC</t>
  </si>
  <si>
    <t>HairFemaleNord20</t>
  </si>
  <si>
    <t>DA13LvlAfflictedWizardEvenToneMPlayIdle</t>
  </si>
  <si>
    <t>00064ADD</t>
  </si>
  <si>
    <t>HairMaleNord14,HairMaleElf07</t>
  </si>
  <si>
    <t>Vanilla - Slicked Back Short</t>
  </si>
  <si>
    <t>Uvi_Wig_Spell_VHRU_SlickedBackShort</t>
  </si>
  <si>
    <t>DA13Orchendor</t>
  </si>
  <si>
    <t>00045F78</t>
  </si>
  <si>
    <t>Human_Female, Human_Male, Elf_Female, Orc_Female, Orc_Male</t>
  </si>
  <si>
    <t>Orchendor</t>
  </si>
  <si>
    <t>DA13PeryiteMonk</t>
  </si>
  <si>
    <t>00089986</t>
  </si>
  <si>
    <t>HairMaleNord04,HairFemaleNord04</t>
  </si>
  <si>
    <t>Kesh the Clean</t>
  </si>
  <si>
    <t>Vanilla - Slicked Back Side Braids</t>
  </si>
  <si>
    <t>Uvi_Wig_Spell_VHRU_SlickedBackSideBraids</t>
  </si>
  <si>
    <t>DA14Cultist</t>
  </si>
  <si>
    <t>0001CB2E</t>
  </si>
  <si>
    <t>Drunk Cultist</t>
  </si>
  <si>
    <t>DA14Samwell</t>
  </si>
  <si>
    <t>0001BB9C</t>
  </si>
  <si>
    <t>Vanilla - Space Buns Loose</t>
  </si>
  <si>
    <t>Sam Guevenne</t>
  </si>
  <si>
    <t>Uvi_Wig_Spell_VHRU_SpaceBunsLoose</t>
  </si>
  <si>
    <t>DA14Sanguine</t>
  </si>
  <si>
    <t>0002E1F2</t>
  </si>
  <si>
    <t>Sanguine</t>
  </si>
  <si>
    <t>DA14Summoned</t>
  </si>
  <si>
    <t>0001F3AA</t>
  </si>
  <si>
    <t>Dremora</t>
  </si>
  <si>
    <t>Vanilla - Space Buns Tight</t>
  </si>
  <si>
    <t>DA15Pelagius</t>
  </si>
  <si>
    <t>0002AC6A</t>
  </si>
  <si>
    <t>Pelagius the Mad</t>
  </si>
  <si>
    <t>Uvi_Wig_Spell_VHRU_SpaceBunsTight</t>
  </si>
  <si>
    <t>dunBluePalaceInvisbleAttacker</t>
  </si>
  <si>
    <t>DA15Sheogorath</t>
  </si>
  <si>
    <t>0002AC69</t>
  </si>
  <si>
    <t>Sheogorath</t>
  </si>
  <si>
    <t>HairFemaleNord20,HairFemaleElf10</t>
  </si>
  <si>
    <t>Vanilla - Straight Behind Ears</t>
  </si>
  <si>
    <t>DA16LvlVaerminaDevoteeAmbushFemaleCon</t>
  </si>
  <si>
    <t>000E36DA</t>
  </si>
  <si>
    <t>Uvi_Wig_Spell_VHRU_StraightBehindEars</t>
  </si>
  <si>
    <t>DA16LvlVaerminaDevoteeAmbush</t>
  </si>
  <si>
    <t>DA16LvlVaerminaDevoteeAmbushMaleSly</t>
  </si>
  <si>
    <t>000E36D9</t>
  </si>
  <si>
    <t>HairFemaleNord15,HairMaleNord15</t>
  </si>
  <si>
    <t>Vanilla - Straight Behind Left Ear</t>
  </si>
  <si>
    <t>DA16LvlVaerminaDevoteeAmbushMaleWarlock</t>
  </si>
  <si>
    <t>000E36D8</t>
  </si>
  <si>
    <t>Uvi_Wig_Spell_VHRU_StraightBehindLeftEar</t>
  </si>
  <si>
    <t>DA16LvlVaerminaDevoteeBarrier</t>
  </si>
  <si>
    <t>000B91A3</t>
  </si>
  <si>
    <t>Vaermina Devotee</t>
  </si>
  <si>
    <t>HairFemaleDarkElf05</t>
  </si>
  <si>
    <t>Vanilla - Straight Behind Right Ear</t>
  </si>
  <si>
    <t>LvlWarlockShock</t>
  </si>
  <si>
    <t>DA16LvlVaerminaDevoteeDreamMaleCon</t>
  </si>
  <si>
    <t>Uvi_Wig_Spell_VHRU_StraightBehindRightEar</t>
  </si>
  <si>
    <t>000E16D4</t>
  </si>
  <si>
    <t>Human_Female, Elf_Female, Elf_Male, Orc_Female</t>
  </si>
  <si>
    <t>DA16LvlVaerminaDevoteeDream</t>
  </si>
  <si>
    <t>DA16LvlVaerminaDevoteeDreamMaleSly</t>
  </si>
  <si>
    <t>000E16D2</t>
  </si>
  <si>
    <t>HairFemaleNord01,HairMaleNord01,HairFemaleElf01,HairMaleElf01</t>
  </si>
  <si>
    <t>Vanilla - Straight Long</t>
  </si>
  <si>
    <t>DA16LvlVaerminaDevoteeDreamMaleWarlock</t>
  </si>
  <si>
    <t>Uvi_Wig_Spell_VHRU_StraightLong</t>
  </si>
  <si>
    <t>000E16D3</t>
  </si>
  <si>
    <t>Dagny</t>
  </si>
  <si>
    <t>0001434B</t>
  </si>
  <si>
    <t>HairFemaleNord02,HairMaleNord02,HairFemaleElf02,HairMaleElf02</t>
  </si>
  <si>
    <t>Vanilla - Straight Long Braid</t>
  </si>
  <si>
    <t>Dagur</t>
  </si>
  <si>
    <t>Uvi_Wig_Spell_VHRU_StraightLongBraid</t>
  </si>
  <si>
    <t>0001C183</t>
  </si>
  <si>
    <t>Daighre</t>
  </si>
  <si>
    <t>00013391</t>
  </si>
  <si>
    <t>HairFemaleNord18,HairMaleNord18,HairFemaleElf08,HairMaleElf08,HairKhajiitMale08</t>
  </si>
  <si>
    <t>Vanilla - Straight Long Scraggly</t>
  </si>
  <si>
    <t>DalanMerchad</t>
  </si>
  <si>
    <t>000132A4</t>
  </si>
  <si>
    <t>Dalan Merchad</t>
  </si>
  <si>
    <t>Uvi_Wig_Spell_VHRU_StraightLongScraggly</t>
  </si>
  <si>
    <t>DanicaPureSpring</t>
  </si>
  <si>
    <t>00013BA5</t>
  </si>
  <si>
    <t>Danica Pure-Spring</t>
  </si>
  <si>
    <t>DarkElfFemalePreset01</t>
  </si>
  <si>
    <t>00079F5B</t>
  </si>
  <si>
    <t>HairFemaleNord07,HairMaleNord07,HairMaleElf04,HairFemaleElf06</t>
  </si>
  <si>
    <t>Vanilla - Straight Medium</t>
  </si>
  <si>
    <t>HairFemaleDarkElf06</t>
  </si>
  <si>
    <t>DarkElfFemalePreset02</t>
  </si>
  <si>
    <t>Uvi_Wig_Spell_VHRU_StraightMedium</t>
  </si>
  <si>
    <t>00079F5A</t>
  </si>
  <si>
    <t>DarkElfFemalePreset03</t>
  </si>
  <si>
    <t>00079F59</t>
  </si>
  <si>
    <t>HairFemaleNord08,HairMaleNord08,HairMaleElf05</t>
  </si>
  <si>
    <t>HairFemaleDarkElf08</t>
  </si>
  <si>
    <t>Vanilla - Top Tied Back Side Braids</t>
  </si>
  <si>
    <t>DarkElfFemalePreset04</t>
  </si>
  <si>
    <t>00079F58</t>
  </si>
  <si>
    <t>Uvi_Wig_Spell_VHRU_TopTiedBackSideBraids</t>
  </si>
  <si>
    <t>DarkElfFemalePreset05</t>
  </si>
  <si>
    <t>00099D51</t>
  </si>
  <si>
    <t>Vanilla - Undercut Ponytail Banded</t>
  </si>
  <si>
    <t>DarkElfFemalePreset06</t>
  </si>
  <si>
    <t>0010AB6C</t>
  </si>
  <si>
    <t>Uvi_Wig_Spell_VHRU_UndercutPonytailBanded</t>
  </si>
  <si>
    <t>HairFemaleElf04</t>
  </si>
  <si>
    <t>DarkElfFemalePreset07</t>
  </si>
  <si>
    <t>0010AB6D</t>
  </si>
  <si>
    <t>DarkElfFemalePreset08</t>
  </si>
  <si>
    <t>HairMaleDarkElf03,HairMaleSnowElf03</t>
  </si>
  <si>
    <t>0010AB6E</t>
  </si>
  <si>
    <t>Vanilla - Undercut Ponytail High</t>
  </si>
  <si>
    <t>Uvi_Wig_Spell_VHRU_UndercutPonytailHigh</t>
  </si>
  <si>
    <t>DarkElfFemalePreset09</t>
  </si>
  <si>
    <t>0010AB6F</t>
  </si>
  <si>
    <t>HairFemaleElf09</t>
  </si>
  <si>
    <t>DarkElfFemalePreset10</t>
  </si>
  <si>
    <t>HairMaleOrc17</t>
  </si>
  <si>
    <t>0010AB70</t>
  </si>
  <si>
    <t>Vanilla - Undercut Ponytail Long</t>
  </si>
  <si>
    <t>DarkElfMalePreset01</t>
  </si>
  <si>
    <t>0005EFA7</t>
  </si>
  <si>
    <t>Uvi_Wig_Spell_VHRU_UndercutPonytailLong</t>
  </si>
  <si>
    <t>DarkElfMalePreset02</t>
  </si>
  <si>
    <t>00079F5E</t>
  </si>
  <si>
    <t>HairMaleOrc16,HairFemaleOrc15</t>
  </si>
  <si>
    <t>DarkElfMalePreset03</t>
  </si>
  <si>
    <t>Vanilla - Undercut Ponytail Medium</t>
  </si>
  <si>
    <t>00079F5D</t>
  </si>
  <si>
    <t>Uvi_Wig_Spell_VHRU_UndercutPonytailMedium</t>
  </si>
  <si>
    <t>HairMaleDarkElf05</t>
  </si>
  <si>
    <t>DarkElfMalePreset04</t>
  </si>
  <si>
    <t>00079F5C</t>
  </si>
  <si>
    <t>Vanilla - Undercut Ponytail Receding</t>
  </si>
  <si>
    <t>DarkElfMalePreset05</t>
  </si>
  <si>
    <t>00099D52</t>
  </si>
  <si>
    <t>Uvi_Wig_Spell_VHRU_UndercutPonytailReceding</t>
  </si>
  <si>
    <t>DarkElfMalePreset06</t>
  </si>
  <si>
    <t>0010AB71</t>
  </si>
  <si>
    <t>DarkElfMalePreset07</t>
  </si>
  <si>
    <t>0010AB72</t>
  </si>
  <si>
    <t>Vanilla - Undercut Ponytail Short</t>
  </si>
  <si>
    <t>Uvi_Wig_Spell_VHRU_UndercutPonytailShort</t>
  </si>
  <si>
    <t>DarkElfMalePreset08</t>
  </si>
  <si>
    <t>0010AB73</t>
  </si>
  <si>
    <t>DarkElfMalePreset09</t>
  </si>
  <si>
    <t>0010AB74</t>
  </si>
  <si>
    <t>HairMaleDarkElf01,HairMaleSnowElf01,HairFemaleDarkElf01</t>
  </si>
  <si>
    <t>Vanilla - Widow's Peak Long</t>
  </si>
  <si>
    <t>DarkElfMalePreset10</t>
  </si>
  <si>
    <t>Uvi_Wig_Spell_VHRU_WidowsPeakLong</t>
  </si>
  <si>
    <t>0010AB75</t>
  </si>
  <si>
    <t>HairMaleElf09</t>
  </si>
  <si>
    <t>DB02Captive1</t>
  </si>
  <si>
    <t>0002E3E8</t>
  </si>
  <si>
    <t>Fultheim the Fearless</t>
  </si>
  <si>
    <t>DB02Captive2</t>
  </si>
  <si>
    <t>HairMaleDarkElf02,HairMaleSnowElf02</t>
  </si>
  <si>
    <t>0002E3EF</t>
  </si>
  <si>
    <t>Vanilla - Widow's Peak Medium</t>
  </si>
  <si>
    <t>Alea Quintus</t>
  </si>
  <si>
    <t>Uvi_Wig_Spell_VHRU_WidowsPeakMedium</t>
  </si>
  <si>
    <t>DB02Captive3</t>
  </si>
  <si>
    <t>Elf_Female, Elf_Male, Orc_Male</t>
  </si>
  <si>
    <t>0002E3F0</t>
  </si>
  <si>
    <t>Vasha</t>
  </si>
  <si>
    <t>HairKhajiitMale02</t>
  </si>
  <si>
    <t>DB02PlayerFriend</t>
  </si>
  <si>
    <t>0002001F</t>
  </si>
  <si>
    <t>Player Friend</t>
  </si>
  <si>
    <t>HairMaleDarkElf08,HairFemaleDarkElf02</t>
  </si>
  <si>
    <t>Vanilla - Widow's Peak Short</t>
  </si>
  <si>
    <t>DB05Lodi</t>
  </si>
  <si>
    <t>Uvi_Wig_Spell_VHRU_WidowsPeakShort</t>
  </si>
  <si>
    <t>000D5636</t>
  </si>
  <si>
    <t>Lodi</t>
  </si>
  <si>
    <t>DB09Noble1</t>
  </si>
  <si>
    <t>0005A92D</t>
  </si>
  <si>
    <t>Nobleman</t>
  </si>
  <si>
    <t>HairMaleDarkElf06,HairMaleSnowElf06</t>
  </si>
  <si>
    <t>DB09Noble2</t>
  </si>
  <si>
    <t>0005A92F</t>
  </si>
  <si>
    <t>Vanilla - Widow's Peak Windswept</t>
  </si>
  <si>
    <t>Uvi_Wig_Spell_VHRU_WidowsPeakWindswept</t>
  </si>
  <si>
    <t>DB09Noble3</t>
  </si>
  <si>
    <t>0005A930</t>
  </si>
  <si>
    <t>Noblewoman</t>
  </si>
  <si>
    <t>DB10TreasCorpsePenitusOculatus</t>
  </si>
  <si>
    <t>000B08A1</t>
  </si>
  <si>
    <t>EncPenitus00Template</t>
  </si>
  <si>
    <t>DBContractMaluril</t>
  </si>
  <si>
    <t>00020046</t>
  </si>
  <si>
    <t>Maluril</t>
  </si>
  <si>
    <t>DBCourierUrchin</t>
  </si>
  <si>
    <t>0005224B</t>
  </si>
  <si>
    <t>Dint BDOR - Alany</t>
  </si>
  <si>
    <t>Urchin</t>
  </si>
  <si>
    <t>Uvi_Wig_Spell_DintBDOR_Alany</t>
  </si>
  <si>
    <t>Elf, Human, Orc</t>
  </si>
  <si>
    <t>DBInitiate1</t>
  </si>
  <si>
    <t>00015CFA</t>
  </si>
  <si>
    <t>Dark Brotherhood Initiate</t>
  </si>
  <si>
    <t>DBInitiate2</t>
  </si>
  <si>
    <t>00015CFE</t>
  </si>
  <si>
    <t>DBNightMotherVoiceNPC</t>
  </si>
  <si>
    <t>0003BB85</t>
  </si>
  <si>
    <t>Night Mother Voice NPC</t>
  </si>
  <si>
    <t>DBRecurringContact10Rorikstead</t>
  </si>
  <si>
    <t>00087B94</t>
  </si>
  <si>
    <t>Unemployed Laborer</t>
  </si>
  <si>
    <t>HairMaleNord08</t>
  </si>
  <si>
    <t>DBRecurringContact1Dawnstar</t>
  </si>
  <si>
    <t>00087B8B</t>
  </si>
  <si>
    <t>Nervous Patron</t>
  </si>
  <si>
    <t>DBRecurringContact2Riften</t>
  </si>
  <si>
    <t>00087B8D</t>
  </si>
  <si>
    <t>Wary Outlaw</t>
  </si>
  <si>
    <t>DBRecurringContact3DragonBridge</t>
  </si>
  <si>
    <t>00087B8C</t>
  </si>
  <si>
    <t>Corrupt Agent</t>
  </si>
  <si>
    <t>DBRecurringContact4Markarth</t>
  </si>
  <si>
    <t>00087B8F</t>
  </si>
  <si>
    <t>Scheming Servant</t>
  </si>
  <si>
    <t>DBRecurringContact5Windhelm</t>
  </si>
  <si>
    <t>00087B8E</t>
  </si>
  <si>
    <t>Dint BDOR - Alisterra</t>
  </si>
  <si>
    <t>Desperate Gambler</t>
  </si>
  <si>
    <t>Uvi_Wig_Spell_DintBDOR_Alisterra</t>
  </si>
  <si>
    <t>DBRecurringContact6Whiterun</t>
  </si>
  <si>
    <t>00087B91</t>
  </si>
  <si>
    <t>Blasphemous Priest</t>
  </si>
  <si>
    <t>DBRecurringContact7Solitude</t>
  </si>
  <si>
    <t>00087B92</t>
  </si>
  <si>
    <t>Dishonored Skald</t>
  </si>
  <si>
    <t>DBRecurringContact8Ivarstead</t>
  </si>
  <si>
    <t>00087B93</t>
  </si>
  <si>
    <t>Indolent Farmer</t>
  </si>
  <si>
    <t>Dint BDOR - Ampharry</t>
  </si>
  <si>
    <t>DBRecurringContact9Heljarchen</t>
  </si>
  <si>
    <t>00087B90</t>
  </si>
  <si>
    <t>Griefstricken Chef</t>
  </si>
  <si>
    <t>Uvi_Wig_Spell_DintBDOR_Ampharry</t>
  </si>
  <si>
    <t>DBRecurringTarget10GraniteHill</t>
  </si>
  <si>
    <t>00087B9E</t>
  </si>
  <si>
    <t>Beautiful Barbarian</t>
  </si>
  <si>
    <t>DBRecurringTarget1Whiterun</t>
  </si>
  <si>
    <t>00087B95</t>
  </si>
  <si>
    <t>Visiting Noble</t>
  </si>
  <si>
    <t>DBRecurringTarget2KatlasFarm</t>
  </si>
  <si>
    <t>00087B96</t>
  </si>
  <si>
    <t>Big Laborer</t>
  </si>
  <si>
    <t>Dint BDOR - Amprelie</t>
  </si>
  <si>
    <t>DBRecurringTarget3Kynesgrove</t>
  </si>
  <si>
    <t>00087B97</t>
  </si>
  <si>
    <t>Uvi_Wig_Spell_DintBDOR_Amprelie</t>
  </si>
  <si>
    <t>Itinerant Lumberjack</t>
  </si>
  <si>
    <t>DBRecurringTarget4Winterhold</t>
  </si>
  <si>
    <t>00087B98</t>
  </si>
  <si>
    <t>Reckless Mage</t>
  </si>
  <si>
    <t>DBRecurringTarget5Falkreath</t>
  </si>
  <si>
    <t>00087B99</t>
  </si>
  <si>
    <t>Seasoned Hunter</t>
  </si>
  <si>
    <t>DBRecurringTarget6Riften</t>
  </si>
  <si>
    <t>Dint BDOR - Ampy</t>
  </si>
  <si>
    <t>00087B9A</t>
  </si>
  <si>
    <t>Poor Fishwife</t>
  </si>
  <si>
    <t>Uvi_Wig_Spell_DintBDOR_Ampy</t>
  </si>
  <si>
    <t>DBRecurringTarget7Markarth</t>
  </si>
  <si>
    <t>00087B9B</t>
  </si>
  <si>
    <t>Grim Shieldmaiden</t>
  </si>
  <si>
    <t>DBRecurringTarget8Solitude</t>
  </si>
  <si>
    <t>00087B9C</t>
  </si>
  <si>
    <t>Traveling Dignitary</t>
  </si>
  <si>
    <t>DBRecurringTarget9Windhelm</t>
  </si>
  <si>
    <t>00087B9D</t>
  </si>
  <si>
    <t>Coldhearted Gravedigger</t>
  </si>
  <si>
    <t>Dint BDOR - Annabelle</t>
  </si>
  <si>
    <t>Uvi_Wig_Spell_DintBDOR_Annabelle</t>
  </si>
  <si>
    <t>DBSpectralAssassin</t>
  </si>
  <si>
    <t>000A0E49</t>
  </si>
  <si>
    <t>Spectral Assassin</t>
  </si>
  <si>
    <t>DBTortureVictim1</t>
  </si>
  <si>
    <t>00015D02</t>
  </si>
  <si>
    <t>Torture Victim</t>
  </si>
  <si>
    <t>DBTortureVictim2</t>
  </si>
  <si>
    <t>00015D0E</t>
  </si>
  <si>
    <t>Dint BDOR - AnnyJ</t>
  </si>
  <si>
    <t>DBTortureVictim3</t>
  </si>
  <si>
    <t>Uvi_Wig_Spell_DintBDOR_AnnyJ</t>
  </si>
  <si>
    <t>00037A28</t>
  </si>
  <si>
    <t>DBTortureVictim4</t>
  </si>
  <si>
    <t>00037A2C</t>
  </si>
  <si>
    <t>Deeja</t>
  </si>
  <si>
    <t>00013268</t>
  </si>
  <si>
    <t>Dint BDOR - Apprelia</t>
  </si>
  <si>
    <t>Deekus</t>
  </si>
  <si>
    <t>00020040</t>
  </si>
  <si>
    <t>Uvi_Wig_Spell_DintBDOR_Apprelia</t>
  </si>
  <si>
    <t>Degaine</t>
  </si>
  <si>
    <t>00013392</t>
  </si>
  <si>
    <t>Delacourt</t>
  </si>
  <si>
    <t>00072663</t>
  </si>
  <si>
    <t>Delphine</t>
  </si>
  <si>
    <t>00013478</t>
  </si>
  <si>
    <t>DelvinMallory</t>
  </si>
  <si>
    <t>Dint BDOR - Ayren</t>
  </si>
  <si>
    <t>0001CB78</t>
  </si>
  <si>
    <t>Delvin Mallory</t>
  </si>
  <si>
    <t>Uvi_Wig_Spell_DintBDOR_Ayren</t>
  </si>
  <si>
    <t>DEMO_Bandit1HNordM</t>
  </si>
  <si>
    <t>0009F357</t>
  </si>
  <si>
    <t>EncBandit01TemplateMelee</t>
  </si>
  <si>
    <t>DEMO_BanditTankImperialM</t>
  </si>
  <si>
    <t>0009F358</t>
  </si>
  <si>
    <t>EncBandit01Melee1HImperialM</t>
  </si>
  <si>
    <t>Dengeir</t>
  </si>
  <si>
    <t>0001365A</t>
  </si>
  <si>
    <t>Dengeir of Stuhn</t>
  </si>
  <si>
    <t>Derkeethus</t>
  </si>
  <si>
    <t>Dint BDOR - Bearma</t>
  </si>
  <si>
    <t>0001403E</t>
  </si>
  <si>
    <t>Uvi_Wig_Spell_DintBDOR_Bearma</t>
  </si>
  <si>
    <t>Dervenin</t>
  </si>
  <si>
    <t>0001327C</t>
  </si>
  <si>
    <t>Dinya</t>
  </si>
  <si>
    <t>00013352</t>
  </si>
  <si>
    <t>Dinya Balu</t>
  </si>
  <si>
    <t>Dirge</t>
  </si>
  <si>
    <t>0001336D</t>
  </si>
  <si>
    <t>DLC01SoulCairnJiub</t>
  </si>
  <si>
    <t>020093A1</t>
  </si>
  <si>
    <t>Jiub</t>
  </si>
  <si>
    <t>Dint BDOR - Bellafy</t>
  </si>
  <si>
    <t>Uvi_Wig_Spell_DintBDOR_Bellafy</t>
  </si>
  <si>
    <t>DLC01SoulCairnKeeperSoul</t>
  </si>
  <si>
    <t>0200EA8B</t>
  </si>
  <si>
    <t>DLC01SoulCairnSoulDefault</t>
  </si>
  <si>
    <t>0200A906</t>
  </si>
  <si>
    <t>Soul</t>
  </si>
  <si>
    <t>LvlBanditMeleeNordM</t>
  </si>
  <si>
    <t>DLC01SoulCairnSoulFarmFemale</t>
  </si>
  <si>
    <t>Dint BDOR - Bewffy</t>
  </si>
  <si>
    <t>02015DF4</t>
  </si>
  <si>
    <t>Uvi_Wig_Spell_DintBDOR_Bewffy</t>
  </si>
  <si>
    <t>LvlBanditMissileNordF</t>
  </si>
  <si>
    <t>DLC01SoulCairnSoulFarmMale</t>
  </si>
  <si>
    <t>02015DF3</t>
  </si>
  <si>
    <t>DLC01SoulCairnSoulHorseRider</t>
  </si>
  <si>
    <t>02002B0D</t>
  </si>
  <si>
    <t>Dint BDOR - Branzhette</t>
  </si>
  <si>
    <t>DLC01SoulCairnSoulHunterF</t>
  </si>
  <si>
    <t>Uvi_Wig_Spell_DintBDOR_Branzhette</t>
  </si>
  <si>
    <t>0201A4FC</t>
  </si>
  <si>
    <t>LvlBanditMissileNordM</t>
  </si>
  <si>
    <t>DLC01SoulCairnSoulHunterM</t>
  </si>
  <si>
    <t>0201A4FD</t>
  </si>
  <si>
    <t>DLC01SoulCairnSoulMageFemale</t>
  </si>
  <si>
    <t>0201A4F8</t>
  </si>
  <si>
    <t>Dint BDOR - Debbie</t>
  </si>
  <si>
    <t>Uvi_Wig_Spell_DintBDOR_Debbie</t>
  </si>
  <si>
    <t>LvlWarlockNecromancerFemaleHighElf</t>
  </si>
  <si>
    <t>DLC01SoulCairnSoulMageFemale02</t>
  </si>
  <si>
    <t>0201A504</t>
  </si>
  <si>
    <t>DLC01SoulCairnSoulMageFemale03</t>
  </si>
  <si>
    <t>0201A505</t>
  </si>
  <si>
    <t>DLC01SoulCairnSoulMageMale</t>
  </si>
  <si>
    <t>0201A4F7</t>
  </si>
  <si>
    <t>Dint BDOR - Debbry</t>
  </si>
  <si>
    <t>Uvi_Wig_Spell_DintBDOR_Debbry</t>
  </si>
  <si>
    <t>LvlWarlockNecromancerMaleDarkElf</t>
  </si>
  <si>
    <t>DLC01SoulCairnSoulMageMale02</t>
  </si>
  <si>
    <t>0201A4F9</t>
  </si>
  <si>
    <t>DLC01SoulCairnSoulMageMale03</t>
  </si>
  <si>
    <t>0201A503</t>
  </si>
  <si>
    <t>DLC01SoulCairnSoulMeleeFemale</t>
  </si>
  <si>
    <t>020150B1</t>
  </si>
  <si>
    <t>Dint BDOR - Ebra</t>
  </si>
  <si>
    <t>Uvi_Wig_Spell_DintBDOR_Ebra</t>
  </si>
  <si>
    <t>LvlBanditMeleeNordF</t>
  </si>
  <si>
    <t>DLC01SoulCairnSoulMeleeFemale02</t>
  </si>
  <si>
    <t>0201A4FA</t>
  </si>
  <si>
    <t>DLC01SoulCairnSoulMeleeMale</t>
  </si>
  <si>
    <t>02004759</t>
  </si>
  <si>
    <t>DLC01SoulCairnSoulMeleeMale02</t>
  </si>
  <si>
    <t>0201A4FE</t>
  </si>
  <si>
    <t>Dint BDOR - Eilener</t>
  </si>
  <si>
    <t>DLC01SoulCairnSoulMissileFemale</t>
  </si>
  <si>
    <t>Uvi_Wig_Spell_DintBDOR_Eilener</t>
  </si>
  <si>
    <t>020150B5</t>
  </si>
  <si>
    <t>DLC01SoulCairnSoulMissileMale</t>
  </si>
  <si>
    <t>020150B4</t>
  </si>
  <si>
    <t>DLC01SoulCairnSoulMorven</t>
  </si>
  <si>
    <t>020071F1</t>
  </si>
  <si>
    <t>Morven Stroud</t>
  </si>
  <si>
    <t>Dint BDOR - Ella'jane</t>
  </si>
  <si>
    <t>Uvi_Wig_Spell_DintBDOR_Ellajane</t>
  </si>
  <si>
    <t>DLC01SoulCairnSoulNecromancerFemale</t>
  </si>
  <si>
    <t>020150B3</t>
  </si>
  <si>
    <t>DLC01SoulCairnSoulNecromancerMale</t>
  </si>
  <si>
    <t>020150B2</t>
  </si>
  <si>
    <t>DLC01SoulCairnSoulOrcMale</t>
  </si>
  <si>
    <t>020150B6</t>
  </si>
  <si>
    <t>Dint BDOR - Ellaia</t>
  </si>
  <si>
    <t>Uvi_Wig_Spell_DintBDOR_Ellaia</t>
  </si>
  <si>
    <t>LvlBanditMeleeOrcM</t>
  </si>
  <si>
    <t>DLC01SoulCairnSoulPrisonerFemale</t>
  </si>
  <si>
    <t>0201A4FF</t>
  </si>
  <si>
    <t>DLC01SoulCairnSoulPrisonerMale</t>
  </si>
  <si>
    <t>0201A502</t>
  </si>
  <si>
    <t>Dint BDOR - Ellamedji</t>
  </si>
  <si>
    <t>DLC1_BF_AudioTemplateFalmerSILENT</t>
  </si>
  <si>
    <t>02012452</t>
  </si>
  <si>
    <t>Uvi_Wig_Spell_DintBDOR_Ellamedji</t>
  </si>
  <si>
    <t>DLC1_WESC02_VigilantVampireLeader</t>
  </si>
  <si>
    <t>020034EE</t>
  </si>
  <si>
    <t>HairMaleElf05</t>
  </si>
  <si>
    <t>LvlVampire</t>
  </si>
  <si>
    <t>DLC1_WESC05_DawnguardHunter</t>
  </si>
  <si>
    <t>0201993C</t>
  </si>
  <si>
    <t>Dawnguard Vampire Hunter</t>
  </si>
  <si>
    <t>Dint BDOR - Emmerin</t>
  </si>
  <si>
    <t>DLC1_WESC06_LvlDawnguardFleeing</t>
  </si>
  <si>
    <t>02003512</t>
  </si>
  <si>
    <t>Uvi_Wig_Spell_DintBDOR_Emmerin</t>
  </si>
  <si>
    <t>Dawnguard Novice Hakar</t>
  </si>
  <si>
    <t>DLC1LvlDawnguardMelee1H</t>
  </si>
  <si>
    <t>DLC1_WESC07_Outrider</t>
  </si>
  <si>
    <t>0201993D</t>
  </si>
  <si>
    <t>Saliah</t>
  </si>
  <si>
    <t>DLC1_WESC08_LvlDawnguardSlain</t>
  </si>
  <si>
    <t>0201993E</t>
  </si>
  <si>
    <t>Lynoit</t>
  </si>
  <si>
    <t>Dint BDOR - Evalen</t>
  </si>
  <si>
    <t>Uvi_Wig_Spell_DintBDOR_Evalen</t>
  </si>
  <si>
    <t>DLC1_WESC09TaronDreth</t>
  </si>
  <si>
    <t>02014BFB</t>
  </si>
  <si>
    <t>Taron Dreth</t>
  </si>
  <si>
    <t>HairMaleElf07</t>
  </si>
  <si>
    <t>LvlWarlockFire</t>
  </si>
  <si>
    <t>DLC1_WESC09TaronGuard01</t>
  </si>
  <si>
    <t>02014BFC</t>
  </si>
  <si>
    <t>Mercenary</t>
  </si>
  <si>
    <t>DLC1_WESC09TaronGuard02</t>
  </si>
  <si>
    <t>Dint BDOR - Fliex</t>
  </si>
  <si>
    <t>02014BFD</t>
  </si>
  <si>
    <t>Uvi_Wig_Spell_DintBDOR_Fliex</t>
  </si>
  <si>
    <t>LvlBanditMissile</t>
  </si>
  <si>
    <t>DLC1_WESC09TaronGuard03</t>
  </si>
  <si>
    <t>02014BFE</t>
  </si>
  <si>
    <t>DLC1Agmaer</t>
  </si>
  <si>
    <t>0200336E</t>
  </si>
  <si>
    <t>Agmaer</t>
  </si>
  <si>
    <t>DLC1EncHunterTemplate</t>
  </si>
  <si>
    <t>Dint BDOR - Fullmewei</t>
  </si>
  <si>
    <t>DLC1AlthadanVyrthur</t>
  </si>
  <si>
    <t>02003788</t>
  </si>
  <si>
    <t>Arch-Curate Vyrthur</t>
  </si>
  <si>
    <t>Uvi_Wig_Spell_DintBDOR_Fullmewei</t>
  </si>
  <si>
    <t>HairMaleSnowElf01</t>
  </si>
  <si>
    <t>DLC1ArkngthamzAdventurer</t>
  </si>
  <si>
    <t>020146DC</t>
  </si>
  <si>
    <t>Adventurer</t>
  </si>
  <si>
    <t>TreasCorpseBanditImperialMale</t>
  </si>
  <si>
    <t>DLC1Beleval</t>
  </si>
  <si>
    <t>0201541C</t>
  </si>
  <si>
    <t>Beleval</t>
  </si>
  <si>
    <t>Dint BDOR - Grendfelhna</t>
  </si>
  <si>
    <t>Uvi_Wig_Spell_DintBDOR_Grendfelhna</t>
  </si>
  <si>
    <t>DLC1CastleThrallTemplate1</t>
  </si>
  <si>
    <t>020162F9</t>
  </si>
  <si>
    <t>Vampire Cattle</t>
  </si>
  <si>
    <t>DLC1CastleThrallTemplate2;DLC1CastleThrallTemplate3;DLC1CastleThrallTemplate4</t>
  </si>
  <si>
    <t>DLC1VQ02FeastThrall1</t>
  </si>
  <si>
    <t>DLC1CastleThrallTemplate2</t>
  </si>
  <si>
    <t>020162FA</t>
  </si>
  <si>
    <t>DLC1VQ02FeastThrall2</t>
  </si>
  <si>
    <t>Dint BDOR - Groony</t>
  </si>
  <si>
    <t>DLC1CastleThrallTemplate3</t>
  </si>
  <si>
    <t>020162FB</t>
  </si>
  <si>
    <t>Uvi_Wig_Spell_DintBDOR_Groony</t>
  </si>
  <si>
    <t>DLC1CastleThrallTemplate4</t>
  </si>
  <si>
    <t>020162FC</t>
  </si>
  <si>
    <t>DLC1CastleThrallTemplateDead</t>
  </si>
  <si>
    <t>0200E889</t>
  </si>
  <si>
    <t>Dint BDOR - Hemi</t>
  </si>
  <si>
    <t>DLC1Celann</t>
  </si>
  <si>
    <t>Uvi_Wig_Spell_DintBDOR_Hemi</t>
  </si>
  <si>
    <t>0201541E</t>
  </si>
  <si>
    <t>Celann</t>
  </si>
  <si>
    <t>DLC1DawnguardExterior01</t>
  </si>
  <si>
    <t>02010DE5</t>
  </si>
  <si>
    <t>Tilde</t>
  </si>
  <si>
    <t>Dint BDOR - Homny</t>
  </si>
  <si>
    <t>DLC1DawnguardExterior02</t>
  </si>
  <si>
    <t>02010DE6</t>
  </si>
  <si>
    <t>Vori</t>
  </si>
  <si>
    <t>Uvi_Wig_Spell_DintBDOR_Homny</t>
  </si>
  <si>
    <t>DLC1DawnguardExterior03</t>
  </si>
  <si>
    <t>02010DE7</t>
  </si>
  <si>
    <t>Ollrod</t>
  </si>
  <si>
    <t>DLC1DawnguardExterior04</t>
  </si>
  <si>
    <t>02010DED</t>
  </si>
  <si>
    <t>Mogrul</t>
  </si>
  <si>
    <t>Dint BDOR - Innira</t>
  </si>
  <si>
    <t>DLC1Dexion</t>
  </si>
  <si>
    <t>Uvi_Wig_Spell_DintBDOR_Innira</t>
  </si>
  <si>
    <t>020058B0</t>
  </si>
  <si>
    <t>Dexion Evicus</t>
  </si>
  <si>
    <t>DLC1dunDarkfallTreasCorpse01</t>
  </si>
  <si>
    <t>0200A95A</t>
  </si>
  <si>
    <t>DLC1dunHarkonFontActor</t>
  </si>
  <si>
    <t>0200D1BE</t>
  </si>
  <si>
    <t>DLC1dunRedwaterDenAddict3</t>
  </si>
  <si>
    <t>02008E1B</t>
  </si>
  <si>
    <t>Dint BDOR - Janny</t>
  </si>
  <si>
    <t>Uvi_Wig_Spell_DintBDOR_Janny</t>
  </si>
  <si>
    <t>DLC1dunRedwaterDenAddict4</t>
  </si>
  <si>
    <t>02008D7A</t>
  </si>
  <si>
    <t>Addict</t>
  </si>
  <si>
    <t>DLC1dunRedwaterDenAddictCWMaleCommander</t>
  </si>
  <si>
    <t>02008D29</t>
  </si>
  <si>
    <t>Imperial Deserter</t>
  </si>
  <si>
    <t>DLC1dunRedwaterDenBeggarMaleOldGrumpy</t>
  </si>
  <si>
    <t>02009A3A</t>
  </si>
  <si>
    <t>Dint BDOR - Kami</t>
  </si>
  <si>
    <t>TreasCorpseCommonerNordMale</t>
  </si>
  <si>
    <t>DLC1dunRedwaterDenVampireThrallDealer</t>
  </si>
  <si>
    <t>Uvi_Wig_Spell_DintBDOR_Kami</t>
  </si>
  <si>
    <t>0201A3C0</t>
  </si>
  <si>
    <t>Dealer</t>
  </si>
  <si>
    <t>DLC1dunRedwaterDenVampireThrallMissileEvenTonedF</t>
  </si>
  <si>
    <t>02008D27</t>
  </si>
  <si>
    <t>Vampire's Thrall</t>
  </si>
  <si>
    <t>LvlVampireThrallMissileEvenTonedF</t>
  </si>
  <si>
    <t>DLC1DunRuunvaldMoric</t>
  </si>
  <si>
    <t>02019582</t>
  </si>
  <si>
    <t>Moric Sidrey</t>
  </si>
  <si>
    <t>Dint BDOR - Kao</t>
  </si>
  <si>
    <t>EncForsworn02BossMelee1HBretonM01</t>
  </si>
  <si>
    <t>Uvi_Wig_Spell_DintBDOR_Kao</t>
  </si>
  <si>
    <t>DLC1DunRuunvaldVolk</t>
  </si>
  <si>
    <t>02019580</t>
  </si>
  <si>
    <t>Volk</t>
  </si>
  <si>
    <t>LvlVigilantOfStendarr</t>
  </si>
  <si>
    <t>DLC1Durak</t>
  </si>
  <si>
    <t>0201541D</t>
  </si>
  <si>
    <t>Durak</t>
  </si>
  <si>
    <t>0200336F</t>
  </si>
  <si>
    <t>Vampire Hunter</t>
  </si>
  <si>
    <t>Dint BDOR - Kara</t>
  </si>
  <si>
    <t>Uvi_Wig_Spell_DintBDOR_Kara</t>
  </si>
  <si>
    <t>DLC1Isran;DLC1Gunmar;DLC1Agmaer;DLC1Vanik;DLC1DawnguardExterior01;DLC1DawnguardExterior02;DLC1DawnguardExterior03;DLC1DawnguardExterior04;EncDawnguard00Template;DLC1Beleval;DLC1FlorentiusBaenius;DLC1SorineJurard</t>
  </si>
  <si>
    <t>DLC1EncHunterTemplateMagic;DLC1EncHunterTemplateMissile</t>
  </si>
  <si>
    <t>DLC1EncHunterTemplateMagic</t>
  </si>
  <si>
    <t>02003370</t>
  </si>
  <si>
    <t>DLC1FlorentiusBaenius</t>
  </si>
  <si>
    <t>DLC1EncHunterTemplateMissile</t>
  </si>
  <si>
    <t>Dint BDOR - Karamella</t>
  </si>
  <si>
    <t>02003371</t>
  </si>
  <si>
    <t>Uvi_Wig_Spell_DintBDOR_Karamella</t>
  </si>
  <si>
    <t>DLC1SorineJurard</t>
  </si>
  <si>
    <t>DLC1EncVampire00BretonF</t>
  </si>
  <si>
    <t>020176FB</t>
  </si>
  <si>
    <t>EncVampire00Template</t>
  </si>
  <si>
    <t>DLC1EncVampire00DarkElfF</t>
  </si>
  <si>
    <t>020176FA</t>
  </si>
  <si>
    <t>Dint BDOR - Kayris</t>
  </si>
  <si>
    <t>DLC1EncVampire00NordF</t>
  </si>
  <si>
    <t>Uvi_Wig_Spell_DintBDOR_Kayris</t>
  </si>
  <si>
    <t>020176F9</t>
  </si>
  <si>
    <t>DLC1EncVampire00TemplateBoss</t>
  </si>
  <si>
    <t>0201223F</t>
  </si>
  <si>
    <t>Vampire</t>
  </si>
  <si>
    <t>DLC1EncVampire01BretonF</t>
  </si>
  <si>
    <t>020176FC</t>
  </si>
  <si>
    <t>Dint BDOR - Khyon</t>
  </si>
  <si>
    <t>EncVampire01Template</t>
  </si>
  <si>
    <t>Uvi_Wig_Spell_DintBDOR_Khyon</t>
  </si>
  <si>
    <t>DLC1EncVampire01DarkElfF</t>
  </si>
  <si>
    <t>020176FD</t>
  </si>
  <si>
    <t>DLC1EncVampire01NordF</t>
  </si>
  <si>
    <t>020176FE</t>
  </si>
  <si>
    <t>DLC1EncVampire01TemplateBoss</t>
  </si>
  <si>
    <t>0201223E</t>
  </si>
  <si>
    <t>Dint BDOR - Klary</t>
  </si>
  <si>
    <t>Uvi_Wig_Spell_DintBDOR_Klary</t>
  </si>
  <si>
    <t>DLC1EncVampire02BretonF</t>
  </si>
  <si>
    <t>020176FF</t>
  </si>
  <si>
    <t>EncVampire02Template</t>
  </si>
  <si>
    <t>DLC1EncVampire02DarkElfF</t>
  </si>
  <si>
    <t>02017700</t>
  </si>
  <si>
    <t>DLC1EncVampire02NordF</t>
  </si>
  <si>
    <t>02017701</t>
  </si>
  <si>
    <t>Dint BDOR - Lambretta</t>
  </si>
  <si>
    <t>Uvi_Wig_Spell_DintBDOR_Lambretta</t>
  </si>
  <si>
    <t>DLC1EncVampire03BretonF</t>
  </si>
  <si>
    <t>02017F84</t>
  </si>
  <si>
    <t>EncVampire03Template</t>
  </si>
  <si>
    <t>DLC1EncVampire03DarkElfF</t>
  </si>
  <si>
    <t>02017F85</t>
  </si>
  <si>
    <t>Dint BDOR - Lankra</t>
  </si>
  <si>
    <t>DLC1EncVampire03NordF</t>
  </si>
  <si>
    <t>02017F86</t>
  </si>
  <si>
    <t>Uvi_Wig_Spell_DintBDOR_Lankra</t>
  </si>
  <si>
    <t>DLC1EncVampire04BretonF</t>
  </si>
  <si>
    <t>02017F87</t>
  </si>
  <si>
    <t>EncVampire04Template</t>
  </si>
  <si>
    <t>DLC1EncVampire04DarkElfF</t>
  </si>
  <si>
    <t>02017F88</t>
  </si>
  <si>
    <t>HairFemaleElf03</t>
  </si>
  <si>
    <t>Dint BDOR - Leesie</t>
  </si>
  <si>
    <t>DLC1EncVampire04NordF</t>
  </si>
  <si>
    <t>02017F89</t>
  </si>
  <si>
    <t>Uvi_Wig_Spell_DintBDOR_Leesie</t>
  </si>
  <si>
    <t>DLC1EncVampire05BretonF</t>
  </si>
  <si>
    <t>02017F8A</t>
  </si>
  <si>
    <t>EncVampire05Template</t>
  </si>
  <si>
    <t>DLC1EncVampire05DarkElfF</t>
  </si>
  <si>
    <t>02017F8B</t>
  </si>
  <si>
    <t>Dint BDOR - Leona</t>
  </si>
  <si>
    <t>HairFemaleElf08</t>
  </si>
  <si>
    <t>Uvi_Wig_Spell_DintBDOR_Leona</t>
  </si>
  <si>
    <t>DLC1EncVampire05NordF</t>
  </si>
  <si>
    <t>02017F8C</t>
  </si>
  <si>
    <t>DLC1EncVampire06BretonF</t>
  </si>
  <si>
    <t>02017F8D</t>
  </si>
  <si>
    <t>EncVampire06Template</t>
  </si>
  <si>
    <t>DLC1EncVampire06DarkElfF</t>
  </si>
  <si>
    <t>02017F8E</t>
  </si>
  <si>
    <t>Dint BDOR - Lexar</t>
  </si>
  <si>
    <t>Uvi_Wig_Spell_DintBDOR_Lexar</t>
  </si>
  <si>
    <t>DLC1EncVampire06NordF</t>
  </si>
  <si>
    <t>02017F8F</t>
  </si>
  <si>
    <t>DLC1EncVampire07BossBretonM</t>
  </si>
  <si>
    <t>02002831</t>
  </si>
  <si>
    <t>DLC1EncVampire07TemplateBoss</t>
  </si>
  <si>
    <t>DLC1EncVampire07BossDarkElfM</t>
  </si>
  <si>
    <t>02002832</t>
  </si>
  <si>
    <t>Dint BDOR - Limn</t>
  </si>
  <si>
    <t>HairMaleElf01</t>
  </si>
  <si>
    <t>Uvi_Wig_Spell_DintBDOR_Limn</t>
  </si>
  <si>
    <t>DLC1EncVampire07BossHighElfM</t>
  </si>
  <si>
    <t>02002833</t>
  </si>
  <si>
    <t>DLC1EncVampire07BossImperialM</t>
  </si>
  <si>
    <t>02002834</t>
  </si>
  <si>
    <t>DLC1EncVampire07BossNordM</t>
  </si>
  <si>
    <t>02002835</t>
  </si>
  <si>
    <t>Dint BDOR - Luanda</t>
  </si>
  <si>
    <t>DLC1EncVampire07BretonF</t>
  </si>
  <si>
    <t>0200282C</t>
  </si>
  <si>
    <t>Uvi_Wig_Spell_DintBDOR_Luanda</t>
  </si>
  <si>
    <t>DLC1EncVampire07Template</t>
  </si>
  <si>
    <t>DLC1EncVampire07BretonFAlt</t>
  </si>
  <si>
    <t>02017F90</t>
  </si>
  <si>
    <t>DLC1EncVampire07DarkElfF</t>
  </si>
  <si>
    <t>0200282D</t>
  </si>
  <si>
    <t>Dint BDOR - Ma'arin</t>
  </si>
  <si>
    <t>Uvi_Wig_Spell_DintBDOR_Maarin</t>
  </si>
  <si>
    <t>DLC1EncVampire07DarkElfFAlt</t>
  </si>
  <si>
    <t>02017F91</t>
  </si>
  <si>
    <t>DLC1EncVampire07HighElfF</t>
  </si>
  <si>
    <t>0200282E</t>
  </si>
  <si>
    <t>DLC1EncVampire07ImperialF</t>
  </si>
  <si>
    <t>0200282F</t>
  </si>
  <si>
    <t>DLC1EncVampire07NordF</t>
  </si>
  <si>
    <t>02002830</t>
  </si>
  <si>
    <t>Dint BDOR - Magdalena</t>
  </si>
  <si>
    <t>DLC1EncVampire07NordFAlt</t>
  </si>
  <si>
    <t>02017F92</t>
  </si>
  <si>
    <t>Uvi_Wig_Spell_DintBDOR_Magdalena</t>
  </si>
  <si>
    <t>0200282A</t>
  </si>
  <si>
    <t>Nightlord Vampire</t>
  </si>
  <si>
    <t>DLC1EncVampire07BretonF;DLC1EncVampire07DarkElfF;DLC1EncVampire07HighElfF;DLC1EncVampire07ImperialF;DLC1EncVampire07NordF;DLC1EncVampire07BretonFAlt;DLC1EncVampire07DarkElfFAlt;DLC1EncVampire07NordFAlt;DLC1EncVampire07BossBretonM;DLC1EncVampire07BossDarkElfM;DLC1EncVampire07BossHighElfM;DLC1EncVampire07BossImperialM;DLC1EncVampire07BossNordM</t>
  </si>
  <si>
    <t>0200282B</t>
  </si>
  <si>
    <t>Nightmaster Vampire</t>
  </si>
  <si>
    <t>DLC1EncVampire07BossBretonM;DLC1EncVampire07BossDarkElfM;DLC1EncVampire07BossHighElfM;DLC1EncVampire07BossImperialM;DLC1EncVampire07BossNordM</t>
  </si>
  <si>
    <t>DLC1EncVampireTemplate</t>
  </si>
  <si>
    <t>02003373</t>
  </si>
  <si>
    <t>Vampire Court Member</t>
  </si>
  <si>
    <t>Dint BDOR - Magnifeta</t>
  </si>
  <si>
    <t>Uvi_Wig_Spell_DintBDOR_Magnifeta</t>
  </si>
  <si>
    <t>DLC1RargalThrallmaster;DLC1FuraBloodmouth;DLC1Hestla;DLC1SaloniaCaelia;DLC1Modhna;DLC1Vingalmo;DLC1GaranMarethi;DLC1FeranSadri;DLC1Ronthil;DLC1Stalf;DLC1Malkus;DLC1Namasur;DLC1Orthjolf</t>
  </si>
  <si>
    <t>DLC1EncVampireTemplateMagic;DLC1EncVampireTemplateMissile</t>
  </si>
  <si>
    <t>DLC1EncVampireTemplateMagic</t>
  </si>
  <si>
    <t>02003372</t>
  </si>
  <si>
    <t>DLC1Vingalmo;DLC1GaranMarethi;DLC1FeranSadri;DLC1Ronthil;DLC1Stalf;DLC1Malkus;DLC1Namasur</t>
  </si>
  <si>
    <t>DLC1EncVampireTemplateMissile</t>
  </si>
  <si>
    <t>02003374</t>
  </si>
  <si>
    <t>Dint BDOR - Magnolia</t>
  </si>
  <si>
    <t>DLC1Orthjolf</t>
  </si>
  <si>
    <t>Uvi_Wig_Spell_DintBDOR_Magnolia</t>
  </si>
  <si>
    <t>DLC1FeranSadri</t>
  </si>
  <si>
    <t>02003366</t>
  </si>
  <si>
    <t>Feran Sadri</t>
  </si>
  <si>
    <t>DLC1FerrymanDawnstar</t>
  </si>
  <si>
    <t>0201684E</t>
  </si>
  <si>
    <t>Harlaug</t>
  </si>
  <si>
    <t>DLC1FerrymanTemplateNew</t>
  </si>
  <si>
    <t>DLC1FerrymanSolitude</t>
  </si>
  <si>
    <t>0201684D</t>
  </si>
  <si>
    <t>Jolf</t>
  </si>
  <si>
    <t>Dint BDOR - Marianne</t>
  </si>
  <si>
    <t>Uvi_Wig_Spell_DintBDOR_Marianne</t>
  </si>
  <si>
    <t>0201684C</t>
  </si>
  <si>
    <t>Ferryman</t>
  </si>
  <si>
    <t>DLC1FerrymanSolitude;DLC1FerrymanDawnstar;DLC1FerrymanWindhelm</t>
  </si>
  <si>
    <t>DLC1FerrymanWindhelm</t>
  </si>
  <si>
    <t>0201684F</t>
  </si>
  <si>
    <t>Gort</t>
  </si>
  <si>
    <t>Dint BDOR - Maverna</t>
  </si>
  <si>
    <t>Uvi_Wig_Spell_DintBDOR_Maverna</t>
  </si>
  <si>
    <t>0200336D</t>
  </si>
  <si>
    <t>Florentius Baenius</t>
  </si>
  <si>
    <t>DLC1FuraBloodmouth</t>
  </si>
  <si>
    <t>02003363</t>
  </si>
  <si>
    <t>Fura Bloodmouth</t>
  </si>
  <si>
    <t>Dint BDOR - May</t>
  </si>
  <si>
    <t>DLC1GaranMarethi</t>
  </si>
  <si>
    <t>02003364</t>
  </si>
  <si>
    <t>Garan Marethi</t>
  </si>
  <si>
    <t>Uvi_Wig_Spell_DintBDOR_May</t>
  </si>
  <si>
    <t>DLC1Gelebor</t>
  </si>
  <si>
    <t>0200A877</t>
  </si>
  <si>
    <t>Knight-Paladin Gelebor</t>
  </si>
  <si>
    <t>HairMaleSnowElf06</t>
  </si>
  <si>
    <t>DLC1Gunmar</t>
  </si>
  <si>
    <t>0200336C</t>
  </si>
  <si>
    <t>Gunmar</t>
  </si>
  <si>
    <t>Dint BDOR - Meyvet</t>
  </si>
  <si>
    <t>Uvi_Wig_Spell_DintBDOR_Meyvet</t>
  </si>
  <si>
    <t>DLC1Harkon</t>
  </si>
  <si>
    <t>02003BA7</t>
  </si>
  <si>
    <t>Lord Harkon</t>
  </si>
  <si>
    <t>DLC1HarkonCombat</t>
  </si>
  <si>
    <t>DLC1Hestla</t>
  </si>
  <si>
    <t>02003365</t>
  </si>
  <si>
    <t>Hestla</t>
  </si>
  <si>
    <t>Dint BDOR - Millay</t>
  </si>
  <si>
    <t>Uvi_Wig_Spell_DintBDOR_Millay</t>
  </si>
  <si>
    <t>DLC1HunterBaseIntroVigilant1</t>
  </si>
  <si>
    <t>0201A3CD</t>
  </si>
  <si>
    <t>EncVigilantOfStendarr01MeleeTemplate</t>
  </si>
  <si>
    <t>DLC1HunterBaseIntroVigilant2</t>
  </si>
  <si>
    <t>0201A3CE</t>
  </si>
  <si>
    <t>DLC1Ingjard</t>
  </si>
  <si>
    <t>0201541B</t>
  </si>
  <si>
    <t>Ingjard</t>
  </si>
  <si>
    <t>DLC1Isran</t>
  </si>
  <si>
    <t>Dint BDOR - Mivileya</t>
  </si>
  <si>
    <t>0200336A</t>
  </si>
  <si>
    <t>Isran</t>
  </si>
  <si>
    <t>Uvi_Wig_Spell_DintBDOR_Mivileya</t>
  </si>
  <si>
    <t>DLC1LD_BookCorpse1</t>
  </si>
  <si>
    <t>020146D7</t>
  </si>
  <si>
    <t>EncWarlockAtro01BretonF</t>
  </si>
  <si>
    <t>DLC1LD_BookCorpse2</t>
  </si>
  <si>
    <t>0200CFBD</t>
  </si>
  <si>
    <t>EncBandit02Melee1HKhajiitM</t>
  </si>
  <si>
    <t>DLC1LD_Katria</t>
  </si>
  <si>
    <t>02004D0C</t>
  </si>
  <si>
    <t>Katria</t>
  </si>
  <si>
    <t>DLC1LD_KatriaCorpse</t>
  </si>
  <si>
    <t>Dint BDOR - Mo'wol</t>
  </si>
  <si>
    <t>02004D7D</t>
  </si>
  <si>
    <t>Uvi_Wig_Spell_DintBDOR_Mowol</t>
  </si>
  <si>
    <t>DLC1LvlRedwaterThrallMeleeCommonerAcMAggro1024</t>
  </si>
  <si>
    <t>02014070</t>
  </si>
  <si>
    <t>DLC1LvlVampireThrallMeleeCommonerAcM</t>
  </si>
  <si>
    <t>020183A4</t>
  </si>
  <si>
    <t>Dint BDOR - Myriad</t>
  </si>
  <si>
    <t>Uvi_Wig_Spell_DintBDOR_Myriad</t>
  </si>
  <si>
    <t>DLC1Malkus</t>
  </si>
  <si>
    <t>02003D05</t>
  </si>
  <si>
    <t>Malkus</t>
  </si>
  <si>
    <t>HairMaleOrc26</t>
  </si>
  <si>
    <t>DLC1MalkusDead</t>
  </si>
  <si>
    <t>02003D7B</t>
  </si>
  <si>
    <t>Dint BDOR - Naniri</t>
  </si>
  <si>
    <t>Uvi_Wig_Spell_DintBDOR_Naniri</t>
  </si>
  <si>
    <t>DLC1Modhna</t>
  </si>
  <si>
    <t>02011E5E</t>
  </si>
  <si>
    <t>Modhna</t>
  </si>
  <si>
    <t>DLC1Namasur</t>
  </si>
  <si>
    <t>02011E5D</t>
  </si>
  <si>
    <t>Namasur</t>
  </si>
  <si>
    <t>Dint BDOR - Nerane</t>
  </si>
  <si>
    <t>Uvi_Wig_Spell_DintBDOR_Nerane</t>
  </si>
  <si>
    <t>02003361</t>
  </si>
  <si>
    <t>Orthjolf</t>
  </si>
  <si>
    <t>DLC1Prelate00</t>
  </si>
  <si>
    <t>02002B44</t>
  </si>
  <si>
    <t>Prelate Sidanyis</t>
  </si>
  <si>
    <t>Dint BDOR - Nerra</t>
  </si>
  <si>
    <t>DLC1Prelate01</t>
  </si>
  <si>
    <t>Uvi_Wig_Spell_DintBDOR_Nerra</t>
  </si>
  <si>
    <t>0200A8AC</t>
  </si>
  <si>
    <t>Prelate Athring</t>
  </si>
  <si>
    <t>HairMaleSnowElf02</t>
  </si>
  <si>
    <t>DLC1Prelate02</t>
  </si>
  <si>
    <t>0200A8AD</t>
  </si>
  <si>
    <t>Prelate Celegriath</t>
  </si>
  <si>
    <t>HairMaleSnowElf03</t>
  </si>
  <si>
    <t>DLC1Prelate03</t>
  </si>
  <si>
    <t>Dint BDOR - Norren</t>
  </si>
  <si>
    <t>0200A8AE</t>
  </si>
  <si>
    <t>Prelate Nirilor</t>
  </si>
  <si>
    <t>Uvi_Wig_Spell_DintBDOR_Norren</t>
  </si>
  <si>
    <t>DLC1Prelate04</t>
  </si>
  <si>
    <t>0200A8B0</t>
  </si>
  <si>
    <t>Prelate Edhelbor</t>
  </si>
  <si>
    <t>DLC1RadiantDisguisedVampireAdvisor</t>
  </si>
  <si>
    <t>Dint BDOR - Nyx</t>
  </si>
  <si>
    <t>02007EC8</t>
  </si>
  <si>
    <t>Visiting Advisor</t>
  </si>
  <si>
    <t>Uvi_Wig_Spell_DintBDOR_Nyx</t>
  </si>
  <si>
    <t>DLC1RadiantDisguisedVampireBard</t>
  </si>
  <si>
    <t>02005E4C</t>
  </si>
  <si>
    <t>Traveling Bard</t>
  </si>
  <si>
    <t>Dint BDOR - Ollivfiera</t>
  </si>
  <si>
    <t>DLC1RadiantDisguisedVampireLord</t>
  </si>
  <si>
    <t>02004208</t>
  </si>
  <si>
    <t>Uvi_Wig_Spell_DintBDOR_Ollivfiera</t>
  </si>
  <si>
    <t>Traveler</t>
  </si>
  <si>
    <t>LvlVampireBoss</t>
  </si>
  <si>
    <t>DLC1RadiantDisguisedVampireMerchant</t>
  </si>
  <si>
    <t>02005E4D</t>
  </si>
  <si>
    <t>Traveling Merchant</t>
  </si>
  <si>
    <t>Dint BDOR - Palnm</t>
  </si>
  <si>
    <t>DLC1RadiantDisguisedVampirePilgrim</t>
  </si>
  <si>
    <t>Uvi_Wig_Spell_DintBDOR_Palnm</t>
  </si>
  <si>
    <t>02005E4E</t>
  </si>
  <si>
    <t>Traveling Pilgrim</t>
  </si>
  <si>
    <t>DLC1RargalThrallmaster</t>
  </si>
  <si>
    <t>02003362</t>
  </si>
  <si>
    <t>Rargal Thrallmaster</t>
  </si>
  <si>
    <t>DLC1RefugeeAlvide</t>
  </si>
  <si>
    <t>Dint BDOR - Paramella</t>
  </si>
  <si>
    <t>020198B6</t>
  </si>
  <si>
    <t>Alvide</t>
  </si>
  <si>
    <t>Uvi_Wig_Spell_DintBDOR_Paramella</t>
  </si>
  <si>
    <t>DLC1RefugeeBarknar</t>
  </si>
  <si>
    <t>020198B4</t>
  </si>
  <si>
    <t>Barknar</t>
  </si>
  <si>
    <t>DLC1RefugeeJayri</t>
  </si>
  <si>
    <t>020198B8</t>
  </si>
  <si>
    <t>Jayri</t>
  </si>
  <si>
    <t>Dint BDOR - Pimpy</t>
  </si>
  <si>
    <t>DLC1RefugeeSern</t>
  </si>
  <si>
    <t>Uvi_Wig_Spell_DintBDOR_Pimpy</t>
  </si>
  <si>
    <t>020198F7</t>
  </si>
  <si>
    <t>Sern</t>
  </si>
  <si>
    <t>DLC1ResponsiveNPC_Base</t>
  </si>
  <si>
    <t>02002B6B</t>
  </si>
  <si>
    <t>DLC1Ronthil</t>
  </si>
  <si>
    <t>02003367</t>
  </si>
  <si>
    <t>Ronthil</t>
  </si>
  <si>
    <t>Dint BDOR - Plennie</t>
  </si>
  <si>
    <t>HairMaleDarkElf06</t>
  </si>
  <si>
    <t>Uvi_Wig_Spell_DintBDOR_Plennie</t>
  </si>
  <si>
    <t>DLC1RuunvaldWarlockBoss</t>
  </si>
  <si>
    <t>02013823</t>
  </si>
  <si>
    <t>Minorne</t>
  </si>
  <si>
    <t>LvlWarlockConjurerBoss</t>
  </si>
  <si>
    <t>DLC1SaloniaCaelia</t>
  </si>
  <si>
    <t>02003369</t>
  </si>
  <si>
    <t>Salonia Caelia</t>
  </si>
  <si>
    <t>Dint BDOR - Rhine</t>
  </si>
  <si>
    <t>DLC1Serana</t>
  </si>
  <si>
    <t>Uvi_Wig_Spell_DintBDOR_Rhine</t>
  </si>
  <si>
    <t>02002B6C</t>
  </si>
  <si>
    <t>Serana</t>
  </si>
  <si>
    <t>DLC1HairFemaleSerana</t>
  </si>
  <si>
    <t>0200336B</t>
  </si>
  <si>
    <t>Sorine Jurard</t>
  </si>
  <si>
    <t>DLC1SoulCairnCrystalCaster</t>
  </si>
  <si>
    <t>Dint BDOR - Rosally</t>
  </si>
  <si>
    <t>02008B34</t>
  </si>
  <si>
    <t>Uvi_Wig_Spell_DintBDOR_Rosally</t>
  </si>
  <si>
    <t>DLC1Stalf</t>
  </si>
  <si>
    <t>02003368</t>
  </si>
  <si>
    <t>Stalf</t>
  </si>
  <si>
    <t>DLC1Surgeon</t>
  </si>
  <si>
    <t>02006978</t>
  </si>
  <si>
    <t>Galathil</t>
  </si>
  <si>
    <t>Dint BDOR - Roxy</t>
  </si>
  <si>
    <t>DLC1TestAngry</t>
  </si>
  <si>
    <t>02005A9B</t>
  </si>
  <si>
    <t>Uvi_Wig_Spell_DintBDOR_Roxy</t>
  </si>
  <si>
    <t>DLC1Valerica</t>
  </si>
  <si>
    <t>02003B8B</t>
  </si>
  <si>
    <t>Valerica</t>
  </si>
  <si>
    <t>DLC1HairFemaleValerica</t>
  </si>
  <si>
    <t>DLC1VampireCastleGuard</t>
  </si>
  <si>
    <t>0201A416</t>
  </si>
  <si>
    <t>Watchman</t>
  </si>
  <si>
    <t>DLC1VCThrallMaleOldGrumpy</t>
  </si>
  <si>
    <t>DLC1Vanik</t>
  </si>
  <si>
    <t>02003D03</t>
  </si>
  <si>
    <t>Vanik</t>
  </si>
  <si>
    <t>Dint BDOR - Saphira</t>
  </si>
  <si>
    <t>Uvi_Wig_Spell_DintBDOR_Saphira</t>
  </si>
  <si>
    <t>DLC1VCDungeonFeralVampire</t>
  </si>
  <si>
    <t>0200CADF</t>
  </si>
  <si>
    <t>Feral Vampire</t>
  </si>
  <si>
    <t>02015B49</t>
  </si>
  <si>
    <t>Dint BDOR - Sharwin</t>
  </si>
  <si>
    <t>Uvi_Wig_Spell_DintBDOR_Sharwin</t>
  </si>
  <si>
    <t>DLC1VigilantAdalvald</t>
  </si>
  <si>
    <t>0200FB33</t>
  </si>
  <si>
    <t>Vigilant Adalvald</t>
  </si>
  <si>
    <t>EncVigilantOfStendarr02NordM02</t>
  </si>
  <si>
    <t>DLC1VigilantTolan</t>
  </si>
  <si>
    <t>0200352D</t>
  </si>
  <si>
    <t>Vigilant Tolan</t>
  </si>
  <si>
    <t>DLC1VQ01VigilantTolanCorpse</t>
  </si>
  <si>
    <t>Dint BDOR - Shelvey</t>
  </si>
  <si>
    <t>Uvi_Wig_Spell_DintBDOR_Shelvey</t>
  </si>
  <si>
    <t>DLC1Vingalmo</t>
  </si>
  <si>
    <t>02003360</t>
  </si>
  <si>
    <t>Vingalmo</t>
  </si>
  <si>
    <t>HairMaleElf06</t>
  </si>
  <si>
    <t>DLC1VoiceTypeNPCFemaleChild</t>
  </si>
  <si>
    <t>0200B545</t>
  </si>
  <si>
    <t>Dint BDOR - Shounoby</t>
  </si>
  <si>
    <t>DLC1VoiceTypeNPCFemaleCommander</t>
  </si>
  <si>
    <t>Uvi_Wig_Spell_DintBDOR_Shounoby</t>
  </si>
  <si>
    <t>0200B546</t>
  </si>
  <si>
    <t>DLC1VoiceTypeNPCFemaleCommoner</t>
  </si>
  <si>
    <t>0200B547</t>
  </si>
  <si>
    <t>Dint BDOR - Ska'ady</t>
  </si>
  <si>
    <t>Uvi_Wig_Spell_DintBDOR_Skaady</t>
  </si>
  <si>
    <t>DLC1VoiceTypeNPCFemaleCondescending</t>
  </si>
  <si>
    <t>0200B548</t>
  </si>
  <si>
    <t>DLC1VoiceTypeNPCFemaleCoward</t>
  </si>
  <si>
    <t>0200B549</t>
  </si>
  <si>
    <t>Dint BDOR - Smeare</t>
  </si>
  <si>
    <t>Uvi_Wig_Spell_DintBDOR_Smeare</t>
  </si>
  <si>
    <t>DLC1VoiceTypeNPCFemaleElfHaughty</t>
  </si>
  <si>
    <t>0200B54A</t>
  </si>
  <si>
    <t>DLC1VoiceTypeNPCFemaleEvenToned</t>
  </si>
  <si>
    <t>0200B54B</t>
  </si>
  <si>
    <t>DLC1VoiceTypeNPCFemaleNord</t>
  </si>
  <si>
    <t>0200B54C</t>
  </si>
  <si>
    <t>Dint BDOR - Smyx</t>
  </si>
  <si>
    <t>Uvi_Wig_Spell_DintBDOR_Smyx</t>
  </si>
  <si>
    <t>DLC1VoiceTypeNPCFemaleSultry</t>
  </si>
  <si>
    <t>0200B54D</t>
  </si>
  <si>
    <t>DLC1VoiceTypeNPCFemaleYoungEager</t>
  </si>
  <si>
    <t>020183A6</t>
  </si>
  <si>
    <t>DLC1VoiceTypeNPCMaleChild</t>
  </si>
  <si>
    <t>0200B54F</t>
  </si>
  <si>
    <t>Dint BDOR - Stacy</t>
  </si>
  <si>
    <t>Uvi_Wig_Spell_DintBDOR_Stacy</t>
  </si>
  <si>
    <t>DLC1VoiceTypeNPCMaleCommander</t>
  </si>
  <si>
    <t>0200B550</t>
  </si>
  <si>
    <t>DLC1VoiceTypeNPCMaleCommonerAccented</t>
  </si>
  <si>
    <t>020183A3</t>
  </si>
  <si>
    <t>DLC1VoiceTypeNPCMaleElfHaughty</t>
  </si>
  <si>
    <t>0200B551</t>
  </si>
  <si>
    <t>Dint BDOR - Stafy</t>
  </si>
  <si>
    <t>Uvi_Wig_Spell_DintBDOR_Stafy</t>
  </si>
  <si>
    <t>DLC1VoiceTypeNPCMaleEvenToned</t>
  </si>
  <si>
    <t>0200B552</t>
  </si>
  <si>
    <t>DLC1VoiceTypeNPCMaleGuard</t>
  </si>
  <si>
    <t>0200B553</t>
  </si>
  <si>
    <t>DLC1VoiceTypeNPCMaleNord</t>
  </si>
  <si>
    <t>0200B554</t>
  </si>
  <si>
    <t>Dint BDOR - Stenshi</t>
  </si>
  <si>
    <t>Uvi_Wig_Spell_DintBDOR_Stenshi</t>
  </si>
  <si>
    <t>DLC1VoiceTypeNPCMaleNordCommander</t>
  </si>
  <si>
    <t>0200B555</t>
  </si>
  <si>
    <t>DLC1VoiceTypeNPCMaleOldGrumpy</t>
  </si>
  <si>
    <t>0200B556</t>
  </si>
  <si>
    <t>DLC1VoiceTypeNPCMaleOrc</t>
  </si>
  <si>
    <t>0200B557</t>
  </si>
  <si>
    <t>DLC1VoiceTypeNPCMaleSlyCynical</t>
  </si>
  <si>
    <t>0200B558</t>
  </si>
  <si>
    <t>Dint BDOR - Tira</t>
  </si>
  <si>
    <t>DLC1VoiceTypeNPCMaleVampire</t>
  </si>
  <si>
    <t>0201A340</t>
  </si>
  <si>
    <t>DLC1VoiceTypeNPCMaleYoungEager</t>
  </si>
  <si>
    <t>Uvi_Wig_Spell_DintBDOR_Tira</t>
  </si>
  <si>
    <t>0200B559</t>
  </si>
  <si>
    <t>0200F4B0</t>
  </si>
  <si>
    <t>02011BB6</t>
  </si>
  <si>
    <t>Dint BDOR - Tumerlin</t>
  </si>
  <si>
    <t>Uvi_Wig_Spell_DintBDOR_Tumerlin</t>
  </si>
  <si>
    <t>02011BB8</t>
  </si>
  <si>
    <t>DLC1VQ03CarriageDriver</t>
  </si>
  <si>
    <t>020069C0</t>
  </si>
  <si>
    <t>HairMaleDarkElf04</t>
  </si>
  <si>
    <t>DLC1VQ03VampireDriver</t>
  </si>
  <si>
    <t>0200887B</t>
  </si>
  <si>
    <t>Rogen</t>
  </si>
  <si>
    <t>Dint BDOR - Velina</t>
  </si>
  <si>
    <t>Uvi_Wig_Spell_DintBDOR_Velina</t>
  </si>
  <si>
    <t>DLC1VQ03VampireDriverDead</t>
  </si>
  <si>
    <t>02006E5C</t>
  </si>
  <si>
    <t>DLC1WEDB02Farmer</t>
  </si>
  <si>
    <t>02014210</t>
  </si>
  <si>
    <t>Farmer</t>
  </si>
  <si>
    <t>EncHunterNordM</t>
  </si>
  <si>
    <t>Dint BDOR - Vex</t>
  </si>
  <si>
    <t>DLC1WEDB03DLVLDawnGuardEvenTonedF</t>
  </si>
  <si>
    <t>Uvi_Wig_Spell_DintBDOR_Vex</t>
  </si>
  <si>
    <t>0201428E</t>
  </si>
  <si>
    <t>DLC1WEDB03DLVLDawnGuardEvenTonedM</t>
  </si>
  <si>
    <t>0201428F</t>
  </si>
  <si>
    <t>DLC1WEDB03DLVLDawnGuardNordM</t>
  </si>
  <si>
    <t>02014286</t>
  </si>
  <si>
    <t>Dint BDOR - Vienne</t>
  </si>
  <si>
    <t>DLC2BjornolfrCorpse</t>
  </si>
  <si>
    <t>0402B236</t>
  </si>
  <si>
    <t>Uvi_Wig_Spell_DintBDOR_Vienne</t>
  </si>
  <si>
    <t>Bjornolfr</t>
  </si>
  <si>
    <t>DLC2Bujold</t>
  </si>
  <si>
    <t>0401A511</t>
  </si>
  <si>
    <t>Bujold the Intrepid</t>
  </si>
  <si>
    <t>DLC2DamphallMine01Boss</t>
  </si>
  <si>
    <t>0403816C</t>
  </si>
  <si>
    <t>Reaver Lord</t>
  </si>
  <si>
    <t>Dint BDOR - Wavey</t>
  </si>
  <si>
    <t>DLC2EncBandit06TemplateMelee</t>
  </si>
  <si>
    <t>Uvi_Wig_Spell_DintBDOR_Wavey</t>
  </si>
  <si>
    <t>dlc2DBAncientDragonborn</t>
  </si>
  <si>
    <t>040265AA</t>
  </si>
  <si>
    <t>Ancient Dragonborn</t>
  </si>
  <si>
    <t>InvisibleRace</t>
  </si>
  <si>
    <t>DLC2DremoraButler</t>
  </si>
  <si>
    <t>0401FF20</t>
  </si>
  <si>
    <t>Dremora Butler</t>
  </si>
  <si>
    <t>DLC2DremoraRace</t>
  </si>
  <si>
    <t>DLC2DremoraMerchant</t>
  </si>
  <si>
    <t>0401EEB1</t>
  </si>
  <si>
    <t>Dremora Merchant</t>
  </si>
  <si>
    <t>Dint BDOR - Yaommi</t>
  </si>
  <si>
    <t>Uvi_Wig_Spell_DintBDOR_Yaommi</t>
  </si>
  <si>
    <t>DLC2Drovas</t>
  </si>
  <si>
    <t>04017779</t>
  </si>
  <si>
    <t>Drovas Relvi</t>
  </si>
  <si>
    <t>DLC2DummyFreaVoiceTypeNPC</t>
  </si>
  <si>
    <t>0403A47F</t>
  </si>
  <si>
    <t>Do Not Delete Me - needed for export to work</t>
  </si>
  <si>
    <t>DLC2dunAltarOfThrondTreasCorpse</t>
  </si>
  <si>
    <t>040367B1</t>
  </si>
  <si>
    <t>Sacrifice</t>
  </si>
  <si>
    <t>Dint BDOR - Yarra</t>
  </si>
  <si>
    <t>DLC2dunBookDungeon03Mannequin01</t>
  </si>
  <si>
    <t>0402A378</t>
  </si>
  <si>
    <t>Uvi_Wig_Spell_DintBDOR_Yarra</t>
  </si>
  <si>
    <t>DLC2dunBookDungeon03Mannequin02</t>
  </si>
  <si>
    <t>0402A379</t>
  </si>
  <si>
    <t>DLC2dunBookDungeon03Mannequin03</t>
  </si>
  <si>
    <t>0402A37A</t>
  </si>
  <si>
    <t>DLC2dunFahlbtharzExplorerCorpse01</t>
  </si>
  <si>
    <t>04032CEF</t>
  </si>
  <si>
    <t>Ulyn</t>
  </si>
  <si>
    <t>EncBandit01MagicDarkElfM</t>
  </si>
  <si>
    <t>Dint BDOR - Yummy</t>
  </si>
  <si>
    <t>DLC2dunFahlbtharzExplorerCorpse02</t>
  </si>
  <si>
    <t>Uvi_Wig_Spell_DintBDOR_Yummy</t>
  </si>
  <si>
    <t>0403B540</t>
  </si>
  <si>
    <t>Eydis</t>
  </si>
  <si>
    <t>DLC2dunFrostmoonAkar</t>
  </si>
  <si>
    <t>0401F9C3</t>
  </si>
  <si>
    <t>Akar</t>
  </si>
  <si>
    <t>DLC2dunFrostmoonHjordis</t>
  </si>
  <si>
    <t>0401F9C4</t>
  </si>
  <si>
    <t>Hjordis</t>
  </si>
  <si>
    <t>Dint BDOR - Zetrin</t>
  </si>
  <si>
    <t>Uvi_Wig_Spell_DintBDOR_Zetrin</t>
  </si>
  <si>
    <t>DLC2dunFrostmoonMajni</t>
  </si>
  <si>
    <t>0401DC67</t>
  </si>
  <si>
    <t>Majni</t>
  </si>
  <si>
    <t>DLC2dunFrostmoonRakel</t>
  </si>
  <si>
    <t>0401F9C5</t>
  </si>
  <si>
    <t>Rakel</t>
  </si>
  <si>
    <t>DLC2dunGyldenhulAdventurer</t>
  </si>
  <si>
    <t>Dint BDOR - Zohya</t>
  </si>
  <si>
    <t>04018D93</t>
  </si>
  <si>
    <t>Uvi_Wig_Spell_DintBDOR_Zohya</t>
  </si>
  <si>
    <t>TreasCorpseBanditNordMale</t>
  </si>
  <si>
    <t>DLC2dunHakinrsShoal_TreasureHunter01</t>
  </si>
  <si>
    <t>040377DB</t>
  </si>
  <si>
    <t>Treasure Hunter</t>
  </si>
  <si>
    <t>DLC2EncBandit01Melee1HDarkElf01F</t>
  </si>
  <si>
    <t>DLC2dunHakinrsShoal_TreasureHunter02</t>
  </si>
  <si>
    <t>040377DC</t>
  </si>
  <si>
    <t>HairMaleElf04</t>
  </si>
  <si>
    <t>Dint BDOR - Zubs</t>
  </si>
  <si>
    <t>DLC2EncBandit01MissileDarkElf01M</t>
  </si>
  <si>
    <t>Uvi_Wig_Spell_DintBDOR_Zubs</t>
  </si>
  <si>
    <t>DLC2dunHaknir</t>
  </si>
  <si>
    <t>0401A373</t>
  </si>
  <si>
    <t>Haknir Death-Brand</t>
  </si>
  <si>
    <t>LvlBanditGhostMeleeBerserkerMale</t>
  </si>
  <si>
    <t>DLC2dunHaknir_LvlBanditGhostMelee1HFemale</t>
  </si>
  <si>
    <t>04037FF4</t>
  </si>
  <si>
    <t>Haknir's Crew</t>
  </si>
  <si>
    <t>Dint BDOR Hair Addon</t>
  </si>
  <si>
    <t>DLC2dunHaknir_LvlBanditGhostMelee1HFemale_Weak</t>
  </si>
  <si>
    <t>Dint BDOR Addon - Amelia</t>
  </si>
  <si>
    <t>04038001</t>
  </si>
  <si>
    <t>Uvi_Wig_Spell_DintBDORadd_Amelia</t>
  </si>
  <si>
    <t>EncBandit01Melee1HNordF</t>
  </si>
  <si>
    <t>DLC2dunHaknir_LvlBanditGhostMelee1HMale</t>
  </si>
  <si>
    <t>04037FF5</t>
  </si>
  <si>
    <t>Dint_BDOR,Dint_BDOR_Addon</t>
  </si>
  <si>
    <t>DLC2dunHaknir_LvlBanditGhostMelee1HMale_Weak</t>
  </si>
  <si>
    <t>04038002</t>
  </si>
  <si>
    <t>DLC2dunHaknir_LvlBanditGhostMelee2HFemale</t>
  </si>
  <si>
    <t>04037FF6</t>
  </si>
  <si>
    <t>Dint BDOR Addon - Asuna</t>
  </si>
  <si>
    <t>DLC2dunHaknir_LvlBanditGhostMelee2HFemale_Weak</t>
  </si>
  <si>
    <t>04038003</t>
  </si>
  <si>
    <t>Uvi_Wig_Spell_DintBDORadd_Asuna</t>
  </si>
  <si>
    <t>EncBandit01Melee2HNordF</t>
  </si>
  <si>
    <t>DLC2dunHaknir_LvlBanditGhostMelee2HMale</t>
  </si>
  <si>
    <t>04037FF7</t>
  </si>
  <si>
    <t>DLC2dunHaknir_LvlBanditGhostMelee2HMale_Weak</t>
  </si>
  <si>
    <t>04038004</t>
  </si>
  <si>
    <t>EncBandit01Melee2HNordM</t>
  </si>
  <si>
    <t>DLC2dunHaknir_LvlBanditGhostMeleeBerserkerFemale</t>
  </si>
  <si>
    <t>04037FF8</t>
  </si>
  <si>
    <t>Dint BDOR Addon - Ellena</t>
  </si>
  <si>
    <t>DLC2dunHaknir_LvlBanditGhostMeleeBerserkerFemale_Weak</t>
  </si>
  <si>
    <t>04038005</t>
  </si>
  <si>
    <t>Uvi_Wig_Spell_DintBDORadd_Ellena</t>
  </si>
  <si>
    <t>EncBandit01Melee2HBerserkNordF</t>
  </si>
  <si>
    <t>DLC2dunHaknir_LvlBanditGhostMeleeBerserkerMale</t>
  </si>
  <si>
    <t>04037FF9</t>
  </si>
  <si>
    <t>DLC2dunHaknir_LvlBanditGhostMeleeBerserkerMale_Weak</t>
  </si>
  <si>
    <t>04038006</t>
  </si>
  <si>
    <t>EncBandit01Melee2HBerserkRedguardM</t>
  </si>
  <si>
    <t>DLC2dunHaknir_LvlBanditGhostMeleeMissileFemale</t>
  </si>
  <si>
    <t>04037FFB</t>
  </si>
  <si>
    <t>Dint BDOR Addon - Hanna</t>
  </si>
  <si>
    <t>DLC2dunHaknir_LvlBanditGhostMeleeMissileFemale_Weak</t>
  </si>
  <si>
    <t>04038007</t>
  </si>
  <si>
    <t>Uvi_Wig_Spell_DintBDORadd_Hanna</t>
  </si>
  <si>
    <t>EncBandit01MissileImperialF</t>
  </si>
  <si>
    <t>DLC2dunHaknir_LvlBanditGhostMeleeMissileMale</t>
  </si>
  <si>
    <t>04037FFC</t>
  </si>
  <si>
    <t>DLC2dunHaknir_LvlBanditGhostMeleeMissileMale_Weak</t>
  </si>
  <si>
    <t>04038008</t>
  </si>
  <si>
    <t>EncBandit01MissileWoodElfM</t>
  </si>
  <si>
    <t>DLC2dunHaknir_LvlBanditGhostMeleeTankFemale</t>
  </si>
  <si>
    <t>04037FFF</t>
  </si>
  <si>
    <t>Dint BDOR Addon - Hime</t>
  </si>
  <si>
    <t>Uvi_Wig_Spell_DintBDORadd_Hime</t>
  </si>
  <si>
    <t>DLC2dunHaknir_LvlBanditGhostMeleeTankFemale_Weak</t>
  </si>
  <si>
    <t>04038009</t>
  </si>
  <si>
    <t>EncBandit01Melee1HTankRedguardF</t>
  </si>
  <si>
    <t>DLC2dunHaknir_LvlBanditGhostMeleeTankMale</t>
  </si>
  <si>
    <t>04037FFA</t>
  </si>
  <si>
    <t>DLC2dunHaknir_LvlBanditGhostMeleeTankMale_Weak</t>
  </si>
  <si>
    <t>0403800A</t>
  </si>
  <si>
    <t>EncBandit01Melee1HTankOrcM</t>
  </si>
  <si>
    <t>Dint BDOR Addon - Illya</t>
  </si>
  <si>
    <t>DLC2dunHaknir_LvlBanditGhostWizardFemale</t>
  </si>
  <si>
    <t>04037FFD</t>
  </si>
  <si>
    <t>Uvi_Wig_Spell_DintBDORadd_Illya</t>
  </si>
  <si>
    <t>DLC2dunHaknir_LvlBanditGhostWizardFemale_Weak</t>
  </si>
  <si>
    <t>0403800B</t>
  </si>
  <si>
    <t>EncBandit01MagicDarkElfF</t>
  </si>
  <si>
    <t>DLC2dunHaknir_LvlBanditGhostWizardMale</t>
  </si>
  <si>
    <t>04037FFE</t>
  </si>
  <si>
    <t>Dint BDOR Addon - Jack</t>
  </si>
  <si>
    <t>DLC2dunHaknir_LvlBanditGhostWizardMale_Weak</t>
  </si>
  <si>
    <t>0403800C</t>
  </si>
  <si>
    <t>Uvi_Wig_Spell_DintBDORadd_Jack</t>
  </si>
  <si>
    <t>EncBandit01MagicNordM</t>
  </si>
  <si>
    <t>DLC2dunHaknirGarukWindrime</t>
  </si>
  <si>
    <t>04037FE3</t>
  </si>
  <si>
    <t>Garuk Windrime</t>
  </si>
  <si>
    <t>LvlBanditGhostMissileMale</t>
  </si>
  <si>
    <t>DLC2dunHaknirShoal_LvlBanditBossMaleDarkElf</t>
  </si>
  <si>
    <t>040325FE</t>
  </si>
  <si>
    <t>Dint BDOR Addon - Karin</t>
  </si>
  <si>
    <t>DLC2LvlBanditBoss</t>
  </si>
  <si>
    <t>Uvi_Wig_Spell_DintBDORadd_Karin</t>
  </si>
  <si>
    <t>DLC2dunHaknirShoal_LvlBanditBossMaleNord</t>
  </si>
  <si>
    <t>0402400A</t>
  </si>
  <si>
    <t>Pirate Captain</t>
  </si>
  <si>
    <t>LvlBanditBossMelee2HNordM</t>
  </si>
  <si>
    <t>DLC2dunHaknirShoal_LvlBanditMissileFemaleDarkElfCommoner</t>
  </si>
  <si>
    <t>0402400B</t>
  </si>
  <si>
    <t>Pirate</t>
  </si>
  <si>
    <t>DLC2LvlBanditMissile</t>
  </si>
  <si>
    <t>DLC2dunHaknirShoal_LvlBanditMissileWoodElfF</t>
  </si>
  <si>
    <t>04032600</t>
  </si>
  <si>
    <t>Dint BDOR Addon - Lin</t>
  </si>
  <si>
    <t>Reaver</t>
  </si>
  <si>
    <t>Uvi_Wig_Spell_DintBDORadd_Lin</t>
  </si>
  <si>
    <t>DLC2dunHaknirShoal_LvlBanditWizardMaleDarkElfCynical</t>
  </si>
  <si>
    <t>04039721</t>
  </si>
  <si>
    <t>DLC2dunHaknirShoal_LvlBanditWizard</t>
  </si>
  <si>
    <t>DLC2dunHaknirThalinEbonhand</t>
  </si>
  <si>
    <t>04037FE5</t>
  </si>
  <si>
    <t>Thalin Ebonhand</t>
  </si>
  <si>
    <t>LvlBanditGhostWizardMale</t>
  </si>
  <si>
    <t>Dint BDOR Addon - Liz</t>
  </si>
  <si>
    <t>DLC2dunHorkerIslandTreasCorpseBanditDarkElfMale</t>
  </si>
  <si>
    <t>040264B9</t>
  </si>
  <si>
    <t>Uvi_Wig_Spell_DintBDORadd_Liz</t>
  </si>
  <si>
    <t>Saden</t>
  </si>
  <si>
    <t>DLC2EncBandit01MagicDarkElf01M</t>
  </si>
  <si>
    <t>DLC2dunKolbjornMiner_Bradyn</t>
  </si>
  <si>
    <t>040277EE</t>
  </si>
  <si>
    <t>Bradyn</t>
  </si>
  <si>
    <t>DLC2dunKolbjornMiner_DarkElfM01</t>
  </si>
  <si>
    <t>DLC2dunKolbjornMiner_DarkElfF01</t>
  </si>
  <si>
    <t>040277F8</t>
  </si>
  <si>
    <t>Miner</t>
  </si>
  <si>
    <t>Dint BDOR Addon - Marseille</t>
  </si>
  <si>
    <t>Uvi_Wig_Spell_DintBDORadd_Marseille</t>
  </si>
  <si>
    <t>DLC2dunKolbjornMiner_DarkElfF02</t>
  </si>
  <si>
    <t>040277F9</t>
  </si>
  <si>
    <t>DLC2dunKolbjornMiner_DarkElfF03</t>
  </si>
  <si>
    <t>040277FD</t>
  </si>
  <si>
    <t>Dint BDOR Addon - Nami</t>
  </si>
  <si>
    <t>DLC2dunKolbjornMiner_Mireli</t>
  </si>
  <si>
    <t>DLC2dunKolbjornMiner_DarkElfF04</t>
  </si>
  <si>
    <t>Uvi_Wig_Spell_DintBDORadd_Nami</t>
  </si>
  <si>
    <t>040277FE</t>
  </si>
  <si>
    <t>040277FA</t>
  </si>
  <si>
    <t>DLC2dunKolbjornMiner_DarkElfM02</t>
  </si>
  <si>
    <t>040277FB</t>
  </si>
  <si>
    <t>Dint BDOR Addon - Penny</t>
  </si>
  <si>
    <t>Uvi_Wig_Spell_DintBDORadd_Penny</t>
  </si>
  <si>
    <t>DLC2dunKolbjornMiner_DarkElfM03</t>
  </si>
  <si>
    <t>040277FF</t>
  </si>
  <si>
    <t>DLC2dunKolbjornMiner_DarkElfM04</t>
  </si>
  <si>
    <t>040277EC</t>
  </si>
  <si>
    <t>DLC2dunKolbjornMiner_GuardM01</t>
  </si>
  <si>
    <t>040277FC</t>
  </si>
  <si>
    <t>Kolbjorn Guard</t>
  </si>
  <si>
    <t>Dint BDOR Addon - Ran</t>
  </si>
  <si>
    <t>DLC2dunKolbjornMiner_GuardM02</t>
  </si>
  <si>
    <t>04027803</t>
  </si>
  <si>
    <t>Uvi_Wig_Spell_DintBDORadd_Ran</t>
  </si>
  <si>
    <t>DLC2dunKolbjornMiner_GuardM03</t>
  </si>
  <si>
    <t>04027804</t>
  </si>
  <si>
    <t>DLC2dunKolbjornMiner_GuardM04</t>
  </si>
  <si>
    <t>04027805</t>
  </si>
  <si>
    <t>Dint BDOR Addon - Reina</t>
  </si>
  <si>
    <t>040277EF</t>
  </si>
  <si>
    <t>Mireli</t>
  </si>
  <si>
    <t>Uvi_Wig_Spell_DintBDORadd_Reina</t>
  </si>
  <si>
    <t>DLC2dunKolbjornRalis</t>
  </si>
  <si>
    <t>040179C7</t>
  </si>
  <si>
    <t>Ralis Sedarys</t>
  </si>
  <si>
    <t>DLC2dunTempleofMiraakCultist01</t>
  </si>
  <si>
    <t>04028973</t>
  </si>
  <si>
    <t>DLC2dunTempleofMiraakCultist02</t>
  </si>
  <si>
    <t>04028974</t>
  </si>
  <si>
    <t>Dint BDOR Addon - Riki</t>
  </si>
  <si>
    <t>DLC2dunUshaTreasCorpse</t>
  </si>
  <si>
    <t>Uvi_Wig_Spell_DintBDORadd_Riki</t>
  </si>
  <si>
    <t>0403537E</t>
  </si>
  <si>
    <t>Usha</t>
  </si>
  <si>
    <t>DLC2EbonyWarrior</t>
  </si>
  <si>
    <t>040285C3</t>
  </si>
  <si>
    <t>Ebony Warrior</t>
  </si>
  <si>
    <t>DLC2Elmus</t>
  </si>
  <si>
    <t>0401A51A</t>
  </si>
  <si>
    <t>Elmus</t>
  </si>
  <si>
    <t>DLC2Elynea</t>
  </si>
  <si>
    <t>04017778</t>
  </si>
  <si>
    <t>Elynea Mothren</t>
  </si>
  <si>
    <t>Dint BDOR Addon - Rio</t>
  </si>
  <si>
    <t>Uvi_Wig_Spell_DintBDORadd_Rio</t>
  </si>
  <si>
    <t>DLC2EncBandit00Template</t>
  </si>
  <si>
    <t>0401E804</t>
  </si>
  <si>
    <t>DLC2EncBandit01TemplateMagic;DLC2EncBandit01TemplateMelee;DLC2EncBandit01TemplateMissile;DLC2EncBandit02TemplateMagic;DLC2EncBandit02TemplateMelee;DLC2EncBandit02TemplateMissile;DLC2EncBandit03TemplateMagic;DLC2EncBandit03TemplateMelee;DLC2EncBandit03TemplateMissile;DLC2EncBandit04TemplateMagic;DLC2EncBandit04TemplateMelee;DLC2EncBandit04TemplateMissile;DLC2EncBandit05TemplateMagic;DLC2EncBandit05TemplateMelee;DLC2EncBandit05TemplateMissile;DLC2EncBandit06TemplateMagic;DLC2EncBandit06TemplateMelee;DLC2EncBandit06TemplateMissile</t>
  </si>
  <si>
    <t>DLC2EncBandit01MagicDarkElf01F</t>
  </si>
  <si>
    <t>0401E806</t>
  </si>
  <si>
    <t>DLC2EncBandit01TemplateMagic</t>
  </si>
  <si>
    <t>DLC2EncBandit01MagicDarkElf01M;DLC2EncBandit01MagicDarkElf02M</t>
  </si>
  <si>
    <t>DLC2TreasCorpseBanditMagicDarkElfFemale01</t>
  </si>
  <si>
    <t>0401E805</t>
  </si>
  <si>
    <t>Dint BDOR Addon - Toki</t>
  </si>
  <si>
    <t>DLC2dunHorkerIslandTreasCorpseBanditDarkElfMale;DLC2TreasCorpseBanditMagicDarkElfMale01</t>
  </si>
  <si>
    <t>DLC2EncBandit01MagicDarkElf02F</t>
  </si>
  <si>
    <t>Uvi_Wig_Spell_DintBDORadd_Toki</t>
  </si>
  <si>
    <t>0401E80C</t>
  </si>
  <si>
    <t>HairFemaleElf06</t>
  </si>
  <si>
    <t>DLC2TreasCorpseBanditMagicDarkElfFemale02</t>
  </si>
  <si>
    <t>DLC2EncBandit01MagicDarkElf02M</t>
  </si>
  <si>
    <t>0401E80D</t>
  </si>
  <si>
    <t>DLC2TreasCorpseBanditMagicDarkElfMale02</t>
  </si>
  <si>
    <t>DLC2EncBandit01MagicDarkElf03F</t>
  </si>
  <si>
    <t>0401E809</t>
  </si>
  <si>
    <t>DLC2TreasCorpseBanditMagicDarkElfFemale03</t>
  </si>
  <si>
    <t>Dint BDOR Addon - Yuna</t>
  </si>
  <si>
    <t>DLC2EncBandit01MagicDarkElf03M</t>
  </si>
  <si>
    <t>0401E80A</t>
  </si>
  <si>
    <t>Uvi_Wig_Spell_DintBDORadd_Yuna</t>
  </si>
  <si>
    <t>DLC2TreasCorpseBanditMagicDarkElfMale03</t>
  </si>
  <si>
    <t>DLC2EncBandit01MagicDarkElf04M</t>
  </si>
  <si>
    <t>0401E80B</t>
  </si>
  <si>
    <t>DLC2TreasCorpseBanditMagicDarkElfMale04</t>
  </si>
  <si>
    <t>0401E813</t>
  </si>
  <si>
    <t>DLC2EncBandit01TemplateMelee</t>
  </si>
  <si>
    <t>DLC2TempleWorkerBandit01;DLC2dunHakinrsShoal_TreasureHunter01;DLC2TreasCorpseBanditMelee1HDarkElfFemale01</t>
  </si>
  <si>
    <t>DLC2EncBandit01Melee1HDarkElf01M</t>
  </si>
  <si>
    <t>Dint Hair Pack 02 - 1</t>
  </si>
  <si>
    <t>0401E80F</t>
  </si>
  <si>
    <t>Uvi_Wig_Spell_Dint02_01</t>
  </si>
  <si>
    <t>DLC2TempleWorkerBandit02;DLC2TreasCorpseBanditMelee1HDarkElfMale01;DLC2RieklingCampBanditCorpse;DLC2PillarWorkerBandit01</t>
  </si>
  <si>
    <t>DLC2EncBandit01Melee1HDarkElf02F</t>
  </si>
  <si>
    <t>0401E80E</t>
  </si>
  <si>
    <t>DLC2TreasCorpseBanditMelee1HDarkElfFemale02</t>
  </si>
  <si>
    <t>DLC2EncBandit01Melee1HDarkElf02M</t>
  </si>
  <si>
    <t>0401E814</t>
  </si>
  <si>
    <t>DLC2TreasCorpseBanditMelee1HDarkElfMale02</t>
  </si>
  <si>
    <t>DLC2EncBandit01Melee1HDarkElf03F</t>
  </si>
  <si>
    <t>0401E811</t>
  </si>
  <si>
    <t>DLC2TempleWorkerBandit03;DLC2TreasCorpseBanditMelee1HDarkElfFemale03;DLC2PillarWorkerBandit02</t>
  </si>
  <si>
    <t>DLC2EncBandit01Melee1HDarkElf03M</t>
  </si>
  <si>
    <t>0401E812</t>
  </si>
  <si>
    <t>Dint Hair Pack 02 - 2</t>
  </si>
  <si>
    <t>Uvi_Wig_Spell_Dint02_02</t>
  </si>
  <si>
    <t>DLC2TreasCorpseBanditMelee1HDarkElfMale03</t>
  </si>
  <si>
    <t>DLC2EncBandit01Melee1HDarkElf04M</t>
  </si>
  <si>
    <t>0401E810</t>
  </si>
  <si>
    <t>HairMaleElf03</t>
  </si>
  <si>
    <t>DLC2TreasCorpseBanditMelee1HDarkElfMale04</t>
  </si>
  <si>
    <t>DLC2EncBandit01MissileDarkElf01F</t>
  </si>
  <si>
    <t>0401E819</t>
  </si>
  <si>
    <t>DLC2EncBandit01TemplateMissile</t>
  </si>
  <si>
    <t>DLC2TreasCorpseBanditMissileDarkElfFemale01</t>
  </si>
  <si>
    <t>0401E81A</t>
  </si>
  <si>
    <t>Dint Hair Pack 02 - 3</t>
  </si>
  <si>
    <t>Uvi_Wig_Spell_Dint02_03</t>
  </si>
  <si>
    <t>Male, Female</t>
  </si>
  <si>
    <t>DLC2dunHakinrsShoal_TreasureHunter02;DLC2TreasCorpseBanditMissileDarkElfMale01</t>
  </si>
  <si>
    <t>DLC2EncBandit01MissileDarkElf02F</t>
  </si>
  <si>
    <t>0401E81B</t>
  </si>
  <si>
    <t>DLC2TreasCorpseBanditMissileDarkElfFemale02</t>
  </si>
  <si>
    <t>DLC2EncBandit01MissileDarkElf02M</t>
  </si>
  <si>
    <t>0401E81C</t>
  </si>
  <si>
    <t>DLC2TreasCorpseBanditMissileDarkElfMale02</t>
  </si>
  <si>
    <t>DLC2EncBandit01MissileDarkElf03F</t>
  </si>
  <si>
    <t>0401E816</t>
  </si>
  <si>
    <t>Dint Hair Pack 02 - 3 Long</t>
  </si>
  <si>
    <t>DLC2TreasCorpseBanditMissileDarkElfFemale03</t>
  </si>
  <si>
    <t>Uvi_Wig_Spell_Dint02_03Long</t>
  </si>
  <si>
    <t>DLC2EncBandit01MissileDarkElf03M</t>
  </si>
  <si>
    <t>0401E817</t>
  </si>
  <si>
    <t>DLC2TreasCorpseBanditMissileDarkElfMale03</t>
  </si>
  <si>
    <t>DLC2EncBandit01MissileDarkElf04M</t>
  </si>
  <si>
    <t>0401E818</t>
  </si>
  <si>
    <t>DLC2TreasCorpseBanditMissileDarkElfMale04</t>
  </si>
  <si>
    <t>0401E807</t>
  </si>
  <si>
    <t>DLC2EncBandit01MagicDarkElf01F;DLC2EncBandit01MagicDarkElf03F;DLC2EncBandit01MagicDarkElf03M;DLC2EncBandit01MagicDarkElf04M;DLC2EncBandit01MagicDarkElf02F</t>
  </si>
  <si>
    <t>Dint Hair Pack 02 - 4</t>
  </si>
  <si>
    <t>0401E808</t>
  </si>
  <si>
    <t>DLC2EncBandit01Melee1HDarkElf02F;DLC2EncBandit01Melee1HDarkElf01M;DLC2EncBandit01Melee1HDarkElf04M;DLC2EncBandit01Melee1HDarkElf03F;DLC2EncBandit01Melee1HDarkElf03M;DLC2EncBandit01Melee1HDarkElf01F;DLC2EncBandit01Melee1HDarkElf02M</t>
  </si>
  <si>
    <t>0401E815</t>
  </si>
  <si>
    <t>Uvi_Wig_Spell_Dint02_04</t>
  </si>
  <si>
    <t>DLC2EncBandit01MissileDarkElf03F;DLC2EncBandit01MissileDarkElf03M;DLC2EncBandit01MissileDarkElf04M;DLC2EncBandit01MissileDarkElf01F;DLC2EncBandit01MissileDarkElf01M;DLC2EncBandit01MissileDarkElf02F;DLC2EncBandit01MissileDarkElf02M</t>
  </si>
  <si>
    <t>DLC2EncBandit02Boss</t>
  </si>
  <si>
    <t>0401E8AB</t>
  </si>
  <si>
    <t>DLC2EncBandit02TemplateMagic</t>
  </si>
  <si>
    <t>DLC2EncBandit02MagicDarkElf01F</t>
  </si>
  <si>
    <t>0401E823</t>
  </si>
  <si>
    <t>DLC2EncBandit02MagicDarkElf01M</t>
  </si>
  <si>
    <t>0401E824</t>
  </si>
  <si>
    <t>Dint Hair Pack 02 - 5</t>
  </si>
  <si>
    <t>DLC2TempleWorkerBandit04;DLC2PillarWorkerBandit03</t>
  </si>
  <si>
    <t>Uvi_Wig_Spell_Dint02_05</t>
  </si>
  <si>
    <t>DLC2EncBandit02MagicDarkElf02F</t>
  </si>
  <si>
    <t>0401E825</t>
  </si>
  <si>
    <t>DLC2EncBandit02MagicDarkElf02M</t>
  </si>
  <si>
    <t>0401E826</t>
  </si>
  <si>
    <t>DLC2EncBandit02MagicDarkElf03F</t>
  </si>
  <si>
    <t>0401E821</t>
  </si>
  <si>
    <t>Dint Hair Pack 02 - 6</t>
  </si>
  <si>
    <t>DLC2EncBandit02MagicDarkElf03M</t>
  </si>
  <si>
    <t>0401E822</t>
  </si>
  <si>
    <t>Uvi_Wig_Spell_Dint02_06</t>
  </si>
  <si>
    <t>DLC2EncBandit02MagicDarkELf04M</t>
  </si>
  <si>
    <t>0401E820</t>
  </si>
  <si>
    <t>DLC2EncBandit02Melee1HDarkElf01F</t>
  </si>
  <si>
    <t>0401E827</t>
  </si>
  <si>
    <t>DLC2EncBandit02TemplateMelee</t>
  </si>
  <si>
    <t>DLC2EncBandit02Melee1HDarkElf01M</t>
  </si>
  <si>
    <t>0401E828</t>
  </si>
  <si>
    <t>DLC2EncBandit02Melee1HDarkElf02F</t>
  </si>
  <si>
    <t>Dint Hair Pack 02 - 7</t>
  </si>
  <si>
    <t>0401E829</t>
  </si>
  <si>
    <t>Uvi_Wig_Spell_Dint02_07</t>
  </si>
  <si>
    <t>DLC2EncBandit02Melee1HDarkElf02M</t>
  </si>
  <si>
    <t>0401E82A</t>
  </si>
  <si>
    <t>DLC2EncBandit02Melee1HDarkElf03F</t>
  </si>
  <si>
    <t>0401E82C</t>
  </si>
  <si>
    <t>DLC2EncBandit02Melee1HDarkElf03M</t>
  </si>
  <si>
    <t>0401E82D</t>
  </si>
  <si>
    <t>Dint Hair Pack 02 - 8</t>
  </si>
  <si>
    <t>Uvi_Wig_Spell_Dint02_08</t>
  </si>
  <si>
    <t>DLC2EncBandit02Melee1HDarkElf04M</t>
  </si>
  <si>
    <t>0401E82B</t>
  </si>
  <si>
    <t>DLC2EncBandit02MissileDarkElf01F</t>
  </si>
  <si>
    <t>0401E82E</t>
  </si>
  <si>
    <t>DLC2EncBandit02TemplateMissile</t>
  </si>
  <si>
    <t>DLC2EncBandit02MissileDarkElf01M</t>
  </si>
  <si>
    <t>0401E830</t>
  </si>
  <si>
    <t>Dint Hair Pack 02 - 9</t>
  </si>
  <si>
    <t>Uvi_Wig_Spell_Dint02_09</t>
  </si>
  <si>
    <t>DLC2EncBandit02MissileDarkElf02F</t>
  </si>
  <si>
    <t>0401E82F</t>
  </si>
  <si>
    <t>DLC2EncBandit02MissileDarkElf02M</t>
  </si>
  <si>
    <t>0401E831</t>
  </si>
  <si>
    <t>DLC2EncBandit02MissileDarkElf03F</t>
  </si>
  <si>
    <t>0401E878</t>
  </si>
  <si>
    <t>Dint Hair Pack 02 - 10</t>
  </si>
  <si>
    <t>Uvi_Wig_Spell_Dint02_10</t>
  </si>
  <si>
    <t>DLC2EncBandit02MissileDarkElf03M</t>
  </si>
  <si>
    <t>0401E879</t>
  </si>
  <si>
    <t>DLC2EncBandit02MissileDarkElf04M</t>
  </si>
  <si>
    <t>0401E877</t>
  </si>
  <si>
    <t>0401E81D</t>
  </si>
  <si>
    <t>Reaver Outlaw</t>
  </si>
  <si>
    <t>Dint Hair Pack 02 - 11</t>
  </si>
  <si>
    <t>Uvi_Wig_Spell_Dint02_11</t>
  </si>
  <si>
    <t>DLC2EncBandit02MagicDarkELf04M;DLC2EncBandit02MagicDarkElf03F;DLC2EncBandit02MagicDarkElf03M;DLC2EncBandit02MagicDarkElf01F;DLC2EncBandit02MagicDarkElf01M;DLC2EncBandit02MagicDarkElf02F;DLC2EncBandit02MagicDarkElf02M</t>
  </si>
  <si>
    <t>0401E81E</t>
  </si>
  <si>
    <t>DLC2EncBandit02Melee1HDarkElf01F;DLC2EncBandit02Melee1HDarkElf01M;DLC2EncBandit02Melee1HDarkElf02F;DLC2EncBandit02Melee1HDarkElf02M;DLC2EncBandit02Melee1HDarkElf04M;DLC2EncBandit02Melee1HDarkElf03F;DLC2EncBandit02Melee1HDarkElf03M</t>
  </si>
  <si>
    <t>0401E81F</t>
  </si>
  <si>
    <t>Dint Hair Pack 02 - 12</t>
  </si>
  <si>
    <t>DLC2EncBandit02MissileDarkElf01F;DLC2EncBandit02MissileDarkElf02F;DLC2EncBandit02MissileDarkElf01M;DLC2EncBandit02MissileDarkElf02M;DLC2EncBandit02MissileDarkElf04M;DLC2EncBandit02MissileDarkElf03F;DLC2EncBandit02MissileDarkElf03M</t>
  </si>
  <si>
    <t>Uvi_Wig_Spell_Dint02_12</t>
  </si>
  <si>
    <t>DLC2EncBandit03Boss</t>
  </si>
  <si>
    <t>0401E8AE</t>
  </si>
  <si>
    <t>DLC2EncBandit03TemplateMagic</t>
  </si>
  <si>
    <t>DLC2EncBandit03MagicDarkElf01F</t>
  </si>
  <si>
    <t>0401E841</t>
  </si>
  <si>
    <t>DLC2EncBandit03MagicDarkElf01M</t>
  </si>
  <si>
    <t>0401E842</t>
  </si>
  <si>
    <t>Dint Hair Pack 02 - 13</t>
  </si>
  <si>
    <t>Uvi_Wig_Spell_Dint02_13</t>
  </si>
  <si>
    <t>DLC2EncBandit03MagicDarkElf02F</t>
  </si>
  <si>
    <t>0401E843</t>
  </si>
  <si>
    <t>DLC2EncBandit03MagicDarkElf02M</t>
  </si>
  <si>
    <t>0401E844</t>
  </si>
  <si>
    <t>DLC2EncBandit03MagicDarkElf03F</t>
  </si>
  <si>
    <t>0401E83F</t>
  </si>
  <si>
    <t>Dint Hair Pack 02 - 14</t>
  </si>
  <si>
    <t>DLC2EncBandit03MagicDarkElf03M</t>
  </si>
  <si>
    <t>0401E840</t>
  </si>
  <si>
    <t>Uvi_Wig_Spell_Dint02_14</t>
  </si>
  <si>
    <t>DLC2EncBandit03MagicDarkELl04M</t>
  </si>
  <si>
    <t>0401E83E</t>
  </si>
  <si>
    <t>DLC2EncBandit03Melee1HDarkElf01F</t>
  </si>
  <si>
    <t>0401E845</t>
  </si>
  <si>
    <t>DLC2EncBandit03TemplateMelee</t>
  </si>
  <si>
    <t>Dint Hair Pack 02 - 15</t>
  </si>
  <si>
    <t>DLC2EncBandit03Melee1HDarkElf01M</t>
  </si>
  <si>
    <t>0401E846</t>
  </si>
  <si>
    <t>Uvi_Wig_Spell_Dint02_15</t>
  </si>
  <si>
    <t>DLC2EncBandit03Melee1HDarkElf02F</t>
  </si>
  <si>
    <t>0401E847</t>
  </si>
  <si>
    <t>DLC2EncBandit03Melee1HDarkElf02M</t>
  </si>
  <si>
    <t>0401E848</t>
  </si>
  <si>
    <t>DLC2EncBandit03Melee1HDarkElf03F</t>
  </si>
  <si>
    <t>Dint Hair Pack 02 - 16</t>
  </si>
  <si>
    <t>0401E84A</t>
  </si>
  <si>
    <t>Uvi_Wig_Spell_Dint02_16</t>
  </si>
  <si>
    <t>DLC2EncBandit03Melee1HDarkElf03M</t>
  </si>
  <si>
    <t>0401E84B</t>
  </si>
  <si>
    <t>DLC2EncBandit03Melee1HDarkElf04M</t>
  </si>
  <si>
    <t>0401E849</t>
  </si>
  <si>
    <t>DLC2EncBandit03MissileDarkElf01F</t>
  </si>
  <si>
    <t>0401E84C</t>
  </si>
  <si>
    <t>DLC2EncBandit03TemplateMissile</t>
  </si>
  <si>
    <t>Dint Hair Pack 02 - 17</t>
  </si>
  <si>
    <t>DLC2EncBandit03MissileDarkElf01M</t>
  </si>
  <si>
    <t>0401E84D</t>
  </si>
  <si>
    <t>Uvi_Wig_Spell_Dint02_17</t>
  </si>
  <si>
    <t>DLC2EncBandit03MissileDarkElf02F</t>
  </si>
  <si>
    <t>0401E84E</t>
  </si>
  <si>
    <t>DLC2EncBandit03MissileDarkElf02M</t>
  </si>
  <si>
    <t>0401E84F</t>
  </si>
  <si>
    <t>DLC2EncBandit03MissileDarkELf03F</t>
  </si>
  <si>
    <t>0401E852</t>
  </si>
  <si>
    <t>DLC2EncBandit03MissileDarkElf03M</t>
  </si>
  <si>
    <t>0401E851</t>
  </si>
  <si>
    <t>Dint Hair Pack 02 - 18A</t>
  </si>
  <si>
    <t>DLC2EncBandit03MissileDarkElf04M</t>
  </si>
  <si>
    <t>0401E850</t>
  </si>
  <si>
    <t>Uvi_Wig_Spell_Dint02_18A</t>
  </si>
  <si>
    <t>0401E832</t>
  </si>
  <si>
    <t>Reaver Thug</t>
  </si>
  <si>
    <t>DLC2EncBandit03MagicDarkELl04M;DLC2EncBandit03MagicDarkElf03F;DLC2EncBandit03MagicDarkElf03M;DLC2EncBandit03MagicDarkElf01F;DLC2EncBandit03MagicDarkElf01M;DLC2EncBandit03MagicDarkElf02F;DLC2EncBandit03MagicDarkElf02M</t>
  </si>
  <si>
    <t>0401E833</t>
  </si>
  <si>
    <t>DLC2EncBandit03Melee1HDarkElf01F;DLC2EncBandit03Melee1HDarkElf01M;DLC2EncBandit03Melee1HDarkElf02F;DLC2EncBandit03Melee1HDarkElf02M;DLC2EncBandit03Melee1HDarkElf04M;DLC2EncBandit03Melee1HDarkElf03F;DLC2EncBandit03Melee1HDarkElf03M;DLC2EncBandit03MissileDarkElf02F</t>
  </si>
  <si>
    <t>Dint Hair Pack 02 - 18B</t>
  </si>
  <si>
    <t>0401E834</t>
  </si>
  <si>
    <t>Uvi_Wig_Spell_Dint02_18B</t>
  </si>
  <si>
    <t>DLC2EncBandit03MissileDarkElf01F;DLC2EncBandit03MissileDarkElf01M;DLC2EncBandit03MissileDarkElf02M;DLC2EncBandit03MissileDarkElf04M;DLC2EncBandit03MissileDarkElf03M;DLC2EncBandit03MissileDarkELf03F</t>
  </si>
  <si>
    <t>DLC2EncBandit04Boss</t>
  </si>
  <si>
    <t>0401E8B1</t>
  </si>
  <si>
    <t>DLC2EncBandit04TemplateMagic</t>
  </si>
  <si>
    <t>DLC2EncBandit04MagicDarkElf01F</t>
  </si>
  <si>
    <t>0401E856</t>
  </si>
  <si>
    <t>DLC2EncBandit04MagicDarkElf01M</t>
  </si>
  <si>
    <t>0401E857</t>
  </si>
  <si>
    <t>Dint Hair Pack 02 - 18C</t>
  </si>
  <si>
    <t>Uvi_Wig_Spell_Dint02_18C</t>
  </si>
  <si>
    <t>DLC2EncBandit04MagicDarkElf02F</t>
  </si>
  <si>
    <t>0401E858</t>
  </si>
  <si>
    <t>DLC2EncBandit04MagicDarkElf02M</t>
  </si>
  <si>
    <t>0401E859</t>
  </si>
  <si>
    <t>DLC2EncBandit04MagicDarkElf03F</t>
  </si>
  <si>
    <t>0401E854</t>
  </si>
  <si>
    <t>Dint Hair Pack 02 - 19</t>
  </si>
  <si>
    <t>Uvi_Wig_Spell_Dint02_19</t>
  </si>
  <si>
    <t>DLC2EncBandit04MagicDarkElf03M</t>
  </si>
  <si>
    <t>0401E855</t>
  </si>
  <si>
    <t>DLC2EncBandit04MagicDarkElf04M</t>
  </si>
  <si>
    <t>0401E853</t>
  </si>
  <si>
    <t>DLC2EncBandit04Melee1HDarkElf01F</t>
  </si>
  <si>
    <t>0401E85A</t>
  </si>
  <si>
    <t>DLC2EncBandit04TemplateMelee</t>
  </si>
  <si>
    <t>DLC2EncBandit04Melee1HDarkElf01M</t>
  </si>
  <si>
    <t>Dint Hair Pack 02 - 20</t>
  </si>
  <si>
    <t>0401E85B</t>
  </si>
  <si>
    <t>Uvi_Wig_Spell_Dint02_20</t>
  </si>
  <si>
    <t>DLC2EncBandit04Melee1HDarkElf02F</t>
  </si>
  <si>
    <t>0401E85C</t>
  </si>
  <si>
    <t>DLC2EncBandit04Melee1HDarkElf02M</t>
  </si>
  <si>
    <t>0401E85D</t>
  </si>
  <si>
    <t>DLC2EncBandit04Melee1HDarkElf03F</t>
  </si>
  <si>
    <t>Dint Hair Pack 02 - 21</t>
  </si>
  <si>
    <t>0401E85F</t>
  </si>
  <si>
    <t>Uvi_Wig_Spell_Dint02_21</t>
  </si>
  <si>
    <t>DLC2EncBandit04Melee1HDarkElf03M</t>
  </si>
  <si>
    <t>0401E860</t>
  </si>
  <si>
    <t>DLC2EncBandit04Melee1HDarkElf04M</t>
  </si>
  <si>
    <t>0401E85E</t>
  </si>
  <si>
    <t>DLC2EncBandit04MissileDarkElf01F</t>
  </si>
  <si>
    <t>0401E861</t>
  </si>
  <si>
    <t>Dint Hair Pack 02 - 22</t>
  </si>
  <si>
    <t>Uvi_Wig_Spell_Dint02_22</t>
  </si>
  <si>
    <t>DLC2EncBandit04TemplateMissile</t>
  </si>
  <si>
    <t>DLC2EncBandit04MissileDarkElf01M</t>
  </si>
  <si>
    <t>0401E862</t>
  </si>
  <si>
    <t>DLC2EncBandit04MissileDarkElf02F</t>
  </si>
  <si>
    <t>0401E863</t>
  </si>
  <si>
    <t>DLC2EncBandit04MissileDarkElf02M</t>
  </si>
  <si>
    <t>0401E864</t>
  </si>
  <si>
    <t>Dint Hair Pack 02 - 23</t>
  </si>
  <si>
    <t>Uvi_Wig_Spell_Dint02_23</t>
  </si>
  <si>
    <t>DLC2EncBandit04MissileDarkElf03F</t>
  </si>
  <si>
    <t>0401E874</t>
  </si>
  <si>
    <t>DLC2EncBandit04MissileDarkElf03M</t>
  </si>
  <si>
    <t>0401E875</t>
  </si>
  <si>
    <t>DLC2EncBandit04MissileDarkElf04M</t>
  </si>
  <si>
    <t>0401E865</t>
  </si>
  <si>
    <t>Dint Hair Pack 02 - 24</t>
  </si>
  <si>
    <t>Uvi_Wig_Spell_Dint02_24</t>
  </si>
  <si>
    <t>0401E835</t>
  </si>
  <si>
    <t>Reaver Highwayman</t>
  </si>
  <si>
    <t>DLC2EncBandit04MagicDarkElf04M;DLC2EncBandit04MagicDarkElf03F;DLC2EncBandit04MagicDarkElf03M;DLC2EncBandit04MagicDarkElf01F;DLC2EncBandit04MagicDarkElf01M;DLC2EncBandit04MagicDarkElf02F;DLC2EncBandit04MagicDarkElf02M</t>
  </si>
  <si>
    <t>0401E836</t>
  </si>
  <si>
    <t>DLC2EncBandit04Melee1HDarkElf01F;DLC2EncBandit04Melee1HDarkElf01M;DLC2EncBandit04Melee1HDarkElf02F;DLC2EncBandit04Melee1HDarkElf02M;DLC2EncBandit04Melee1HDarkElf04M;DLC2EncBandit04Melee1HDarkElf03F;DLC2EncBandit04Melee1HDarkElf03M</t>
  </si>
  <si>
    <t>Dint Hair Pack 02 - 25</t>
  </si>
  <si>
    <t>0401E837</t>
  </si>
  <si>
    <t>Uvi_Wig_Spell_Dint02_25</t>
  </si>
  <si>
    <t>DLC2EncBandit04MissileDarkElf01F;DLC2EncBandit04MissileDarkElf01M;DLC2EncBandit04MissileDarkElf02F;DLC2EncBandit04MissileDarkElf02M;DLC2EncBandit04MissileDarkElf04M;DLC2EncBandit04MissileDarkElf03F;DLC2EncBandit04MissileDarkElf03M</t>
  </si>
  <si>
    <t>DLC2EncBandit05Boss</t>
  </si>
  <si>
    <t>0401E8B2</t>
  </si>
  <si>
    <t>DLC2EncBandit05TemplateMagic</t>
  </si>
  <si>
    <t>DLC2EncBandit05MagicDarkElf01F</t>
  </si>
  <si>
    <t>0401E869</t>
  </si>
  <si>
    <t>Dint Hair Pack 02 - 26</t>
  </si>
  <si>
    <t>DLC2EncBandit05MagicDarkElf01M</t>
  </si>
  <si>
    <t>Uvi_Wig_Spell_Dint02_26</t>
  </si>
  <si>
    <t>0401E86A</t>
  </si>
  <si>
    <t>DLC2EncBandit05MagicDarkElf02F</t>
  </si>
  <si>
    <t>0401E86B</t>
  </si>
  <si>
    <t>DLC2EncBandit05MagicDarkElf02M</t>
  </si>
  <si>
    <t>0401E86C</t>
  </si>
  <si>
    <t>Dint Hair Pack 02 - 27</t>
  </si>
  <si>
    <t>DLC2EncBandit05MagicDarkElf03F</t>
  </si>
  <si>
    <t>0401E867</t>
  </si>
  <si>
    <t>Uvi_Wig_Spell_Dint02_27</t>
  </si>
  <si>
    <t>DLC2EncBandit05MagicDarkElf03M</t>
  </si>
  <si>
    <t>0401E868</t>
  </si>
  <si>
    <t>DLC2EncBandit05MagicDarkElf04M</t>
  </si>
  <si>
    <t>0401E866</t>
  </si>
  <si>
    <t>Dint Hair Pack 02 - 28</t>
  </si>
  <si>
    <t>DLC2EncBandit05Melee1HDarkElf01F</t>
  </si>
  <si>
    <t>0401E86D</t>
  </si>
  <si>
    <t>DLC2EncBandit05TemplateMelee</t>
  </si>
  <si>
    <t>Uvi_Wig_Spell_Dint02_28</t>
  </si>
  <si>
    <t>DLC2EncBandit05Melee1HDarkElf01M</t>
  </si>
  <si>
    <t>0401E86E</t>
  </si>
  <si>
    <t>DLC2EncBandit05Melee1HDarkElf02F</t>
  </si>
  <si>
    <t>0401E86F</t>
  </si>
  <si>
    <t>DLC2EncBandit05Melee1HDarkElf02M</t>
  </si>
  <si>
    <t>0401E870</t>
  </si>
  <si>
    <t>Dint Hair Pack 02 - 29</t>
  </si>
  <si>
    <t>DLC2EncBandit05Melee1HDarkElf03F</t>
  </si>
  <si>
    <t>0401E872</t>
  </si>
  <si>
    <t>Uvi_Wig_Spell_Dint02_29</t>
  </si>
  <si>
    <t>DLC2EncBandit05Melee1HDarkElf03M</t>
  </si>
  <si>
    <t>0401E873</t>
  </si>
  <si>
    <t>DLC2EncBandit05Melee1HDarkElf04M</t>
  </si>
  <si>
    <t>0401E871</t>
  </si>
  <si>
    <t>DLC2EncBandit05MissileDarkElf01F</t>
  </si>
  <si>
    <t>0401E876</t>
  </si>
  <si>
    <t>DLC2EncBandit05TemplateMissile</t>
  </si>
  <si>
    <t>Dint Hair Pack 02 - 30</t>
  </si>
  <si>
    <t>DLC2EncBandit05MissileDarkElf01M</t>
  </si>
  <si>
    <t>0401E87A</t>
  </si>
  <si>
    <t>Uvi_Wig_Spell_Dint02_30</t>
  </si>
  <si>
    <t>DLC2EncBandit05MissileDarkElf02F</t>
  </si>
  <si>
    <t>0401E87B</t>
  </si>
  <si>
    <t>DLC2EncBandit05MissileDarkElf02M</t>
  </si>
  <si>
    <t>0401E87C</t>
  </si>
  <si>
    <t>DLC2EncBandit05MissileDarkElf03F</t>
  </si>
  <si>
    <t>0401E87F</t>
  </si>
  <si>
    <t>Dint Hair Pack 02 - 31</t>
  </si>
  <si>
    <t>DLC2EncBandit05MissileDarkElf03M</t>
  </si>
  <si>
    <t>0401E880</t>
  </si>
  <si>
    <t>Uvi_Wig_Spell_Dint02_31</t>
  </si>
  <si>
    <t>DLC2EncBandit05MissileDarkElf04M</t>
  </si>
  <si>
    <t>0401E87D</t>
  </si>
  <si>
    <t>0401E838</t>
  </si>
  <si>
    <t>Reaver Plunderer</t>
  </si>
  <si>
    <t>DLC2EncBandit05MagicDarkElf04M;DLC2EncBandit05MagicDarkElf03F;DLC2EncBandit05MagicDarkElf03M;DLC2EncBandit05MagicDarkElf01F;DLC2EncBandit05MagicDarkElf01M;DLC2EncBandit05MagicDarkElf02F;DLC2EncBandit05MagicDarkElf02M</t>
  </si>
  <si>
    <t>Dint Hair Pack 02 - 32</t>
  </si>
  <si>
    <t>0401E839</t>
  </si>
  <si>
    <t>Uvi_Wig_Spell_Dint02_32</t>
  </si>
  <si>
    <t>DLC2EncBandit05Melee1HDarkElf01F;DLC2EncBandit05Melee1HDarkElf01M;DLC2EncBandit05Melee1HDarkElf02F;DLC2EncBandit05Melee1HDarkElf02M;DLC2EncBandit05Melee1HDarkElf04M;DLC2EncBandit05Melee1HDarkElf03F;DLC2EncBandit05Melee1HDarkElf03M</t>
  </si>
  <si>
    <t>0401E83A</t>
  </si>
  <si>
    <t>DLC2EncBandit05MissileDarkElf01F;DLC2EncBandit05MissileDarkElf01M;DLC2EncBandit05MissileDarkElf02F;DLC2EncBandit05MissileDarkElf02M;DLC2EncBandit05MissileDarkElf04M;DLC2EncBandit05MissileDarkElf03F;DLC2EncBandit05MissileDarkElf03M</t>
  </si>
  <si>
    <t>DLC2EncBandit06Boss</t>
  </si>
  <si>
    <t>0401E8B3</t>
  </si>
  <si>
    <t>Dint Hair Pack 02 - 33</t>
  </si>
  <si>
    <t>DLC2EncBandit06TemplateMagic</t>
  </si>
  <si>
    <t>Uvi_Wig_Spell_Dint02_33</t>
  </si>
  <si>
    <t>DLC2EncBandit06MagicDarkElf01F</t>
  </si>
  <si>
    <t>0401E884</t>
  </si>
  <si>
    <t>DLC2EncBandit06MagicDarkElf01M</t>
  </si>
  <si>
    <t>0401E885</t>
  </si>
  <si>
    <t>Dint Hair Pack 02 - 34</t>
  </si>
  <si>
    <t>DLC2EncBandit06MagicDarkElf02F</t>
  </si>
  <si>
    <t>0401E886</t>
  </si>
  <si>
    <t>Uvi_Wig_Spell_Dint02_34</t>
  </si>
  <si>
    <t>DLC2EncBandit06MagicDarkElf02M</t>
  </si>
  <si>
    <t>0401E887</t>
  </si>
  <si>
    <t>DLC2EncBandit06MagicDarkElf03F</t>
  </si>
  <si>
    <t>0401E882</t>
  </si>
  <si>
    <t>Dint Hair Pack 02 - 35</t>
  </si>
  <si>
    <t>DLC2EncBandit06MagicDarkElf03M</t>
  </si>
  <si>
    <t>Uvi_Wig_Spell_Dint02_35</t>
  </si>
  <si>
    <t>0401E883</t>
  </si>
  <si>
    <t>DLC2EncBandit06MagicDarkElf04M</t>
  </si>
  <si>
    <t>0401E881</t>
  </si>
  <si>
    <t>DLC2EncBandit06Melee1HDarkElf01F</t>
  </si>
  <si>
    <t>0401E888</t>
  </si>
  <si>
    <t>Fuse Hairstyles</t>
  </si>
  <si>
    <t>Fuse Hairstyles - Aldo</t>
  </si>
  <si>
    <t>DLC2EncBandit06Melee1HDarkElf01M</t>
  </si>
  <si>
    <t>Uvi_Wig_Spell_Fuse_Aldo</t>
  </si>
  <si>
    <t>0401E889</t>
  </si>
  <si>
    <t>Elf, Human, Orc, Khajiit</t>
  </si>
  <si>
    <t>DLC2EncBandit06Melee1HDarkElf02F</t>
  </si>
  <si>
    <t>0401E88A</t>
  </si>
  <si>
    <t>DLC2EncBandit06Melee1HDarkElf02M</t>
  </si>
  <si>
    <t>0401E88B</t>
  </si>
  <si>
    <t>Khajiit:Fuse_Collection_Khajiit</t>
  </si>
  <si>
    <t>DLC2EncBandit06Melee1HDarkElf03F</t>
  </si>
  <si>
    <t>0401E88D</t>
  </si>
  <si>
    <t>Fuse Hairstyles - Alucard</t>
  </si>
  <si>
    <t>DLC2EncBandit06Melee1HDarkElf03M</t>
  </si>
  <si>
    <t>0401E88E</t>
  </si>
  <si>
    <t>Uvi_Wig_Spell_Fuse_Alucard</t>
  </si>
  <si>
    <t>DLC2EncBandit06Melee1HDarkElf04M</t>
  </si>
  <si>
    <t>0401E88C</t>
  </si>
  <si>
    <t>DLC2EncBandit06MissileDarkElf01F</t>
  </si>
  <si>
    <t>0401E88F</t>
  </si>
  <si>
    <t>DLC2EncBandit06TemplateMissile</t>
  </si>
  <si>
    <t>DLC2EncBandit06MissileDarkElf01M</t>
  </si>
  <si>
    <t>0401E890</t>
  </si>
  <si>
    <t>Fuse Hairstyles - Amber</t>
  </si>
  <si>
    <t>DLC2EncBandit06MissileDarkElf02F</t>
  </si>
  <si>
    <t>Uvi_Wig_Spell_Fuse_Amber</t>
  </si>
  <si>
    <t>0401E891</t>
  </si>
  <si>
    <t>DLC2EncBandit06MissileDarkElf02M</t>
  </si>
  <si>
    <t>0401E892</t>
  </si>
  <si>
    <t>DLC2EncBandit06MissileDarkElf03F</t>
  </si>
  <si>
    <t>0401E894</t>
  </si>
  <si>
    <t>DLC2EncBandit06MissileDarkELf03M</t>
  </si>
  <si>
    <t>0401E895</t>
  </si>
  <si>
    <t>Fuse Hairstyles - Astri</t>
  </si>
  <si>
    <t>DLC2EncBandit06MissileDarkElf04M</t>
  </si>
  <si>
    <t>0401E893</t>
  </si>
  <si>
    <t>Uvi_Wig_Spell_Fuse_Astri</t>
  </si>
  <si>
    <t>0401E83B</t>
  </si>
  <si>
    <t>Reaver Marauder</t>
  </si>
  <si>
    <t>DLC2EncBandit06MagicDarkElf04M;DLC2EncBandit06MagicDarkElf03F;DLC2EncBandit06MagicDarkElf03M;DLC2EncBandit06MagicDarkElf01F;DLC2EncBandit06MagicDarkElf01M;DLC2EncBandit06MagicDarkElf02F;DLC2EncBandit06MagicDarkElf02M</t>
  </si>
  <si>
    <t>0401E83C</t>
  </si>
  <si>
    <t>DLC2EncBandit06Melee1HDarkElf01F;DLC2EncBandit06Melee1HDarkElf01M;DLC2EncBandit06Melee1HDarkElf02F;DLC2EncBandit06Melee1HDarkElf02M;DLC2EncBandit06Melee1HDarkElf04M;DLC2EncBandit06Melee1HDarkElf03F;DLC2EncBandit06Melee1HDarkElf03M;DLC2DamphallMine01Boss</t>
  </si>
  <si>
    <t>Fuse Hairstyles - Dreads</t>
  </si>
  <si>
    <t>0401E83D</t>
  </si>
  <si>
    <t>Uvi_Wig_Spell_Fuse_Dreads</t>
  </si>
  <si>
    <t>DLC2EncBandit06MissileDarkElf01F;DLC2EncBandit06MissileDarkElf01M;DLC2EncBandit06MissileDarkElf02F;DLC2EncBandit06MissileDarkElf02M;DLC2EncBandit06MissileDarkElf04M;DLC2EncBandit06MissileDarkElf03F;DLC2EncBandit06MissileDarkELf03M</t>
  </si>
  <si>
    <t>DLC2EncCultist00Template</t>
  </si>
  <si>
    <t>04030CD2</t>
  </si>
  <si>
    <t>Cultist</t>
  </si>
  <si>
    <t>DLC2EncCultist03Template;DLC2EncCultist04Template;DLC2EncCultist05Template;DLC2EncCultist06Template;DLC2EncCultist07Template</t>
  </si>
  <si>
    <t>DLC2EncCultist03DarkElfF</t>
  </si>
  <si>
    <t>04034FBA</t>
  </si>
  <si>
    <t>DLC2EncCultist03Template</t>
  </si>
  <si>
    <t>DLC2EncCultist03DarkElfFSummoner</t>
  </si>
  <si>
    <t>040365F4</t>
  </si>
  <si>
    <t>Fuse Hairstyles - Freyja</t>
  </si>
  <si>
    <t>Uvi_Wig_Spell_Fuse_Freyja</t>
  </si>
  <si>
    <t>DLC2EncCultist03DarkElfM</t>
  </si>
  <si>
    <t>04034FBB</t>
  </si>
  <si>
    <t>DLC2EncCultist03DarkElfMSummoner</t>
  </si>
  <si>
    <t>040365F3</t>
  </si>
  <si>
    <t>DLC2EncCultist03NordM</t>
  </si>
  <si>
    <t>04034FB9</t>
  </si>
  <si>
    <t>04030CD1</t>
  </si>
  <si>
    <t>Fuse Hairstyles - Hilda</t>
  </si>
  <si>
    <t>DLC2EncCultist03NordM;DLC2EncCultist03DarkElfF;DLC2EncCultist03DarkElfM;DLC2EncCultist03DarkElfMSummoner;DLC2EncCultist03DarkElfFSummoner</t>
  </si>
  <si>
    <t>Uvi_Wig_Spell_Fuse_Hilda</t>
  </si>
  <si>
    <t>DLC2EncCultist04DarkElfF</t>
  </si>
  <si>
    <t>04034FBD</t>
  </si>
  <si>
    <t>DLC2EncCultist04Template</t>
  </si>
  <si>
    <t>DLC2EncCultist04DarkElfFSummoner</t>
  </si>
  <si>
    <t>04034FC9</t>
  </si>
  <si>
    <t>DLC2EncCultist04TemplateSummoner</t>
  </si>
  <si>
    <t>DLC2EncCultist04DarkElfM</t>
  </si>
  <si>
    <t>04034FBE</t>
  </si>
  <si>
    <t>Fuse Hairstyles - King</t>
  </si>
  <si>
    <t>Uvi_Wig_Spell_Fuse_King</t>
  </si>
  <si>
    <t>DLC2EncCultist04DarkElfMSummoner</t>
  </si>
  <si>
    <t>04034FCE</t>
  </si>
  <si>
    <t>DLC2EncCultist04NordM</t>
  </si>
  <si>
    <t>04034FBF</t>
  </si>
  <si>
    <t>DLC2EncCultist04NordMSummoner</t>
  </si>
  <si>
    <t>04034FCF</t>
  </si>
  <si>
    <t>04030CD3</t>
  </si>
  <si>
    <t>Cultist Adept</t>
  </si>
  <si>
    <t>Fuse Hairstyles - Lagertha</t>
  </si>
  <si>
    <t>Uvi_Wig_Spell_Fuse_Lagertha</t>
  </si>
  <si>
    <t>DLC2EncCultist04DarkElfF;DLC2EncCultist04DarkElfM;DLC2EncCultist04NordM;DLC2EncCultist04TemplateSummoner</t>
  </si>
  <si>
    <t>04034FCA</t>
  </si>
  <si>
    <t>DLC2EncCultist04DarkElfFSummoner;DLC2EncCultist04DarkElfMSummoner;DLC2EncCultist04NordMSummoner</t>
  </si>
  <si>
    <t>DLC2EncCultist05DarkElfF</t>
  </si>
  <si>
    <t>04034FC0</t>
  </si>
  <si>
    <t>DLC2EncCultist05Template</t>
  </si>
  <si>
    <t>Fuse Hairstyles - Marco</t>
  </si>
  <si>
    <t>DLC2EncCultist05DarkElfFSummoner</t>
  </si>
  <si>
    <t>04034FD0</t>
  </si>
  <si>
    <t>Uvi_Wig_Spell_Fuse_Marco</t>
  </si>
  <si>
    <t>DLC2EncCultist05TemplateSummoner</t>
  </si>
  <si>
    <t>DLC2EncCultist05DarkElfM</t>
  </si>
  <si>
    <t>04034FC1</t>
  </si>
  <si>
    <t>DLC2EncCultist05DarkElfMSummoner</t>
  </si>
  <si>
    <t>04034FD1</t>
  </si>
  <si>
    <t>DLC2EncCultist05NordM</t>
  </si>
  <si>
    <t>Fuse Hairstyles - P</t>
  </si>
  <si>
    <t>04034FC2</t>
  </si>
  <si>
    <t>Uvi_Wig_Spell_Fuse_P</t>
  </si>
  <si>
    <t>DLC2EncCultist05NordMSummoner</t>
  </si>
  <si>
    <t>04035650</t>
  </si>
  <si>
    <t>04030CD4</t>
  </si>
  <si>
    <t>Ascendant Cultist</t>
  </si>
  <si>
    <t>DLC2EncCultist05DarkElfF;DLC2EncCultist05DarkElfM;DLC2EncCultist05NordM;DLC2EncCultist05TemplateSummoner</t>
  </si>
  <si>
    <t>04034FCB</t>
  </si>
  <si>
    <t>Fuse Hairstyles - Shar</t>
  </si>
  <si>
    <t>Uvi_Wig_Spell_Fuse_Shar</t>
  </si>
  <si>
    <t>DLC2EncCultist05DarkElfFSummoner;DLC2EncCultist05DarkElfMSummoner;DLC2EncCultist05NordMSummoner</t>
  </si>
  <si>
    <t>DLC2EncCultist06DarkElfF</t>
  </si>
  <si>
    <t>04034FC3</t>
  </si>
  <si>
    <t>DLC2EncCultist06Template</t>
  </si>
  <si>
    <t>DLC2EncCultist06DarkElfFSummoner</t>
  </si>
  <si>
    <t>04035651</t>
  </si>
  <si>
    <t>DLC2EncCultist06TemplateSummoner</t>
  </si>
  <si>
    <t>DLC2EncCultist06DarkElfM</t>
  </si>
  <si>
    <t>04034FC4</t>
  </si>
  <si>
    <t>Fuse Hairstyles - Siren</t>
  </si>
  <si>
    <t>Uvi_Wig_Spell_Fuse_Siren</t>
  </si>
  <si>
    <t>DLC2EncCultist06DarkElfMSummoner</t>
  </si>
  <si>
    <t>04035652</t>
  </si>
  <si>
    <t>DLC2EncCultist06NordM</t>
  </si>
  <si>
    <t>04034FC5</t>
  </si>
  <si>
    <t>DLC2EncCultist06NordMSummoner</t>
  </si>
  <si>
    <t>04035653</t>
  </si>
  <si>
    <t>04030CD5</t>
  </si>
  <si>
    <t>Master Cultist</t>
  </si>
  <si>
    <t>Fuse Hairstyles - Tauriel</t>
  </si>
  <si>
    <t>DLC2EncCultist06DarkElfF;DLC2EncCultist06DarkElfM;DLC2EncCultist06NordM;DLC2EncCultist06TemplateSummoner</t>
  </si>
  <si>
    <t>Uvi_Wig_Spell_Fuse_Tauriel</t>
  </si>
  <si>
    <t>04034FCC</t>
  </si>
  <si>
    <t>DLC2EncCultist06DarkElfFSummoner;DLC2EncCultist06DarkElfMSummoner;DLC2EncCultist06NordMSummoner</t>
  </si>
  <si>
    <t>DLC2EncCultist07DarkElfF</t>
  </si>
  <si>
    <t>04034FC6</t>
  </si>
  <si>
    <t>DLC2EncCultist07Template</t>
  </si>
  <si>
    <t>DLC2EncCultist07DarkElfFSummoner</t>
  </si>
  <si>
    <t>04035654</t>
  </si>
  <si>
    <t>DLC2EncCultist07TemplateSummoner</t>
  </si>
  <si>
    <t>DLC2EncCultist07DarkElfM</t>
  </si>
  <si>
    <t>04034FC7</t>
  </si>
  <si>
    <t>DLC2EncCultist07DarkElfMSummoner</t>
  </si>
  <si>
    <t>04035655</t>
  </si>
  <si>
    <t>Fuse Hairstyles - Yen</t>
  </si>
  <si>
    <t>DLC2EncCultist07NordM</t>
  </si>
  <si>
    <t>Uvi_Wig_Spell_Fuse_Yen</t>
  </si>
  <si>
    <t>04034FC8</t>
  </si>
  <si>
    <t>DLC2EncCultist07NordMSummoner</t>
  </si>
  <si>
    <t>04035656</t>
  </si>
  <si>
    <t>04030CD6</t>
  </si>
  <si>
    <t>Arch Cultist</t>
  </si>
  <si>
    <t>Fuse Valkyr 1</t>
  </si>
  <si>
    <t>DLC2EncCultist07DarkElfF;DLC2EncCultist07DarkElfM;DLC2EncCultist07NordM;DLC2EncCultist07TemplateSummoner</t>
  </si>
  <si>
    <t>04034FCD</t>
  </si>
  <si>
    <t>Fuse Valkyr 1 - Bellatrix</t>
  </si>
  <si>
    <t>DLC2EncCultist07DarkElfFSummoner;DLC2EncCultist07DarkElfMSummoner;DLC2EncCultist07NordMSummoner</t>
  </si>
  <si>
    <t>Uvi_Wig_Spell_Valkyr_Bella</t>
  </si>
  <si>
    <t>DLC2EncHunterNordF1</t>
  </si>
  <si>
    <t>0401F978</t>
  </si>
  <si>
    <t>EncHunter00Template</t>
  </si>
  <si>
    <t>DLC2EncHunterNordM1;DLC2EncHunterNordF2;DLC2EncHunterNordM2;DLC2EncHunterNordM3;DLC2EncHunterNordM4</t>
  </si>
  <si>
    <t>DLC2EncHunterNordF2</t>
  </si>
  <si>
    <t>0401F97A</t>
  </si>
  <si>
    <t>Khajiit:Fuse_Valkyr_Khajiit</t>
  </si>
  <si>
    <t>DLC2EncHunterNordM1</t>
  </si>
  <si>
    <t>0401F979</t>
  </si>
  <si>
    <t>Fuse Valkyr 1 - Eiraan</t>
  </si>
  <si>
    <t>Uvi_Wig_Spell_Valkyr_Eiraan</t>
  </si>
  <si>
    <t>DLC2EncHunterNordM2</t>
  </si>
  <si>
    <t>0401F97B</t>
  </si>
  <si>
    <t>DLC2EncHunterNordM3</t>
  </si>
  <si>
    <t>0401F97C</t>
  </si>
  <si>
    <t>DLC2EncHunterNordM4</t>
  </si>
  <si>
    <t>0401F97F</t>
  </si>
  <si>
    <t>Fuse Valkyr 1 - Ellie</t>
  </si>
  <si>
    <t>Uvi_Wig_Spell_Valkyr_Ellie</t>
  </si>
  <si>
    <t>DLC2EncTribalWerebearA</t>
  </si>
  <si>
    <t>0401E17C</t>
  </si>
  <si>
    <t>Werebear</t>
  </si>
  <si>
    <t>EncBandit02Melee2HBerserkNordM</t>
  </si>
  <si>
    <t>DLC2EncTribalWerebearB</t>
  </si>
  <si>
    <t>0403D2D9</t>
  </si>
  <si>
    <t>DLC2EncTribalWerebearC</t>
  </si>
  <si>
    <t>0403D2DA</t>
  </si>
  <si>
    <t>Fuse Valkyr 1 - Neo Dante</t>
  </si>
  <si>
    <t>Uvi_Wig_Spell_Valkyr_NDante</t>
  </si>
  <si>
    <t>DLC2Frea</t>
  </si>
  <si>
    <t>04017934</t>
  </si>
  <si>
    <t>Frea</t>
  </si>
  <si>
    <t>DLC2GeneralCarius</t>
  </si>
  <si>
    <t>0401A564</t>
  </si>
  <si>
    <t>General Falx Carius</t>
  </si>
  <si>
    <t>DLC2Halbarn</t>
  </si>
  <si>
    <t>0401A51C</t>
  </si>
  <si>
    <t>Halbarn Iron-Fur</t>
  </si>
  <si>
    <t>Fuse Valkyr 1 - Roxy</t>
  </si>
  <si>
    <t>Uvi_Wig_Spell_Valkyr_Roxy</t>
  </si>
  <si>
    <t>DLC2Herkja</t>
  </si>
  <si>
    <t>0403896D</t>
  </si>
  <si>
    <t>Herkja</t>
  </si>
  <si>
    <t>DLC2HermaeusMoraVoice</t>
  </si>
  <si>
    <t>0401FF3A</t>
  </si>
  <si>
    <t>Hermaeus Mora</t>
  </si>
  <si>
    <t>DLC2Hilund</t>
  </si>
  <si>
    <t>0401A515</t>
  </si>
  <si>
    <t>Hilund</t>
  </si>
  <si>
    <t>Fuse Valkyr 1 - Yasha</t>
  </si>
  <si>
    <t>DLC2HrodulfCorpse</t>
  </si>
  <si>
    <t>0403888B</t>
  </si>
  <si>
    <t>Hrodulf</t>
  </si>
  <si>
    <t>Uvi_Wig_Spell_Valkyr_Yasha</t>
  </si>
  <si>
    <t>DLC2Hrothmund</t>
  </si>
  <si>
    <t>0401D985</t>
  </si>
  <si>
    <t>Hrothmund</t>
  </si>
  <si>
    <t>HairMaleNord17</t>
  </si>
  <si>
    <t>DLC2Ildari</t>
  </si>
  <si>
    <t>0401773B</t>
  </si>
  <si>
    <t>Ildari Sarothril</t>
  </si>
  <si>
    <t>DLC2KagrumezBanditBoss</t>
  </si>
  <si>
    <t>0402662F</t>
  </si>
  <si>
    <t>Fuse Valkyr 2</t>
  </si>
  <si>
    <t>DLC2KagrumezCorpse</t>
  </si>
  <si>
    <t>Fuse Valkyr 2 - Classic Dante</t>
  </si>
  <si>
    <t>0403571F</t>
  </si>
  <si>
    <t>Raleth Eldri</t>
  </si>
  <si>
    <t>TreasCorpseAlchemist</t>
  </si>
  <si>
    <t>DLC2KagrumezLvlBanditWizard_FemaleDarkElf</t>
  </si>
  <si>
    <t>040374D2</t>
  </si>
  <si>
    <t>Uvi_Wig_Spell_Valkyr_CDante</t>
  </si>
  <si>
    <t>DLC2Kuvar</t>
  </si>
  <si>
    <t>0401A518</t>
  </si>
  <si>
    <t>Kuvar</t>
  </si>
  <si>
    <t>DLC2MerchMerchant</t>
  </si>
  <si>
    <t>04031862</t>
  </si>
  <si>
    <t>Falas Selvayn</t>
  </si>
  <si>
    <t>DLC2MerilarRendas</t>
  </si>
  <si>
    <t>0401CAA8</t>
  </si>
  <si>
    <t>Merilar Rendas</t>
  </si>
  <si>
    <t>DLC2Miraak</t>
  </si>
  <si>
    <t>04017F7D</t>
  </si>
  <si>
    <t>Fuse Valkyr 2 - Danaerys</t>
  </si>
  <si>
    <t>Miraak</t>
  </si>
  <si>
    <t>Uvi_Wig_Spell_Valkyr_Dany</t>
  </si>
  <si>
    <t>DLC2MiraakMQ06</t>
  </si>
  <si>
    <t>DLC2MiraakMQ01;DLC2MiraakMQ02;DLC2MiraakMQ04;DLC2MiraakTest;DLC2MiraakSoulSteal</t>
  </si>
  <si>
    <t>DLC2MiraakMQ01</t>
  </si>
  <si>
    <t>04017936</t>
  </si>
  <si>
    <t>DLC2MiraakMQ02</t>
  </si>
  <si>
    <t>04017938</t>
  </si>
  <si>
    <t>Fuse Valkyr 2 - Ghost</t>
  </si>
  <si>
    <t>Uvi_Wig_Spell_Valkyr_Ghost</t>
  </si>
  <si>
    <t>DLC2MiraakMQ04</t>
  </si>
  <si>
    <t>04017F81</t>
  </si>
  <si>
    <t>DLC2MiraakSoulSteal</t>
  </si>
  <si>
    <t>040200D9</t>
  </si>
  <si>
    <t>jg1 Forest Cat</t>
  </si>
  <si>
    <t>DLC2MiraakTest</t>
  </si>
  <si>
    <t>0401F998</t>
  </si>
  <si>
    <t>jg1 - Forest Cat</t>
  </si>
  <si>
    <t>Uvi_Wig_Spell_jg1_ForestCat</t>
  </si>
  <si>
    <t>DLC2Mogrul</t>
  </si>
  <si>
    <t>0401959A</t>
  </si>
  <si>
    <t>DLC2MogrulThugTT1b</t>
  </si>
  <si>
    <t>04019596</t>
  </si>
  <si>
    <t>Slitter</t>
  </si>
  <si>
    <t>jg1 Lion's Mane</t>
  </si>
  <si>
    <t>DLC2NB01CorpseFall</t>
  </si>
  <si>
    <t>0402547D</t>
  </si>
  <si>
    <t>jg1 - Lion's Mane</t>
  </si>
  <si>
    <t>Uvi_Wig_Spell_jg1_LionsMane</t>
  </si>
  <si>
    <t>EncBandit04MagicBretonM</t>
  </si>
  <si>
    <t>DLC2NB01CorpseFall2</t>
  </si>
  <si>
    <t>04027168</t>
  </si>
  <si>
    <t>Castor the Puzzlemaker's Corpse</t>
  </si>
  <si>
    <t>EncBandit04MagicDarkElfM</t>
  </si>
  <si>
    <t>DLC2Neloth</t>
  </si>
  <si>
    <t>0401773A</t>
  </si>
  <si>
    <t>Neloth</t>
  </si>
  <si>
    <t>Koralina's Collection 1</t>
  </si>
  <si>
    <t>DLC2Niyya</t>
  </si>
  <si>
    <t>04027E42</t>
  </si>
  <si>
    <t>Koralina - Bae</t>
  </si>
  <si>
    <t>Niyya</t>
  </si>
  <si>
    <t>Uvi_Wig_Spell_CK1_Bae</t>
  </si>
  <si>
    <t>DLC2PillarRRGuardA</t>
  </si>
  <si>
    <t>0403CA51</t>
  </si>
  <si>
    <t>DLC2RRGuardTemplate</t>
  </si>
  <si>
    <t>DLC2PillarRRGuardB;DLC2PillarRRGuardC</t>
  </si>
  <si>
    <t>DLC2PillarRRGuardB</t>
  </si>
  <si>
    <t>0403CA52</t>
  </si>
  <si>
    <t>DLC2PillarRRGuardC</t>
  </si>
  <si>
    <t>Koralina - Wendy</t>
  </si>
  <si>
    <t>0403CA53</t>
  </si>
  <si>
    <t>Uvi_Wig_Spell_CK1_Wendy</t>
  </si>
  <si>
    <t>DLC2PillarWorkerBandit01</t>
  </si>
  <si>
    <t>0403CA26</t>
  </si>
  <si>
    <t>DLC2TempleWorkerBandit02</t>
  </si>
  <si>
    <t>DLC2PillarWorkerBandit02</t>
  </si>
  <si>
    <t>0403CA27</t>
  </si>
  <si>
    <t>DLC2TempleWorkerBandit03</t>
  </si>
  <si>
    <t>Koralina - WolfCut</t>
  </si>
  <si>
    <t>DLC2PillarWorkerBandit03</t>
  </si>
  <si>
    <t>0403CA28</t>
  </si>
  <si>
    <t>Uvi_Wig_Spell_CK1_WolfCut</t>
  </si>
  <si>
    <t>DLC2TempleWorkerBandit04</t>
  </si>
  <si>
    <t>DLC2RieklingCampBanditCorpse</t>
  </si>
  <si>
    <t>0403A1F0</t>
  </si>
  <si>
    <t>DLC2RR01DeadGuard</t>
  </si>
  <si>
    <t>0402C406</t>
  </si>
  <si>
    <t>Koralina's Collection 2</t>
  </si>
  <si>
    <t>Koralina - Aisha</t>
  </si>
  <si>
    <t>Uvi_Wig_Spell_CK2_Aisha</t>
  </si>
  <si>
    <t>DLC2RR02DeadGuard</t>
  </si>
  <si>
    <t>040292A3</t>
  </si>
  <si>
    <t>DLC2RRAdrilArano</t>
  </si>
  <si>
    <t>04018280</t>
  </si>
  <si>
    <t>Adril Arano</t>
  </si>
  <si>
    <t>DLC2RRAphiaVelothi</t>
  </si>
  <si>
    <t>0401827C</t>
  </si>
  <si>
    <t>Aphia Velothi</t>
  </si>
  <si>
    <t>Koralina - Siggy</t>
  </si>
  <si>
    <t>Uvi_Wig_Spell_CK2_Siggy</t>
  </si>
  <si>
    <t>DLC2RRBralsaDrel</t>
  </si>
  <si>
    <t>04018F15</t>
  </si>
  <si>
    <t>Bralsa Drel</t>
  </si>
  <si>
    <t>DLC2RRCindiriArano</t>
  </si>
  <si>
    <t>04018282</t>
  </si>
  <si>
    <t>Cindiri Arano</t>
  </si>
  <si>
    <t>DLC2RRCresciusCaerellius</t>
  </si>
  <si>
    <t>04018278</t>
  </si>
  <si>
    <t>Crescius Caerellius</t>
  </si>
  <si>
    <t>DLC2RRDreylaAlor</t>
  </si>
  <si>
    <t>04018294</t>
  </si>
  <si>
    <t>Dreyla Alor</t>
  </si>
  <si>
    <t>Koralina - Wolf_01</t>
  </si>
  <si>
    <t>DLC2RRElderOthreloth</t>
  </si>
  <si>
    <t>0401828A</t>
  </si>
  <si>
    <t>Elder Othreloth</t>
  </si>
  <si>
    <t>Uvi_Wig_Spell_CK2_Wolf_01</t>
  </si>
  <si>
    <t>DLC2RREsmondTyne</t>
  </si>
  <si>
    <t>0402AD30</t>
  </si>
  <si>
    <t>Esmond Tyne</t>
  </si>
  <si>
    <t>DLC2RRFethisAlor</t>
  </si>
  <si>
    <t>04018292</t>
  </si>
  <si>
    <t>Fethis Alor</t>
  </si>
  <si>
    <t>DLC2RRGaldrusHlervu</t>
  </si>
  <si>
    <t>0401828C</t>
  </si>
  <si>
    <t>Koralina - Wolf_02</t>
  </si>
  <si>
    <t>Galdrus Hlervu</t>
  </si>
  <si>
    <t>Uvi_Wig_Spell_CK2_Wolf_02</t>
  </si>
  <si>
    <t>DLC2RRGarynIenth</t>
  </si>
  <si>
    <t>0401829F</t>
  </si>
  <si>
    <t>Garyn Ienth</t>
  </si>
  <si>
    <t>DLC2RRGeldisSadri</t>
  </si>
  <si>
    <t>04018290</t>
  </si>
  <si>
    <t>Geldis Sadri</t>
  </si>
  <si>
    <t>DLC2RRGjalundSaltSageSolstheim</t>
  </si>
  <si>
    <t>0402582B</t>
  </si>
  <si>
    <t>KS Hairdos - HDT SMP</t>
  </si>
  <si>
    <t>KS SMP - Amor</t>
  </si>
  <si>
    <t>DLC2RRGjalundSaltSageWindhelm</t>
  </si>
  <si>
    <t>Uvi_Wig_Spell_KS_Amor</t>
  </si>
  <si>
    <t>040182AE</t>
  </si>
  <si>
    <t>Gjalund Salt-Sage</t>
  </si>
  <si>
    <t>DLC2RRGloverMallory</t>
  </si>
  <si>
    <t>0401828E</t>
  </si>
  <si>
    <t>Glover Mallory</t>
  </si>
  <si>
    <t>Khajiit:KS_SMP_Khajiit</t>
  </si>
  <si>
    <t>DLC2RRGuardBarracks</t>
  </si>
  <si>
    <t>040195B7</t>
  </si>
  <si>
    <t>KS SMP - Anchor</t>
  </si>
  <si>
    <t>DLC2RRGuardGateExterior</t>
  </si>
  <si>
    <t>040195B3</t>
  </si>
  <si>
    <t>Uvi_Wig_Spell_KS_Anchor</t>
  </si>
  <si>
    <t>DLC2RRGuardJail</t>
  </si>
  <si>
    <t>040195B6</t>
  </si>
  <si>
    <t>DLC2RRGuardMarketExterior</t>
  </si>
  <si>
    <t>040195B4</t>
  </si>
  <si>
    <t>DLC2RRGuardMorvaynManorExterior</t>
  </si>
  <si>
    <t>KS SMP - Angelic</t>
  </si>
  <si>
    <t>040195B1</t>
  </si>
  <si>
    <t>Uvi_Wig_Spell_KS_Angelic</t>
  </si>
  <si>
    <t>DLC2RRGuardMorvaynManorInterior</t>
  </si>
  <si>
    <t>040195B0</t>
  </si>
  <si>
    <t>DLC2RRGuardPatrol</t>
  </si>
  <si>
    <t>040195B5</t>
  </si>
  <si>
    <t>DLC2RRGuardPatrolBulwark</t>
  </si>
  <si>
    <t>04033D09</t>
  </si>
  <si>
    <t>KS SMP - Angels</t>
  </si>
  <si>
    <t>Uvi_Wig_Spell_KS_Angels</t>
  </si>
  <si>
    <t>DLC2RRGuardPatrolBulwark02</t>
  </si>
  <si>
    <t>04033D0D</t>
  </si>
  <si>
    <t>HairMaleElf02</t>
  </si>
  <si>
    <t>040195AF</t>
  </si>
  <si>
    <t>Redoran Guard</t>
  </si>
  <si>
    <t>DLC2RRGuardMorvaynManorInterior;DLC2RRGuardMorvaynManorExterior;DLC2RRGuardTempleExterior;DLC2RRGuardGateExterior;DLC2RRGuardMarketExterior;DLC2RRGuardPatrol;DLC2RRGuardJail;DLC2RRGuardBarracks;DLC2RRGuardPatrolBulwark;DLC2RRGuardPatrolBulwark02;DLC2RRGuardTunnel;DLC2PillarRRGuardA</t>
  </si>
  <si>
    <t>DLC2RR02DeadGuard;DLC2RR01DeadGuard</t>
  </si>
  <si>
    <t>DLC2RRGuardTempleExterior</t>
  </si>
  <si>
    <t>KS SMP - Anna</t>
  </si>
  <si>
    <t>040195B2</t>
  </si>
  <si>
    <t>Uvi_Wig_Spell_KS_Anna</t>
  </si>
  <si>
    <t>DLC2RRGuardTunnel</t>
  </si>
  <si>
    <t>04033D11</t>
  </si>
  <si>
    <t>DLC2RRLlerilMorvayn</t>
  </si>
  <si>
    <t>0401827E</t>
  </si>
  <si>
    <t>Lleril Morvayn</t>
  </si>
  <si>
    <t>DLC2RRLygrleidSolstheim</t>
  </si>
  <si>
    <t>040376F5</t>
  </si>
  <si>
    <t>Lygrleid</t>
  </si>
  <si>
    <t>KS SMP - Anto92</t>
  </si>
  <si>
    <t>DLC2RRLygrleidWindhelm</t>
  </si>
  <si>
    <t>040376F2</t>
  </si>
  <si>
    <t>Uvi_Wig_Spell_KS_Anto92</t>
  </si>
  <si>
    <t>DLC2RRMiloreIenth</t>
  </si>
  <si>
    <t>040182A1</t>
  </si>
  <si>
    <t>Milore Ienth</t>
  </si>
  <si>
    <t>DLC2RRMinerEvul</t>
  </si>
  <si>
    <t>04039D10</t>
  </si>
  <si>
    <t>KS SMP - Aroma</t>
  </si>
  <si>
    <t>Evul Seloth</t>
  </si>
  <si>
    <t>Uvi_Wig_Spell_KS_Aroma</t>
  </si>
  <si>
    <t>DLC2RRMinerMeden</t>
  </si>
  <si>
    <t>04039D16</t>
  </si>
  <si>
    <t>Meden Maren</t>
  </si>
  <si>
    <t>DLC2RRMinerNaris</t>
  </si>
  <si>
    <t>04039D14</t>
  </si>
  <si>
    <t>Naris Mavani</t>
  </si>
  <si>
    <t>DLC2RRMinerTolenos</t>
  </si>
  <si>
    <t>04039D18</t>
  </si>
  <si>
    <t>Tolenos Omoren</t>
  </si>
  <si>
    <t>DLC2RRMirriSeverin</t>
  </si>
  <si>
    <t>04018288</t>
  </si>
  <si>
    <t>KS SMP - Babydoll</t>
  </si>
  <si>
    <t>Mirri Severin</t>
  </si>
  <si>
    <t>Uvi_Wig_Spell_KS_Babydoll</t>
  </si>
  <si>
    <t>DLC2RRModynVeleth</t>
  </si>
  <si>
    <t>040182AC</t>
  </si>
  <si>
    <t>Captain Veleth</t>
  </si>
  <si>
    <t>DLC2RRRirnsLlervu</t>
  </si>
  <si>
    <t>04018F14</t>
  </si>
  <si>
    <t>Rirns Llervu</t>
  </si>
  <si>
    <t>DLC2RRSogrlafSolstheim</t>
  </si>
  <si>
    <t>040376F6</t>
  </si>
  <si>
    <t>Sogrlaf</t>
  </si>
  <si>
    <t>KS SMP - Babydoll (Band)</t>
  </si>
  <si>
    <t>DLC2RRSogrlafWindhelm</t>
  </si>
  <si>
    <t>Uvi_Wig_Spell_KS_BabydollBand</t>
  </si>
  <si>
    <t>040376F4</t>
  </si>
  <si>
    <t>DLC2RRTeldrynSero</t>
  </si>
  <si>
    <t>04038560</t>
  </si>
  <si>
    <t>Teldryn Sero</t>
  </si>
  <si>
    <t>DLC2RRTilisuSeverin</t>
  </si>
  <si>
    <t>04018286</t>
  </si>
  <si>
    <t>Tilisu Severin</t>
  </si>
  <si>
    <t>KS SMP - Bluebird</t>
  </si>
  <si>
    <t>DLC2RRVendilSeverin</t>
  </si>
  <si>
    <t>04018284</t>
  </si>
  <si>
    <t>Uvi_Wig_Spell_KS_Bluebird</t>
  </si>
  <si>
    <t>Vendil Severin</t>
  </si>
  <si>
    <t>DLC2ServosRendas</t>
  </si>
  <si>
    <t>0401CAA6</t>
  </si>
  <si>
    <t>Servos Rendas</t>
  </si>
  <si>
    <t>DLC2SiltStriderMerchant</t>
  </si>
  <si>
    <t>0402C1EB</t>
  </si>
  <si>
    <t>Revus Sarvani</t>
  </si>
  <si>
    <t>KS SMP - Cambrian</t>
  </si>
  <si>
    <t>DLC2Sirkjorg</t>
  </si>
  <si>
    <t>04038968</t>
  </si>
  <si>
    <t>Uvi_Wig_Spell_KS_Cambrian</t>
  </si>
  <si>
    <t>Sirkjorg</t>
  </si>
  <si>
    <t>DLC2Storn</t>
  </si>
  <si>
    <t>04017935</t>
  </si>
  <si>
    <t>Storn Crag-Strider</t>
  </si>
  <si>
    <t>DLC2SV02Ancarion</t>
  </si>
  <si>
    <t>0401CAF3</t>
  </si>
  <si>
    <t>Ancarion</t>
  </si>
  <si>
    <t>EncThalmor03MagicBossM</t>
  </si>
  <si>
    <t>DLC2SV02LvlThalmorMissile</t>
  </si>
  <si>
    <t>04025885</t>
  </si>
  <si>
    <t>KS SMP - Caress</t>
  </si>
  <si>
    <t>Uvi_Wig_Spell_KS_Caress</t>
  </si>
  <si>
    <t>DLC2SV02LvlThalmorMissileAggro1024</t>
  </si>
  <si>
    <t>04025887</t>
  </si>
  <si>
    <t>DLC2SVAeta</t>
  </si>
  <si>
    <t>04018FCA</t>
  </si>
  <si>
    <t>Aeta</t>
  </si>
  <si>
    <t>DLC2SVBaldorIronShaper</t>
  </si>
  <si>
    <t>04018FB5</t>
  </si>
  <si>
    <t>Baldor Iron-Shaper</t>
  </si>
  <si>
    <t>DLC2SVDeor</t>
  </si>
  <si>
    <t>04018FA5</t>
  </si>
  <si>
    <t>Deor Woodcutter</t>
  </si>
  <si>
    <t>KS SMP - Cassy</t>
  </si>
  <si>
    <t>DLC2SVEdla</t>
  </si>
  <si>
    <t>04018FBD</t>
  </si>
  <si>
    <t>Edla</t>
  </si>
  <si>
    <t>DLC2SVFanariStrongVoice</t>
  </si>
  <si>
    <t>04018FC5</t>
  </si>
  <si>
    <t>Fanari Strong-Voice</t>
  </si>
  <si>
    <t>Uvi_Wig_Spell_KS_Cassy</t>
  </si>
  <si>
    <t>DLC2SVFinna</t>
  </si>
  <si>
    <t>04018F9C</t>
  </si>
  <si>
    <t>Finna</t>
  </si>
  <si>
    <t>DLC2SVMorwen</t>
  </si>
  <si>
    <t>04018FA9</t>
  </si>
  <si>
    <t>Morwen</t>
  </si>
  <si>
    <t>DLC2SVNikulas</t>
  </si>
  <si>
    <t>04018FC1</t>
  </si>
  <si>
    <t>Nikulas</t>
  </si>
  <si>
    <t>DLC2SVOslaf</t>
  </si>
  <si>
    <t>04018F99</t>
  </si>
  <si>
    <t>KS SMP - Cerigo</t>
  </si>
  <si>
    <t>Oslaf</t>
  </si>
  <si>
    <t>Uvi_Wig_Spell_KS_Cerigo</t>
  </si>
  <si>
    <t>DLC2SVTharstan</t>
  </si>
  <si>
    <t>04018FC8</t>
  </si>
  <si>
    <t>Tharstan</t>
  </si>
  <si>
    <t>DLC2SVWulfWildblood</t>
  </si>
  <si>
    <t>04018FAE</t>
  </si>
  <si>
    <t>Wulf Wild-Blood</t>
  </si>
  <si>
    <t>DLC2SVYrsa</t>
  </si>
  <si>
    <t>04018FB9</t>
  </si>
  <si>
    <t>Yrsa</t>
  </si>
  <si>
    <t>DLC2Talvas</t>
  </si>
  <si>
    <t>KS SMP - Cliche</t>
  </si>
  <si>
    <t>04017777</t>
  </si>
  <si>
    <t>Talvas Fathryon</t>
  </si>
  <si>
    <t>Uvi_Wig_Spell_KS_Cliche</t>
  </si>
  <si>
    <t>DLC2TempleWorkerBandit01</t>
  </si>
  <si>
    <t>04031647</t>
  </si>
  <si>
    <t>04031648</t>
  </si>
  <si>
    <t>04031660</t>
  </si>
  <si>
    <t>KS SMP - Cola</t>
  </si>
  <si>
    <t>Uvi_Wig_Spell_KS_Cola</t>
  </si>
  <si>
    <t>04031661</t>
  </si>
  <si>
    <t>04039D32</t>
  </si>
  <si>
    <t>04039D38</t>
  </si>
  <si>
    <t>KS SMP - Crazy Love</t>
  </si>
  <si>
    <t>Uvi_Wig_Spell_KS_CrazyLove</t>
  </si>
  <si>
    <t>04039D39</t>
  </si>
  <si>
    <t>DLC2TreasCorpseBanditMagicDarkElfMale01</t>
  </si>
  <si>
    <t>04039D33</t>
  </si>
  <si>
    <t>04039D3A</t>
  </si>
  <si>
    <t>KS SMP - Crescent</t>
  </si>
  <si>
    <t>Uvi_Wig_Spell_KS_Crescent</t>
  </si>
  <si>
    <t>04039D3B</t>
  </si>
  <si>
    <t>04039D3C</t>
  </si>
  <si>
    <t>DLC2TreasCorpseBanditMelee1HDarkElfFemale01</t>
  </si>
  <si>
    <t>04039D35</t>
  </si>
  <si>
    <t>KS SMP - Desirae</t>
  </si>
  <si>
    <t>Uvi_Wig_Spell_KS_Desirae</t>
  </si>
  <si>
    <t>04039D3D</t>
  </si>
  <si>
    <t>DLC2TreasCorpseBanditMelee1HDarkElfFemale03</t>
  </si>
  <si>
    <t>04039D3E</t>
  </si>
  <si>
    <t>DLC2TreasCorpseBanditMelee1HDarkElfMale01</t>
  </si>
  <si>
    <t>04039D34</t>
  </si>
  <si>
    <t>KS SMP - Desperate</t>
  </si>
  <si>
    <t>Uvi_Wig_Spell_KS_Desperate</t>
  </si>
  <si>
    <t>04039D3F</t>
  </si>
  <si>
    <t>04039D40</t>
  </si>
  <si>
    <t>04039D41</t>
  </si>
  <si>
    <t>KS SMP - Didar</t>
  </si>
  <si>
    <t>Uvi_Wig_Spell_KS_Didar</t>
  </si>
  <si>
    <t>04039D37</t>
  </si>
  <si>
    <t>04039D42</t>
  </si>
  <si>
    <t>04039D43</t>
  </si>
  <si>
    <t>DLC2TreasCorpseBanditMissileDarkElfMale01</t>
  </si>
  <si>
    <t>04039D36</t>
  </si>
  <si>
    <t>04039D44</t>
  </si>
  <si>
    <t>04039D45</t>
  </si>
  <si>
    <t>KS SMP - Dollmaker</t>
  </si>
  <si>
    <t>Uvi_Wig_Spell_KS_Dollmaker</t>
  </si>
  <si>
    <t>04039D46</t>
  </si>
  <si>
    <t>DLC2Ulves</t>
  </si>
  <si>
    <t>0401777D</t>
  </si>
  <si>
    <t>Ulves Romoran</t>
  </si>
  <si>
    <t>DLC2Varona</t>
  </si>
  <si>
    <t>0401777C</t>
  </si>
  <si>
    <t>Varona Nelas</t>
  </si>
  <si>
    <t>KS SMP - Erena</t>
  </si>
  <si>
    <t>DLC2WaterStoneSailor1</t>
  </si>
  <si>
    <t>0402710D</t>
  </si>
  <si>
    <t>Uvi_Wig_Spell_KS_Erena</t>
  </si>
  <si>
    <t>Hjalfar</t>
  </si>
  <si>
    <t>DLC2WaterStoneSailor2</t>
  </si>
  <si>
    <t>04027829</t>
  </si>
  <si>
    <t>DLC2WaterStoneSailor3</t>
  </si>
  <si>
    <t>0402782B</t>
  </si>
  <si>
    <t>Liesl</t>
  </si>
  <si>
    <t>DLC2WaterStoneSailor4</t>
  </si>
  <si>
    <t>KS SMP - Foam Summer</t>
  </si>
  <si>
    <t>0402782D</t>
  </si>
  <si>
    <t>Palevius Lex</t>
  </si>
  <si>
    <t>Uvi_Wig_Spell_KS_FoamSummer</t>
  </si>
  <si>
    <t>DLC2WB01Torkild</t>
  </si>
  <si>
    <t>04034024</t>
  </si>
  <si>
    <t>Torkild</t>
  </si>
  <si>
    <t>DLC2EncWerebear</t>
  </si>
  <si>
    <t>DLC2WE05Wizard</t>
  </si>
  <si>
    <t>04020FC1</t>
  </si>
  <si>
    <t>Wizard</t>
  </si>
  <si>
    <t>DLC2WE06Madman</t>
  </si>
  <si>
    <t>04027A15</t>
  </si>
  <si>
    <t>Madman</t>
  </si>
  <si>
    <t>KS SMP - Fontana Di Trevi</t>
  </si>
  <si>
    <t>Uvi_Wig_Spell_KS_FontanaDiTrevi</t>
  </si>
  <si>
    <t>DLC2WE07EncTribalWerebearA</t>
  </si>
  <si>
    <t>0403D21F</t>
  </si>
  <si>
    <t>EncBandit04Melee2HBerserkNordM</t>
  </si>
  <si>
    <t>DLC2WE07EncTribalWerebearB</t>
  </si>
  <si>
    <t>0403D220</t>
  </si>
  <si>
    <t>DLC2WE07EncTribalWerebearC</t>
  </si>
  <si>
    <t>0403D221</t>
  </si>
  <si>
    <t>EncBandit03Melee2HBerserkNordM</t>
  </si>
  <si>
    <t>KS SMP - Freesia</t>
  </si>
  <si>
    <t>DLC2WE13dunHaknirShoal_LvlBanditMissileFemaleDarkElfCommoner</t>
  </si>
  <si>
    <t>04039722</t>
  </si>
  <si>
    <t>Uvi_Wig_Spell_KS_Freesia</t>
  </si>
  <si>
    <t>DLC2WE13dunHaknirShoal_LvlBanditWizardMaleDarkElfCynical</t>
  </si>
  <si>
    <t>04039723</t>
  </si>
  <si>
    <t>DomnaMagia</t>
  </si>
  <si>
    <t>00058FB7</t>
  </si>
  <si>
    <t>KS SMP - Galaxy</t>
  </si>
  <si>
    <t>Donnel</t>
  </si>
  <si>
    <t>000D673A</t>
  </si>
  <si>
    <t>Uvi_Wig_Spell_KS_Galaxy</t>
  </si>
  <si>
    <t>Dorthe</t>
  </si>
  <si>
    <t>00013477</t>
  </si>
  <si>
    <t>Drahff</t>
  </si>
  <si>
    <t>00095F7E</t>
  </si>
  <si>
    <t>Dravin</t>
  </si>
  <si>
    <t>00013353</t>
  </si>
  <si>
    <t>Dravin Llanith</t>
  </si>
  <si>
    <t>KS SMP - Gecko</t>
  </si>
  <si>
    <t>Uvi_Wig_Spell_KS_Gecko</t>
  </si>
  <si>
    <t>Dravynea</t>
  </si>
  <si>
    <t>0001365F</t>
  </si>
  <si>
    <t>Dravynea the Stoneweaver</t>
  </si>
  <si>
    <t>DravyneaDUPLICATE001</t>
  </si>
  <si>
    <t>04018447</t>
  </si>
  <si>
    <t>Drennen</t>
  </si>
  <si>
    <t>0004C734</t>
  </si>
  <si>
    <t>KS SMP - Harvest</t>
  </si>
  <si>
    <t>DrennenCorpse</t>
  </si>
  <si>
    <t>Uvi_Wig_Spell_KS_Harvest</t>
  </si>
  <si>
    <t>0004C751</t>
  </si>
  <si>
    <t>DrevisNeloren</t>
  </si>
  <si>
    <t>0001C198</t>
  </si>
  <si>
    <t>Drevis Neloren</t>
  </si>
  <si>
    <t>Drifa</t>
  </si>
  <si>
    <t>00013354</t>
  </si>
  <si>
    <t>KS SMP - High Life</t>
  </si>
  <si>
    <t>Uvi_Wig_Spell_KS_HighLife</t>
  </si>
  <si>
    <t>Dromarash</t>
  </si>
  <si>
    <t>0001B1CF</t>
  </si>
  <si>
    <t>Dro'marash</t>
  </si>
  <si>
    <t>HairKhajiitMale10</t>
  </si>
  <si>
    <t>Dryston</t>
  </si>
  <si>
    <t>000D6711</t>
  </si>
  <si>
    <t>Duach</t>
  </si>
  <si>
    <t>00013393</t>
  </si>
  <si>
    <t>KS SMP - Himiko</t>
  </si>
  <si>
    <t>Dulug</t>
  </si>
  <si>
    <t>Uvi_Wig_Spell_KS_Himiko</t>
  </si>
  <si>
    <t>000C78C0</t>
  </si>
  <si>
    <t>dunAlftandEndrast</t>
  </si>
  <si>
    <t>0003B0E4</t>
  </si>
  <si>
    <t>Endrast</t>
  </si>
  <si>
    <t>TreasCorpseCommonerWoodElfMale</t>
  </si>
  <si>
    <t>dunAlftandJdarr</t>
  </si>
  <si>
    <t>0003B0E7</t>
  </si>
  <si>
    <t>J'darr</t>
  </si>
  <si>
    <t>KS SMP - Honey</t>
  </si>
  <si>
    <t>HairKhajiitMale09</t>
  </si>
  <si>
    <t>LvlBanditMeleeBerserker</t>
  </si>
  <si>
    <t>Uvi_Wig_Spell_KS_Honey</t>
  </si>
  <si>
    <t>dunAlftandJzhar</t>
  </si>
  <si>
    <t>0003B0E6</t>
  </si>
  <si>
    <t>J'zhar</t>
  </si>
  <si>
    <t>dunAlftandSullaTrebatius</t>
  </si>
  <si>
    <t>0003B0E2</t>
  </si>
  <si>
    <t>Sulla Trebatius</t>
  </si>
  <si>
    <t>dunAlftandUmana</t>
  </si>
  <si>
    <t>0003B0E3</t>
  </si>
  <si>
    <t>Umana</t>
  </si>
  <si>
    <t>dunAlftandValie</t>
  </si>
  <si>
    <t>KS SMP - Honeyed</t>
  </si>
  <si>
    <t>0003B0E1</t>
  </si>
  <si>
    <t>Valie</t>
  </si>
  <si>
    <t>Uvi_Wig_Spell_KS_Honeyed</t>
  </si>
  <si>
    <t>TreasCorpseCommonerHighElfFemale</t>
  </si>
  <si>
    <t>dunAlftandYagGraGortwog</t>
  </si>
  <si>
    <t>0003B0E5</t>
  </si>
  <si>
    <t>Yag gra-Gortwog</t>
  </si>
  <si>
    <t>HairFemaleOrc15</t>
  </si>
  <si>
    <t>dunAngarvundeMedresiDran</t>
  </si>
  <si>
    <t>0003B5B2</t>
  </si>
  <si>
    <t>Medresi Dran</t>
  </si>
  <si>
    <t>dunAngiREF</t>
  </si>
  <si>
    <t>KS SMP - Icarus</t>
  </si>
  <si>
    <t>000CAB2F</t>
  </si>
  <si>
    <t>Angi</t>
  </si>
  <si>
    <t>Uvi_Wig_Spell_KS_Icarus</t>
  </si>
  <si>
    <t>dunAnsilvundFemaleGhost</t>
  </si>
  <si>
    <t>0003D725</t>
  </si>
  <si>
    <t>Fjori</t>
  </si>
  <si>
    <t>dunAnsilvundLuahAlSkaven</t>
  </si>
  <si>
    <t>0002333A</t>
  </si>
  <si>
    <t>Lu'ah Al-Skaven</t>
  </si>
  <si>
    <t>EncWarlockNecro06BossHighElfF</t>
  </si>
  <si>
    <t>dunAnsilvundMaleGhost</t>
  </si>
  <si>
    <t>0003D724</t>
  </si>
  <si>
    <t>KS SMP - Jackdaw</t>
  </si>
  <si>
    <t>Holgeir</t>
  </si>
  <si>
    <t>Uvi_Wig_Spell_KS_Jackdaw</t>
  </si>
  <si>
    <t>dunBardsLeapSummitGhost</t>
  </si>
  <si>
    <t>000B3C81</t>
  </si>
  <si>
    <t>Azzadal</t>
  </si>
  <si>
    <t>LvlAlikrMelee1H</t>
  </si>
  <si>
    <t>dunBleakFallsCorpseBretonThomas</t>
  </si>
  <si>
    <t>000C3B25</t>
  </si>
  <si>
    <t>Thomas</t>
  </si>
  <si>
    <t>EncBandit01MagicBretonM</t>
  </si>
  <si>
    <t>KS SMP - Kaysa</t>
  </si>
  <si>
    <t>dunBloodletThroneSceneVampire</t>
  </si>
  <si>
    <t>0007B77E</t>
  </si>
  <si>
    <t>Uvi_Wig_Spell_KS_Kaysa</t>
  </si>
  <si>
    <t>dunBloodletThroneVampireBoss</t>
  </si>
  <si>
    <t>0005B830</t>
  </si>
  <si>
    <t>dunBluePalaceBully</t>
  </si>
  <si>
    <t>0009F851</t>
  </si>
  <si>
    <t>Anger</t>
  </si>
  <si>
    <t>EncSoldierImperialTemplate</t>
  </si>
  <si>
    <t>0009F847</t>
  </si>
  <si>
    <t>Self Doubt</t>
  </si>
  <si>
    <t>dunBluePalaceMareMaiden</t>
  </si>
  <si>
    <t>KS SMP - Kerli</t>
  </si>
  <si>
    <t>0009F83A</t>
  </si>
  <si>
    <t>Sultry Maiden</t>
  </si>
  <si>
    <t>Uvi_Wig_Spell_KS_Kerli</t>
  </si>
  <si>
    <t>MirabelleErvine</t>
  </si>
  <si>
    <t>dunBluePalacePelagiusBodyguardDormant</t>
  </si>
  <si>
    <t>0009F85E</t>
  </si>
  <si>
    <t>Bodyguard</t>
  </si>
  <si>
    <t>dunBluePalacePelagiusFearful</t>
  </si>
  <si>
    <t>0009F844</t>
  </si>
  <si>
    <t>Confidence</t>
  </si>
  <si>
    <t>dunBluePalacePelagiusNightmare</t>
  </si>
  <si>
    <t>0009F82D</t>
  </si>
  <si>
    <t>KS SMP - Kikyo</t>
  </si>
  <si>
    <t>Pelagius the Tormented</t>
  </si>
  <si>
    <t>Uvi_Wig_Spell_KS_Kikyo</t>
  </si>
  <si>
    <t>dunBluePalacePelagiusSuspicious</t>
  </si>
  <si>
    <t>0009B287</t>
  </si>
  <si>
    <t>Pelagius the Suspicious</t>
  </si>
  <si>
    <t>dunBluePalaceWingLittlePelagius</t>
  </si>
  <si>
    <t>0009F839</t>
  </si>
  <si>
    <t>Little Pelagius</t>
  </si>
  <si>
    <t>dunBrokenOarHargar</t>
  </si>
  <si>
    <t>0001E38B</t>
  </si>
  <si>
    <t>Captain Hargar</t>
  </si>
  <si>
    <t>KS SMP - Koala</t>
  </si>
  <si>
    <t>MS07LvlBlackbloodMeleeBerserkerCommonerM</t>
  </si>
  <si>
    <t>Uvi_Wig_Spell_KS_Koala</t>
  </si>
  <si>
    <t>DunBrokenOarLvlBanditMissileHoldPos256LinkRef</t>
  </si>
  <si>
    <t>000F6934</t>
  </si>
  <si>
    <t>MS07LvlBlackbloodMissileNordM</t>
  </si>
  <si>
    <t>dunCGImperialArcherBaitBTower</t>
  </si>
  <si>
    <t>000D7D8E</t>
  </si>
  <si>
    <t>Imperial Soldier</t>
  </si>
  <si>
    <t>dunCGImperialMageC01</t>
  </si>
  <si>
    <t>000F3E77</t>
  </si>
  <si>
    <t>Imperial Mage</t>
  </si>
  <si>
    <t>KS SMP - Lavender</t>
  </si>
  <si>
    <t>dunCGImperialMageD01</t>
  </si>
  <si>
    <t>Uvi_Wig_Spell_KS_Lavender</t>
  </si>
  <si>
    <t>000F3E76</t>
  </si>
  <si>
    <t>dunCGImperialSoldierArcherA01</t>
  </si>
  <si>
    <t>000E491B</t>
  </si>
  <si>
    <t>dunCGImperialSoldierArcherA02</t>
  </si>
  <si>
    <t>000E4920</t>
  </si>
  <si>
    <t>KS SMP - Lime</t>
  </si>
  <si>
    <t>dunCGImperialSoldierArcherA03</t>
  </si>
  <si>
    <t>000F94AE</t>
  </si>
  <si>
    <t>Uvi_Wig_Spell_KS_Lime</t>
  </si>
  <si>
    <t>dunCGImperialSoldierArcherA04</t>
  </si>
  <si>
    <t>00105EE2</t>
  </si>
  <si>
    <t>dunCGImperialSoldierArcherC01</t>
  </si>
  <si>
    <t>000E6D5C</t>
  </si>
  <si>
    <t>KS SMP - Lotus</t>
  </si>
  <si>
    <t>dunCGImperialSoldierArcherC02</t>
  </si>
  <si>
    <t>000F3E6F</t>
  </si>
  <si>
    <t>Uvi_Wig_Spell_KS_Lotus</t>
  </si>
  <si>
    <t>dunCGImperialSoldierArcherD01</t>
  </si>
  <si>
    <t>000E72BB</t>
  </si>
  <si>
    <t>dunCGImperialSoldierArcherD02</t>
  </si>
  <si>
    <t>000F3E6D</t>
  </si>
  <si>
    <t>dunCGImperialSoldierArcherD03</t>
  </si>
  <si>
    <t>000F3E6E</t>
  </si>
  <si>
    <t>KS SMP - Mellow</t>
  </si>
  <si>
    <t>dunCGImperialSoldierArcherD04</t>
  </si>
  <si>
    <t>000F94A9</t>
  </si>
  <si>
    <t>Uvi_Wig_Spell_KS_Mellow</t>
  </si>
  <si>
    <t>dunCGImperialSoldierBaitATower</t>
  </si>
  <si>
    <t>000D67B8</t>
  </si>
  <si>
    <t>dunCGImperialSoldierBaitBTower</t>
  </si>
  <si>
    <t>000D7D7D</t>
  </si>
  <si>
    <t>dunCGImperialSoldierBaitDBridge</t>
  </si>
  <si>
    <t>000E1E95</t>
  </si>
  <si>
    <t>KS SMP - Metropolis</t>
  </si>
  <si>
    <t>Uvi_Wig_Spell_KS_Metropolis</t>
  </si>
  <si>
    <t>dunCGImperialSoldierDEAD</t>
  </si>
  <si>
    <t>000F94B5</t>
  </si>
  <si>
    <t>dunCGImperialSoldierFodderC01</t>
  </si>
  <si>
    <t>000E77F9</t>
  </si>
  <si>
    <t>dunCGImperialSoldierFodderD01</t>
  </si>
  <si>
    <t>000E77FD</t>
  </si>
  <si>
    <t>KS SMP - Metropolis 2</t>
  </si>
  <si>
    <t>Uvi_Wig_Spell_KS_Metropolis2</t>
  </si>
  <si>
    <t>dunCGStormcloakPrisonerFemaleDEAD</t>
  </si>
  <si>
    <t>000F94B2</t>
  </si>
  <si>
    <t>Stormcloak Soldier</t>
  </si>
  <si>
    <t>dunCGStormcloakPrisonerMaleDEAD</t>
  </si>
  <si>
    <t>000F94B1</t>
  </si>
  <si>
    <t>dunCGStormcloakTowerA</t>
  </si>
  <si>
    <t>000F820F</t>
  </si>
  <si>
    <t>MQ101StormcloakPrisonerMale</t>
  </si>
  <si>
    <t>KS SMP - Milliet</t>
  </si>
  <si>
    <t>dunChillwindAdventurer01</t>
  </si>
  <si>
    <t>Uvi_Wig_Spell_KS_Milliet</t>
  </si>
  <si>
    <t>00074BC0</t>
  </si>
  <si>
    <t>EncBandit01Melee1HTankImperialM</t>
  </si>
  <si>
    <t>dunChillwindAdventurer02</t>
  </si>
  <si>
    <t>00083279</t>
  </si>
  <si>
    <t>EncBandit01Melee2HBerserkOrcM</t>
  </si>
  <si>
    <t>dunChillwindFalmerPrisoner01</t>
  </si>
  <si>
    <t>00074B15</t>
  </si>
  <si>
    <t>KS SMP - Moonrise</t>
  </si>
  <si>
    <t>TreasCorpseCommonerRedguardMale</t>
  </si>
  <si>
    <t>Uvi_Wig_Spell_KS_Moonrise</t>
  </si>
  <si>
    <t>dunChillwindFalmerPrisoner02</t>
  </si>
  <si>
    <t>00074B18</t>
  </si>
  <si>
    <t>TreasCorpseBanditDarkElfFemale</t>
  </si>
  <si>
    <t>dunChillwindFalmerPrisoner03</t>
  </si>
  <si>
    <t>00074BD8</t>
  </si>
  <si>
    <t>TreasCorpseCommonerBretonMale</t>
  </si>
  <si>
    <t>dunChillwindFalmerPrisoner04</t>
  </si>
  <si>
    <t>00074BD9</t>
  </si>
  <si>
    <t>KS SMP - Ominous</t>
  </si>
  <si>
    <t>Uvi_Wig_Spell_KS_Ominous</t>
  </si>
  <si>
    <t>dunChillwindFalmerPrisoner05</t>
  </si>
  <si>
    <t>00074BDA</t>
  </si>
  <si>
    <t>dunChillwindFalmerPrisoner06</t>
  </si>
  <si>
    <t>0007514E</t>
  </si>
  <si>
    <t>TreasCorpseBanditRedguardFemale</t>
  </si>
  <si>
    <t>dunChillwindFalmerPrisoner07</t>
  </si>
  <si>
    <t>00075152</t>
  </si>
  <si>
    <t>KS SMP - Ominous (Lace)</t>
  </si>
  <si>
    <t>Uvi_Wig_Spell_KS_OminousLace</t>
  </si>
  <si>
    <t>dunChillwindFalmerPrisoner08</t>
  </si>
  <si>
    <t>0007515E</t>
  </si>
  <si>
    <t>TreasCorpseBanditImperialFemale</t>
  </si>
  <si>
    <t>dunChillwindFalmerPrisonerFirir</t>
  </si>
  <si>
    <t>000976FB</t>
  </si>
  <si>
    <t>Firir</t>
  </si>
  <si>
    <t>dunClearpinePondAlchemist</t>
  </si>
  <si>
    <t>000EA528</t>
  </si>
  <si>
    <t>KS SMP - Only You</t>
  </si>
  <si>
    <t>dunCragslaneBartender</t>
  </si>
  <si>
    <t>Uvi_Wig_Spell_KS_OnlyYou</t>
  </si>
  <si>
    <t>000D823D</t>
  </si>
  <si>
    <t>Barkeep</t>
  </si>
  <si>
    <t>dunCragslaneButcher</t>
  </si>
  <si>
    <t>000D823E</t>
  </si>
  <si>
    <t>Butcher</t>
  </si>
  <si>
    <t>dunCragslaneLvlBanditGuard</t>
  </si>
  <si>
    <t>000D55D3</t>
  </si>
  <si>
    <t>&lt;Error: Unknown lstring ID 00000192&gt;</t>
  </si>
  <si>
    <t>KS SMP - Only You (No Lace)</t>
  </si>
  <si>
    <t>Uvi_Wig_Spell_KS_OnlyYouNoLace</t>
  </si>
  <si>
    <t>dunCragslaneOutdoorGuy</t>
  </si>
  <si>
    <t>00090C87</t>
  </si>
  <si>
    <t>Bouncer</t>
  </si>
  <si>
    <t>LvlBanditMeleeAnyAggro1024</t>
  </si>
  <si>
    <t>dunDA14DrinkingNPC01</t>
  </si>
  <si>
    <t>0003DC4A</t>
  </si>
  <si>
    <t>dunDA14DrinkingTEMPLATE</t>
  </si>
  <si>
    <t>dunDA14DrinkingNPC02</t>
  </si>
  <si>
    <t>0003DC4E</t>
  </si>
  <si>
    <t>KS SMP - Paraguay</t>
  </si>
  <si>
    <t>Uvi_Wig_Spell_KS_Paraguay</t>
  </si>
  <si>
    <t>dunDA14DrinkingNPC03</t>
  </si>
  <si>
    <t>0003DC50</t>
  </si>
  <si>
    <t>dunDA14DrinkingNPC04</t>
  </si>
  <si>
    <t>0003DC52</t>
  </si>
  <si>
    <t>0003DC4C</t>
  </si>
  <si>
    <t>Commoner</t>
  </si>
  <si>
    <t>dunDA14DrinkingNPC01;dunDA14DrinkingNPC02;dunDA14DrinkingNPC03;dunDA14DrinkingNPC04</t>
  </si>
  <si>
    <t>KS SMP - Princess</t>
  </si>
  <si>
    <t>dunDarklight_LvlWitchCondescending</t>
  </si>
  <si>
    <t>000B82FC</t>
  </si>
  <si>
    <t>Uvi_Wig_Spell_KS_Princess</t>
  </si>
  <si>
    <t>dunDarklightDeadWitch</t>
  </si>
  <si>
    <t>0004F4DA</t>
  </si>
  <si>
    <t>EncWitchFire01DarkElfF</t>
  </si>
  <si>
    <t>dunDarklightIllia</t>
  </si>
  <si>
    <t>00048C2F</t>
  </si>
  <si>
    <t>Illia</t>
  </si>
  <si>
    <t>LvlWarlockFrostBoss</t>
  </si>
  <si>
    <t>KS SMP - Rosette</t>
  </si>
  <si>
    <t>dunDarklightSilvia</t>
  </si>
  <si>
    <t>0004B0AE</t>
  </si>
  <si>
    <t>Uvi_Wig_Spell_KS_Rosette</t>
  </si>
  <si>
    <t>Silvia</t>
  </si>
  <si>
    <t>LvlForswornBossShaman</t>
  </si>
  <si>
    <t>dunDawnstarSanctuary_LvlBrotherhoodSentry</t>
  </si>
  <si>
    <t>000942CC</t>
  </si>
  <si>
    <t>Sanctuary Guardian</t>
  </si>
  <si>
    <t>LvlForswornMeleeBerserker</t>
  </si>
  <si>
    <t>dunDawnstarSanctuary_LvlBrotherhoodSentryMissile</t>
  </si>
  <si>
    <t>000D5451</t>
  </si>
  <si>
    <t>KS SMP - Rosette (Roses)</t>
  </si>
  <si>
    <t>LvlForswornMissile</t>
  </si>
  <si>
    <t>Uvi_Wig_Spell_KS_RosetteRoses</t>
  </si>
  <si>
    <t>dunDeepwoodAdventurer1</t>
  </si>
  <si>
    <t>000A4CB5</t>
  </si>
  <si>
    <t>dunDrelas_LvlWarlockElementalAggro1024</t>
  </si>
  <si>
    <t>000E76C9</t>
  </si>
  <si>
    <t>Drelas</t>
  </si>
  <si>
    <t>dunDuskglowBandit02</t>
  </si>
  <si>
    <t>0005B0E7</t>
  </si>
  <si>
    <t>dunEldergleamPilgrimNordF</t>
  </si>
  <si>
    <t>00015D2B</t>
  </si>
  <si>
    <t>Asta</t>
  </si>
  <si>
    <t>KS SMP - Rosi Cloud</t>
  </si>
  <si>
    <t>Uvi_Wig_Spell_KS_RosiCloud</t>
  </si>
  <si>
    <t>dunEldergleamPilgrimNordM</t>
  </si>
  <si>
    <t>00015CC4</t>
  </si>
  <si>
    <t>Sond</t>
  </si>
  <si>
    <t>dunFellglow_LvlWarlockElementalAmbushCondescendingFHoldPosition</t>
  </si>
  <si>
    <t>000CA44F</t>
  </si>
  <si>
    <t>LvlWarlockElementalAmbushCondescendingF</t>
  </si>
  <si>
    <t>dunFellglow_TreasCorpseCommonerKhajiitMalePrisoner</t>
  </si>
  <si>
    <t>0010C687</t>
  </si>
  <si>
    <t>KS SMP - Runaway</t>
  </si>
  <si>
    <t>Uvi_Wig_Spell_KS_Runaway</t>
  </si>
  <si>
    <t>dunFellglow_TreasCorpseVampire01</t>
  </si>
  <si>
    <t>0008555A</t>
  </si>
  <si>
    <t>EncVampire01BretonF</t>
  </si>
  <si>
    <t>dunFellglow_TreasCorpseVampire02</t>
  </si>
  <si>
    <t>00085558</t>
  </si>
  <si>
    <t>EncVampire02BossDarkElfM</t>
  </si>
  <si>
    <t>dunFellglow_TreasCorpseVampire03</t>
  </si>
  <si>
    <t>KS SMP - Scarlet</t>
  </si>
  <si>
    <t>0008555C</t>
  </si>
  <si>
    <t>Uvi_Wig_Spell_KS_Scarlet</t>
  </si>
  <si>
    <t>EncVampire02BossImperialM</t>
  </si>
  <si>
    <t>dunFellglow_TreasCorpseVampire04</t>
  </si>
  <si>
    <t>0008555B</t>
  </si>
  <si>
    <t>HairFemaleElf02</t>
  </si>
  <si>
    <t>EncVampire01HighElfF</t>
  </si>
  <si>
    <t>dunFellglowJailor</t>
  </si>
  <si>
    <t>000CABB4</t>
  </si>
  <si>
    <t>LvlWarlockElementalAmbush</t>
  </si>
  <si>
    <t>KS SMP - Searching</t>
  </si>
  <si>
    <t>dunFellglowPetSceneWarlock</t>
  </si>
  <si>
    <t>000CA346</t>
  </si>
  <si>
    <t>Uvi_Wig_Spell_KS_Searching</t>
  </si>
  <si>
    <t>EncWarlockIce02ImperialM</t>
  </si>
  <si>
    <t>dunFolgunthurAdventurer1</t>
  </si>
  <si>
    <t>000860C3</t>
  </si>
  <si>
    <t>TreasCorpseBanditBretonMale</t>
  </si>
  <si>
    <t>dunFolgunthurAdventurer2</t>
  </si>
  <si>
    <t>000860C4</t>
  </si>
  <si>
    <t>KS SMP - Silent Lips</t>
  </si>
  <si>
    <t>Uvi_Wig_Spell_KS_SilentLips</t>
  </si>
  <si>
    <t>dunFolgunthurAdventurer3</t>
  </si>
  <si>
    <t>000860C5</t>
  </si>
  <si>
    <t>dunFolgunthurAdventurer4</t>
  </si>
  <si>
    <t>000860C7</t>
  </si>
  <si>
    <t>dunFolgunthurAdventurer5</t>
  </si>
  <si>
    <t>000860C6</t>
  </si>
  <si>
    <t>KS SMP - Sky 022</t>
  </si>
  <si>
    <t>Uvi_Wig_Spell_KS_Sky022</t>
  </si>
  <si>
    <t>dunFolgunthurDaynas</t>
  </si>
  <si>
    <t>0004CEDF</t>
  </si>
  <si>
    <t>Daynas Valen</t>
  </si>
  <si>
    <t>TreasCorpseWarlockDarkElfMale</t>
  </si>
  <si>
    <t>dunForelhostLvlGhostBase</t>
  </si>
  <si>
    <t>000CD63E</t>
  </si>
  <si>
    <t>Dragon Cultist</t>
  </si>
  <si>
    <t>LvlDraugrMelee1HMale</t>
  </si>
  <si>
    <t>dunForelhostLvlGhostMelee1HFemale;dunForelhostLvlGhostWizardFemale;dunForelhostLvlGhostTankFemale</t>
  </si>
  <si>
    <t>KS SMP - Sky 047</t>
  </si>
  <si>
    <t>dunForelhostLvlGhostMelee1HMale;dunForelhostLvlGhostWizardMale;dunForelhostLvlGhostTankMale</t>
  </si>
  <si>
    <t>Uvi_Wig_Spell_KS_Sky047</t>
  </si>
  <si>
    <t>dunForelhostLvlGhostMelee1HFemale</t>
  </si>
  <si>
    <t>000CD63F</t>
  </si>
  <si>
    <t>dunForelhostLvlGhostMelee1HMale</t>
  </si>
  <si>
    <t>0007A2B1</t>
  </si>
  <si>
    <t>dunForelhostLvlGhostTankFemale</t>
  </si>
  <si>
    <t>000CD644</t>
  </si>
  <si>
    <t>KS SMP - Sky 097</t>
  </si>
  <si>
    <t>Uvi_Wig_Spell_KS_Sky097</t>
  </si>
  <si>
    <t>dunForelhostLvlGhostTankMale</t>
  </si>
  <si>
    <t>000CD643</t>
  </si>
  <si>
    <t>dunForelhostLvlGhostWizardFemale</t>
  </si>
  <si>
    <t>000CD642</t>
  </si>
  <si>
    <t>dunForelhostLvlGhostWizardMale</t>
  </si>
  <si>
    <t>KS SMP - Sky 146</t>
  </si>
  <si>
    <t>000CD640</t>
  </si>
  <si>
    <t>Uvi_Wig_Spell_KS_Sky146</t>
  </si>
  <si>
    <t>dunFortDunstadBarkeepCorpse</t>
  </si>
  <si>
    <t>000E799D</t>
  </si>
  <si>
    <t>Baral Sendu</t>
  </si>
  <si>
    <t>dunFrostflowAbyssMani</t>
  </si>
  <si>
    <t>0004815C</t>
  </si>
  <si>
    <t>Mani</t>
  </si>
  <si>
    <t>dunFrostflowAbyssRamati</t>
  </si>
  <si>
    <t>0004815E</t>
  </si>
  <si>
    <t>Ramati</t>
  </si>
  <si>
    <t>KS SMP - Sky 176</t>
  </si>
  <si>
    <t>Uvi_Wig_Spell_KS_Sky176</t>
  </si>
  <si>
    <t>dunFrostflowAbyssSudi</t>
  </si>
  <si>
    <t>0004815F</t>
  </si>
  <si>
    <t>Sudi</t>
  </si>
  <si>
    <t>dunFrostmereCrypt_Kyr</t>
  </si>
  <si>
    <t>000D37D1</t>
  </si>
  <si>
    <t>Kyr</t>
  </si>
  <si>
    <t>LvlBanditBossNordM</t>
  </si>
  <si>
    <t>dunFrostmereCrypt_Rajirr</t>
  </si>
  <si>
    <t>000D37CF</t>
  </si>
  <si>
    <t>Ra'jirr</t>
  </si>
  <si>
    <t>KS SMP - Sky 179</t>
  </si>
  <si>
    <t>Uvi_Wig_Spell_KS_Sky179</t>
  </si>
  <si>
    <t>dunFrostmereCryptEisa</t>
  </si>
  <si>
    <t>000D001A</t>
  </si>
  <si>
    <t>Eisa Blackthorn</t>
  </si>
  <si>
    <t>dunGeirmundsHallAdventurer</t>
  </si>
  <si>
    <t>00104750</t>
  </si>
  <si>
    <t>dunSkybornAltarAdventurer</t>
  </si>
  <si>
    <t>dunHaemarsShame_LvlVampireBoss</t>
  </si>
  <si>
    <t>00046283</t>
  </si>
  <si>
    <t>KS SMP - Sky 188</t>
  </si>
  <si>
    <t>dunHagsEnd_DBAssassin</t>
  </si>
  <si>
    <t>Uvi_Wig_Spell_KS_Sky188</t>
  </si>
  <si>
    <t>0009D761</t>
  </si>
  <si>
    <t>Dark Brotherhood Assassin</t>
  </si>
  <si>
    <t>dunHagsEndSacrifice</t>
  </si>
  <si>
    <t>000A9154</t>
  </si>
  <si>
    <t>EncWitch01TemplateFire</t>
  </si>
  <si>
    <t>dunHalldirs_LvlBanditGhostMelee1H</t>
  </si>
  <si>
    <t>000B289A</t>
  </si>
  <si>
    <t>KS SMP - Sky 190</t>
  </si>
  <si>
    <t>LvlBanditGhostMelee1HMale</t>
  </si>
  <si>
    <t>dunHalldirs_LvlBanditGhostMelee1HAmbush</t>
  </si>
  <si>
    <t>Uvi_Wig_Spell_KS_Sky190</t>
  </si>
  <si>
    <t>000B28A0</t>
  </si>
  <si>
    <t>dunHalldirs_LvlBanditGhostMeleeBerserker</t>
  </si>
  <si>
    <t>000B289F</t>
  </si>
  <si>
    <t>dunHalldirs_LvlBanditGhostMeleeBerserkerAmbush</t>
  </si>
  <si>
    <t>KS SMP - Sky 201</t>
  </si>
  <si>
    <t>000B28A2</t>
  </si>
  <si>
    <t>Uvi_Wig_Spell_KS_Sky201</t>
  </si>
  <si>
    <t>dunHalldirs_LvlBanditGhostMeleeTank</t>
  </si>
  <si>
    <t>000B289C</t>
  </si>
  <si>
    <t>LvlBanditGhostMeleeTankMale</t>
  </si>
  <si>
    <t>dunHalldirs_LvlBanditGhostMeleeTankAmbush</t>
  </si>
  <si>
    <t>000B28A3</t>
  </si>
  <si>
    <t>KS SMP - Sky 208</t>
  </si>
  <si>
    <t>Uvi_Wig_Spell_KS_Sky208</t>
  </si>
  <si>
    <t>dunHalldirs_LvlBanditGhostMissile</t>
  </si>
  <si>
    <t>000B289D</t>
  </si>
  <si>
    <t>dunHalldirs_LvlBanditGhostMissileAmbushHoldPos256;dunHalldirs_LvlBanditGhostMissileAmbush</t>
  </si>
  <si>
    <t>dunHalldirs_LvlBanditGhostMissileAmbush</t>
  </si>
  <si>
    <t>000B28A4</t>
  </si>
  <si>
    <t>dunHalldirs_LvlBanditGhostMissileAmbushHoldPos256</t>
  </si>
  <si>
    <t>00065C07</t>
  </si>
  <si>
    <t>KS SMP - Sky 218</t>
  </si>
  <si>
    <t>Uvi_Wig_Spell_KS_Sky218</t>
  </si>
  <si>
    <t>dunHalldirsDeadBandit01</t>
  </si>
  <si>
    <t>00083B16</t>
  </si>
  <si>
    <t>Vidgrod</t>
  </si>
  <si>
    <t>dunHalldirsDeadBandit02</t>
  </si>
  <si>
    <t>00083B17</t>
  </si>
  <si>
    <t>Raen</t>
  </si>
  <si>
    <t>KS SMP - Sky 239</t>
  </si>
  <si>
    <t>EncBandit01Melee1HImperialF</t>
  </si>
  <si>
    <t>Uvi_Wig_Spell_KS_Sky239</t>
  </si>
  <si>
    <t>dunHalldirsDeadBandit03</t>
  </si>
  <si>
    <t>00083B19</t>
  </si>
  <si>
    <t>Agrius</t>
  </si>
  <si>
    <t>dunHobsFall_TreasCorpseCommonerImperialFemale</t>
  </si>
  <si>
    <t>000DBD11</t>
  </si>
  <si>
    <t>Larina</t>
  </si>
  <si>
    <t>dunHunterChild</t>
  </si>
  <si>
    <t>000C029C</t>
  </si>
  <si>
    <t>Haming</t>
  </si>
  <si>
    <t>KS SMP - Sky 250</t>
  </si>
  <si>
    <t>HairMaleNordChild01</t>
  </si>
  <si>
    <t>Uvi_Wig_Spell_KS_Sky250</t>
  </si>
  <si>
    <t>dunHunterFroki</t>
  </si>
  <si>
    <t>000185F6</t>
  </si>
  <si>
    <t>Froki Whetted-Blade</t>
  </si>
  <si>
    <t>MQ304Froki</t>
  </si>
  <si>
    <t>dunIronbindBeemJa</t>
  </si>
  <si>
    <t>0006CD5B</t>
  </si>
  <si>
    <t>Beem-Ja</t>
  </si>
  <si>
    <t>dunIronbindSalma</t>
  </si>
  <si>
    <t>0006CD5A</t>
  </si>
  <si>
    <t>Salma</t>
  </si>
  <si>
    <t>KS SMP - Sky6063</t>
  </si>
  <si>
    <t>Uvi_Wig_Spell_KS_Sky6063</t>
  </si>
  <si>
    <t>EncBandit02Boss1HRedguardF</t>
  </si>
  <si>
    <t>dunKatariahCaptain</t>
  </si>
  <si>
    <t>000C603D</t>
  </si>
  <si>
    <t>Captain Avidius</t>
  </si>
  <si>
    <t>dunKatariahLvlPenitusOculatusMelee1HAmbush</t>
  </si>
  <si>
    <t>dunKilkreathTreasCorpseImperial</t>
  </si>
  <si>
    <t>000E77E2</t>
  </si>
  <si>
    <t>TreasCorpseCWImperialMale</t>
  </si>
  <si>
    <t>dunKilkreathTreasCorpseImperialF</t>
  </si>
  <si>
    <t>000E77E7</t>
  </si>
  <si>
    <t>KS SMP - Slowly</t>
  </si>
  <si>
    <t>TreasCorpseCWImperialFemale</t>
  </si>
  <si>
    <t>Uvi_Wig_Spell_KS_Slowly</t>
  </si>
  <si>
    <t>dunKilkreathTreasCorpseSons</t>
  </si>
  <si>
    <t>000E77E1</t>
  </si>
  <si>
    <t>TreasCorpseCWSonsMale</t>
  </si>
  <si>
    <t>dunKilkreathTreasCorpseSonsF</t>
  </si>
  <si>
    <t>000E77E6</t>
  </si>
  <si>
    <t>TreasCorpseCWSonsFemale</t>
  </si>
  <si>
    <t>dunKorvanjundImpSoldierDead</t>
  </si>
  <si>
    <t>0005AF2A</t>
  </si>
  <si>
    <t>KS SMP - Snow</t>
  </si>
  <si>
    <t>Uvi_Wig_Spell_KS_Snow</t>
  </si>
  <si>
    <t>dunKorvanjundSonsSoldierDead</t>
  </si>
  <si>
    <t>0005AF46</t>
  </si>
  <si>
    <t>EncSoldierSonsTemplate</t>
  </si>
  <si>
    <t>dunLabyrinthianFireMagi</t>
  </si>
  <si>
    <t>000F82BC</t>
  </si>
  <si>
    <t>Fire Spirit</t>
  </si>
  <si>
    <t>dunLabyrinthianFrostMagi</t>
  </si>
  <si>
    <t>000F82BA</t>
  </si>
  <si>
    <t>Frost Spirit</t>
  </si>
  <si>
    <t>KS SMP - Sparklers</t>
  </si>
  <si>
    <t>Uvi_Wig_Spell_KS_Sparklers</t>
  </si>
  <si>
    <t>dunLiarsRetreatWenchCorpse</t>
  </si>
  <si>
    <t>000D80B4</t>
  </si>
  <si>
    <t>EncBandit01TemplateMagic</t>
  </si>
  <si>
    <t>DunLostKnifeBanditBoss</t>
  </si>
  <si>
    <t>0001C902</t>
  </si>
  <si>
    <t>DunLostKnifeBanditTalk01a</t>
  </si>
  <si>
    <t>00034C8C</t>
  </si>
  <si>
    <t>KS SMP - Spring</t>
  </si>
  <si>
    <t>Uvi_Wig_Spell_KS_Spring</t>
  </si>
  <si>
    <t>DunLostKnifeBanditTalk01b</t>
  </si>
  <si>
    <t>00034C8D</t>
  </si>
  <si>
    <t>DunLostKnifeBanditTalk02a</t>
  </si>
  <si>
    <t>0004003B</t>
  </si>
  <si>
    <t>dunLostValleyRedoubForswornBerserker</t>
  </si>
  <si>
    <t>000B3B95</t>
  </si>
  <si>
    <t>KS SMP - Starlet</t>
  </si>
  <si>
    <t>Uvi_Wig_Spell_KS_Starlet</t>
  </si>
  <si>
    <t>dunLundsHut_TreasCorpseCommonerNordMale</t>
  </si>
  <si>
    <t>000E76CA</t>
  </si>
  <si>
    <t>Lund</t>
  </si>
  <si>
    <t>dunMistwatchChrister</t>
  </si>
  <si>
    <t>00090738</t>
  </si>
  <si>
    <t>Christer</t>
  </si>
  <si>
    <t>dunMistwatchPrisonerWERJ01</t>
  </si>
  <si>
    <t>000B1CFF</t>
  </si>
  <si>
    <t>Frightened Woman</t>
  </si>
  <si>
    <t>TreasCorpseCommonerNordFemale</t>
  </si>
  <si>
    <t>KS SMP - Stay Awake</t>
  </si>
  <si>
    <t>dunMossMotherHunter01</t>
  </si>
  <si>
    <t>Uvi_Wig_Spell_KS_StayAwake</t>
  </si>
  <si>
    <t>000411CF</t>
  </si>
  <si>
    <t>Ari</t>
  </si>
  <si>
    <t>HairFemaleNord16</t>
  </si>
  <si>
    <t>dunMossMotherHunter02</t>
  </si>
  <si>
    <t>000411D0</t>
  </si>
  <si>
    <t>Niels</t>
  </si>
  <si>
    <t>dunMovarthVampireBoss</t>
  </si>
  <si>
    <t>0008BB91</t>
  </si>
  <si>
    <t>KS SMP - Steammist</t>
  </si>
  <si>
    <t>Uvi_Wig_Spell_KS_Steammist</t>
  </si>
  <si>
    <t>dunMzulftTreasCorpseSynodResearcherF</t>
  </si>
  <si>
    <t>000B114F</t>
  </si>
  <si>
    <t>Synod Researcher</t>
  </si>
  <si>
    <t>TreasCorpseCommonerImperialFemale</t>
  </si>
  <si>
    <t>dunMzulftTreasCorpseSynodResearcherM</t>
  </si>
  <si>
    <t>0008C3CA</t>
  </si>
  <si>
    <t>TreasCorpseCommonerImperialMale</t>
  </si>
  <si>
    <t>dunNchuandAlethiusCorpse</t>
  </si>
  <si>
    <t>KS SMP - Studio</t>
  </si>
  <si>
    <t>000C370C</t>
  </si>
  <si>
    <t>Alethius</t>
  </si>
  <si>
    <t>Uvi_Wig_Spell_KS_Studio</t>
  </si>
  <si>
    <t>dunNchuandErj</t>
  </si>
  <si>
    <t>00093858</t>
  </si>
  <si>
    <t>Erj</t>
  </si>
  <si>
    <t>EncWarlockAtro01BretonM</t>
  </si>
  <si>
    <t>dunNchuandKrag</t>
  </si>
  <si>
    <t>000C084E</t>
  </si>
  <si>
    <t>Krag</t>
  </si>
  <si>
    <t>dunNchuandStaubs</t>
  </si>
  <si>
    <t>KS SMP - Summer Haze</t>
  </si>
  <si>
    <t>00093821</t>
  </si>
  <si>
    <t>Staubin</t>
  </si>
  <si>
    <t>Uvi_Wig_Spell_KS_SummerHaze</t>
  </si>
  <si>
    <t>dunNchuandStromm</t>
  </si>
  <si>
    <t>00093851</t>
  </si>
  <si>
    <t>Stromm</t>
  </si>
  <si>
    <t>dunNorthwatchPrisoner01</t>
  </si>
  <si>
    <t>000C1A9E</t>
  </si>
  <si>
    <t>Northwatch Prisoner</t>
  </si>
  <si>
    <t>KS SMP - Sweet Escape</t>
  </si>
  <si>
    <t>Uvi_Wig_Spell_KS_SweetEscape</t>
  </si>
  <si>
    <t>dunNorthwatchPrisoner02</t>
  </si>
  <si>
    <t>000C1A9F</t>
  </si>
  <si>
    <t>dunNorthwatchPrisoner03</t>
  </si>
  <si>
    <t>000C1AA3</t>
  </si>
  <si>
    <t>dunPOIBanditCorpse2</t>
  </si>
  <si>
    <t>001068FE</t>
  </si>
  <si>
    <t>dunPOIChickenNecromander</t>
  </si>
  <si>
    <t>KS SMP - Sweet Scar</t>
  </si>
  <si>
    <t>001092F5</t>
  </si>
  <si>
    <t>Novice Necromancer</t>
  </si>
  <si>
    <t>Uvi_Wig_Spell_KS_SweetScar</t>
  </si>
  <si>
    <t>EncWarlock01TemplateNecro</t>
  </si>
  <si>
    <t>dunPOIDeadHunter</t>
  </si>
  <si>
    <t>001068F8</t>
  </si>
  <si>
    <t>dunPOIReachLoversCorpse01</t>
  </si>
  <si>
    <t>0003A187</t>
  </si>
  <si>
    <t>TreasCorpseCommonerBretonFemale</t>
  </si>
  <si>
    <t>KS SMP - Sweet Scar 2</t>
  </si>
  <si>
    <t>dunPOIReachLoversCorpse02</t>
  </si>
  <si>
    <t>0003A190</t>
  </si>
  <si>
    <t>Talvur</t>
  </si>
  <si>
    <t>Uvi_Wig_Spell_KS_SweetScar2</t>
  </si>
  <si>
    <t>TreasCorpseBanditDarkElfMale</t>
  </si>
  <si>
    <t>dunPOIReachTrollslayer</t>
  </si>
  <si>
    <t>0003E8AD</t>
  </si>
  <si>
    <t>Frofnir Trollsbane</t>
  </si>
  <si>
    <t>dunPOIRefugeeCorpse01</t>
  </si>
  <si>
    <t>000745C7</t>
  </si>
  <si>
    <t>Refugee</t>
  </si>
  <si>
    <t>KS SMP - Sweet Villain</t>
  </si>
  <si>
    <t>dunPOIRefugeeCorpse02</t>
  </si>
  <si>
    <t>000745CB</t>
  </si>
  <si>
    <t>Uvi_Wig_Spell_KS_SweetVillain</t>
  </si>
  <si>
    <t>dunPOIRefugeeCorpse03</t>
  </si>
  <si>
    <t>000745CD</t>
  </si>
  <si>
    <t>dunPOISwimmer</t>
  </si>
  <si>
    <t>000649CA</t>
  </si>
  <si>
    <t>Captive</t>
  </si>
  <si>
    <t>KS SMP - Tell Me</t>
  </si>
  <si>
    <t>dunPOITalosWorshipperCorpse01</t>
  </si>
  <si>
    <t>Uvi_Wig_Spell_KS_TellMe</t>
  </si>
  <si>
    <t>0005B90D</t>
  </si>
  <si>
    <t>Worshipper</t>
  </si>
  <si>
    <t>dunPOITalosWorshipperCorpse02</t>
  </si>
  <si>
    <t>0005B937</t>
  </si>
  <si>
    <t>dunPOITalosWorshipperCorpse03</t>
  </si>
  <si>
    <t>0005B907</t>
  </si>
  <si>
    <t>dunPOITreasCorpseLumberjack</t>
  </si>
  <si>
    <t>000CE5D0</t>
  </si>
  <si>
    <t>KS SMP - Tonight</t>
  </si>
  <si>
    <t>Wood Cutter</t>
  </si>
  <si>
    <t>Uvi_Wig_Spell_KS_Tonight</t>
  </si>
  <si>
    <t>dunPOIVolcanicLuckyLorenze</t>
  </si>
  <si>
    <t>000ECF85</t>
  </si>
  <si>
    <t>Lucky Lorenz</t>
  </si>
  <si>
    <t>DunPOIVolcanicTreasSmugglerCorpse</t>
  </si>
  <si>
    <t>000DC4E6</t>
  </si>
  <si>
    <t>Smuggler</t>
  </si>
  <si>
    <t>HairMaleRedguard8</t>
  </si>
  <si>
    <t>EncBandit01Melee1HRedguardM</t>
  </si>
  <si>
    <t>dunPOIWitchAnise</t>
  </si>
  <si>
    <t>000DDF86</t>
  </si>
  <si>
    <t>Anise</t>
  </si>
  <si>
    <t>KS SMP - Top Gorgeous</t>
  </si>
  <si>
    <t>HairFemaleElder04</t>
  </si>
  <si>
    <t>LvlWarlockConjurerFemaleCondescending</t>
  </si>
  <si>
    <t>Uvi_Wig_Spell_KS_TopGorgeous</t>
  </si>
  <si>
    <t>dunRannLvlWarlockAssistant</t>
  </si>
  <si>
    <t>0005198C</t>
  </si>
  <si>
    <t>Sild's Assistant</t>
  </si>
  <si>
    <t>dunRannLvlWarlockBoss</t>
  </si>
  <si>
    <t>0005197F</t>
  </si>
  <si>
    <t>Sild the Warlock</t>
  </si>
  <si>
    <t>DunRannveigsFastTreasCorpseBanditOrcMale</t>
  </si>
  <si>
    <t>000A88C5</t>
  </si>
  <si>
    <t>EncBandit01Melee1HOrcM</t>
  </si>
  <si>
    <t>KS SMP - Traveler</t>
  </si>
  <si>
    <t>dunRatwayGian</t>
  </si>
  <si>
    <t>Uvi_Wig_Spell_KS_Traveler</t>
  </si>
  <si>
    <t>0010A062</t>
  </si>
  <si>
    <t>Gian the Fist</t>
  </si>
  <si>
    <t>dunRatwayBanditMelee</t>
  </si>
  <si>
    <t>dunReachwaterRockAdventurer</t>
  </si>
  <si>
    <t>000ED575</t>
  </si>
  <si>
    <t>dunReachwaterRockGauldur</t>
  </si>
  <si>
    <t>000ECEDA</t>
  </si>
  <si>
    <t>Gauldur</t>
  </si>
  <si>
    <t>KS SMP - Vapor</t>
  </si>
  <si>
    <t>EncWarlockAtro06BossBretonM</t>
  </si>
  <si>
    <t>Uvi_Wig_Spell_KS_Vapor</t>
  </si>
  <si>
    <t>dunRebelsCairnAdventurer</t>
  </si>
  <si>
    <t>000C176B</t>
  </si>
  <si>
    <t>dunRRHerebaneSorenshield</t>
  </si>
  <si>
    <t>000F964A</t>
  </si>
  <si>
    <t>Herebane Sorenshield</t>
  </si>
  <si>
    <t>000E4D2D</t>
  </si>
  <si>
    <t>KS SMP - Veneris</t>
  </si>
  <si>
    <t>EncBandit03TemplateMelee</t>
  </si>
  <si>
    <t>Uvi_Wig_Spell_KS_Veneris</t>
  </si>
  <si>
    <t>dunSleepingTreeCampBanditCorpse</t>
  </si>
  <si>
    <t>000E2BBF</t>
  </si>
  <si>
    <t>Ulag</t>
  </si>
  <si>
    <t>dunSnowyPOIGhost</t>
  </si>
  <si>
    <t>000725F6</t>
  </si>
  <si>
    <t>Ghost</t>
  </si>
  <si>
    <t>DunValthumeGhostValdar</t>
  </si>
  <si>
    <t>dunSolitudeJailDeadPrisoner</t>
  </si>
  <si>
    <t>000EF4E7</t>
  </si>
  <si>
    <t>KS SMP - Vice City</t>
  </si>
  <si>
    <t>Uvi_Wig_Spell_KS_ViceCity</t>
  </si>
  <si>
    <t>dunSouthfringeBoss</t>
  </si>
  <si>
    <t>000A33EA</t>
  </si>
  <si>
    <t>HairMaleOrc16</t>
  </si>
  <si>
    <t>dunSouthfringeSelveniNethri</t>
  </si>
  <si>
    <t>0003A745</t>
  </si>
  <si>
    <t>Selveni Nethri</t>
  </si>
  <si>
    <t>LvlWarlockNecromancer</t>
  </si>
  <si>
    <t>dunSteepfallBurrowHunter</t>
  </si>
  <si>
    <t>KS SMP - Vivacity</t>
  </si>
  <si>
    <t>000F4FB8</t>
  </si>
  <si>
    <t>Uvi_Wig_Spell_KS_Vivacity</t>
  </si>
  <si>
    <t>dunTolvaldsCaveGhost01</t>
  </si>
  <si>
    <t>000F6779</t>
  </si>
  <si>
    <t>dunTolvaldsCaveGhost02</t>
  </si>
  <si>
    <t>000F677B</t>
  </si>
  <si>
    <t>dunTolvaldsCaveGhost03</t>
  </si>
  <si>
    <t>000F677D</t>
  </si>
  <si>
    <t>KS SMP - Wine</t>
  </si>
  <si>
    <t>0002C18D</t>
  </si>
  <si>
    <t>Valdar</t>
  </si>
  <si>
    <t>Uvi_Wig_Spell_KS_Wine</t>
  </si>
  <si>
    <t>LvlBanditBoss</t>
  </si>
  <si>
    <t>dunVolskyggeBanditGate01</t>
  </si>
  <si>
    <t>00041928</t>
  </si>
  <si>
    <t>LvlBanditMeleeAny</t>
  </si>
  <si>
    <t>dunVolskyggeBanditGate02</t>
  </si>
  <si>
    <t>00041929</t>
  </si>
  <si>
    <t>KS SMP - XOXO</t>
  </si>
  <si>
    <t>Uvi_Wig_Spell_KS_XOXO</t>
  </si>
  <si>
    <t>dunVolskyggeBanditScene01a</t>
  </si>
  <si>
    <t>0004192A</t>
  </si>
  <si>
    <t>dunVolskyggeBanditScene01b</t>
  </si>
  <si>
    <t>0004192B</t>
  </si>
  <si>
    <t>DunVolunruudBoss</t>
  </si>
  <si>
    <t>001019C6</t>
  </si>
  <si>
    <t>KS SMP - Youth</t>
  </si>
  <si>
    <t>dunVolunruudGenealogist</t>
  </si>
  <si>
    <t>0008AD96</t>
  </si>
  <si>
    <t>Uvi_Wig_Spell_KS_Youth</t>
  </si>
  <si>
    <t>Heddic Volunnar</t>
  </si>
  <si>
    <t>dunWaywardPassGhost</t>
  </si>
  <si>
    <t>000F6768</t>
  </si>
  <si>
    <t>Spirit of the Ancient Traveler</t>
  </si>
  <si>
    <t>EncBandit03Melee1HTankNordM</t>
  </si>
  <si>
    <t>dunWhiteRiverWatch_BanditWatchman</t>
  </si>
  <si>
    <t>000812FC</t>
  </si>
  <si>
    <t>KS SMP - Zoella</t>
  </si>
  <si>
    <t>Ulfr the Blind</t>
  </si>
  <si>
    <t>Uvi_Wig_Spell_KS_Zoella</t>
  </si>
  <si>
    <t>LvlBanditMeleeTank</t>
  </si>
  <si>
    <t>dunWhiteRiverWatchCagedBandit</t>
  </si>
  <si>
    <t>000E166B</t>
  </si>
  <si>
    <t>DunYsgramorsTomb_LvlGhostMelee1HFemale</t>
  </si>
  <si>
    <t>000DE517</t>
  </si>
  <si>
    <t>Companion Ghost</t>
  </si>
  <si>
    <t>LvlBanditGhostMelee1HFemale</t>
  </si>
  <si>
    <t>Modular SMP Hair</t>
  </si>
  <si>
    <t>DunYsgramorsTomb_LvlGhostMelee1HMale</t>
  </si>
  <si>
    <t>Modular SMP Hair - Dove</t>
  </si>
  <si>
    <t>000AB102</t>
  </si>
  <si>
    <t>Uvi_Wig_Spell_Evg_Dove</t>
  </si>
  <si>
    <t>DunYsgramorsTomb_LvlGhostMelee2HFemale</t>
  </si>
  <si>
    <t>000DE516</t>
  </si>
  <si>
    <t>LvlBanditGhostMelee2HFemale</t>
  </si>
  <si>
    <t>Mod_SMP_Hair,Mod_SMP_Wig</t>
  </si>
  <si>
    <t>DunYsgramorsTomb_LvlGhostMelee2HMale</t>
  </si>
  <si>
    <t>000DE519</t>
  </si>
  <si>
    <t>Modular SMP Hair - Eventually</t>
  </si>
  <si>
    <t>LvlBanditGhostMelee2HMale</t>
  </si>
  <si>
    <t>Uvi_Wig_Spell_Evg_Eventually</t>
  </si>
  <si>
    <t>DunYsgramorsTomb_LvlGhostMissileFemale</t>
  </si>
  <si>
    <t>000DE518</t>
  </si>
  <si>
    <t>LvlBanditGhostMissileFemale</t>
  </si>
  <si>
    <t>DunYsgramorsTomb_LvlGhostMissileMale</t>
  </si>
  <si>
    <t>000AB104</t>
  </si>
  <si>
    <t>Dushnamub</t>
  </si>
  <si>
    <t>0001B079</t>
  </si>
  <si>
    <t>Modular SMP Hair - Intensity</t>
  </si>
  <si>
    <t>e3DemoArvel</t>
  </si>
  <si>
    <t>Uvi_Wig_Spell_Evg_Intensity</t>
  </si>
  <si>
    <t>00099991</t>
  </si>
  <si>
    <t>Arvel the Swift</t>
  </si>
  <si>
    <t>E3DemoBanditCampfire01</t>
  </si>
  <si>
    <t>000998BA</t>
  </si>
  <si>
    <t>EncBandit06Melee1HNordM</t>
  </si>
  <si>
    <t>E3DemoBanditCampfire02</t>
  </si>
  <si>
    <t>000998BB</t>
  </si>
  <si>
    <t>EncBandit06MissileNordF</t>
  </si>
  <si>
    <t>Modular SMP Hair - Oracle</t>
  </si>
  <si>
    <t>E3DemoDecapitateMeBandit</t>
  </si>
  <si>
    <t>Uvi_Wig_Spell_Evg_Oracle</t>
  </si>
  <si>
    <t>000E962E</t>
  </si>
  <si>
    <t>EncBandit06Melee2HBerserkRedguardM</t>
  </si>
  <si>
    <t>E3DemoSoldier01</t>
  </si>
  <si>
    <t>000D7779</t>
  </si>
  <si>
    <t>Whiterun Guard</t>
  </si>
  <si>
    <t>EncGuardSonsM01MaleNordCommander</t>
  </si>
  <si>
    <t>E3DemoSoldierCaptain</t>
  </si>
  <si>
    <t>000E962C</t>
  </si>
  <si>
    <t>Modular SMP Hair - Rogueish</t>
  </si>
  <si>
    <t>Uvi_Wig_Spell_Evg_Rogueish</t>
  </si>
  <si>
    <t>E3demoThief</t>
  </si>
  <si>
    <t>000E93D3</t>
  </si>
  <si>
    <t>Thief</t>
  </si>
  <si>
    <t>EncBandit05TemplateMissile</t>
  </si>
  <si>
    <t>E3DemoTowerBanditMelee</t>
  </si>
  <si>
    <t>000E9628</t>
  </si>
  <si>
    <t>Marauder</t>
  </si>
  <si>
    <t>EncBandit05Melee2HOrcM</t>
  </si>
  <si>
    <t>E3DemoTowerBanditMissile</t>
  </si>
  <si>
    <t>000E962B</t>
  </si>
  <si>
    <t>Modular SMP Hair - Scryer</t>
  </si>
  <si>
    <t>EncBandit05MissileRedguardF</t>
  </si>
  <si>
    <t>Uvi_Wig_Spell_Evg_Scryer</t>
  </si>
  <si>
    <t>Edda</t>
  </si>
  <si>
    <t>00013356</t>
  </si>
  <si>
    <t>Edith</t>
  </si>
  <si>
    <t>000877AF</t>
  </si>
  <si>
    <t>Edorfin</t>
  </si>
  <si>
    <t>0001E957</t>
  </si>
  <si>
    <t>Eimar</t>
  </si>
  <si>
    <t>000B2977</t>
  </si>
  <si>
    <t>Modular SMP Hair - A</t>
  </si>
  <si>
    <t>Uvi_Wig_Spell_Evg_A</t>
  </si>
  <si>
    <t>Einarth</t>
  </si>
  <si>
    <t>0002C6CC</t>
  </si>
  <si>
    <t>Eirid</t>
  </si>
  <si>
    <t>0001C185</t>
  </si>
  <si>
    <t>Elda</t>
  </si>
  <si>
    <t>0001412A</t>
  </si>
  <si>
    <t>Elda Early-Dawn</t>
  </si>
  <si>
    <t>Modular SMP Hair - AA</t>
  </si>
  <si>
    <t>Elenwen</t>
  </si>
  <si>
    <t>00013269</t>
  </si>
  <si>
    <t>Uvi_Wig_Spell_Evg_A-A</t>
  </si>
  <si>
    <t>Elgrim</t>
  </si>
  <si>
    <t>00013357</t>
  </si>
  <si>
    <t>ElisifTheFair</t>
  </si>
  <si>
    <t>0001326A</t>
  </si>
  <si>
    <t>Elisif the Fair</t>
  </si>
  <si>
    <t>Elrindir</t>
  </si>
  <si>
    <t>00013B9E</t>
  </si>
  <si>
    <t>Modular SMP Hair - AB</t>
  </si>
  <si>
    <t>Uvi_Wig_Spell_Evg_A-B</t>
  </si>
  <si>
    <t>Eltrys</t>
  </si>
  <si>
    <t>00013394</t>
  </si>
  <si>
    <t>EltrysDead</t>
  </si>
  <si>
    <t>00101000</t>
  </si>
  <si>
    <t>Embry</t>
  </si>
  <si>
    <t>0003550B</t>
  </si>
  <si>
    <t>Modular SMP Hair - AC</t>
  </si>
  <si>
    <t>Uvi_Wig_Spell_Evg_A-C</t>
  </si>
  <si>
    <t>EncAlikr00Template</t>
  </si>
  <si>
    <t>0006762E</t>
  </si>
  <si>
    <t>Alik'r Warrior</t>
  </si>
  <si>
    <t>EncAlikr01TemplateMagic;EncAlikr01TemplateMelee;EncAlikr01TemplateMissile;EncAlikr02TemplateMagic;EncAlikr02TemplateMelee;EncAlikr02TemplateMissile;EncAlikr03TemplateMagic;EncAlikr03TemplateMelee;EncAlikr03TemplateMissile;EncAlikr04TemplateMagic;EncAlikr04TemplateMelee;EncAlikr04TemplateMissile;EncAlikr05TemplateMagic;EncAlikr05TemplateMelee;EncAlikr05TemplateMissile;EncAlikr06TemplateMagic;EncAlikr06TemplateMelee;EncAlikr06TemplateMissile</t>
  </si>
  <si>
    <t>EncAlikr01MagicRedguardM</t>
  </si>
  <si>
    <t>00067642</t>
  </si>
  <si>
    <t>EncAlikr01TemplateMagic</t>
  </si>
  <si>
    <t>Modular SMP Hair - AD</t>
  </si>
  <si>
    <t>EncAlikr01Melee1HRedguardM01</t>
  </si>
  <si>
    <t>00067641</t>
  </si>
  <si>
    <t>Uvi_Wig_Spell_Evg_A-D</t>
  </si>
  <si>
    <t>EncAlikr01TemplateMelee</t>
  </si>
  <si>
    <t>EncAlikr01Melee1HRedguardM02</t>
  </si>
  <si>
    <t>00067645</t>
  </si>
  <si>
    <t>EncAlikr01Melee2HBerserkRedguardM01</t>
  </si>
  <si>
    <t>00067643</t>
  </si>
  <si>
    <t>Modular SMP Hair - AE</t>
  </si>
  <si>
    <t>EncAlikr01Melee2HBerserkRedguardM02</t>
  </si>
  <si>
    <t>00067646</t>
  </si>
  <si>
    <t>Uvi_Wig_Spell_Evg_A-E</t>
  </si>
  <si>
    <t>EncAlikr01MissileRedguardM01</t>
  </si>
  <si>
    <t>00067644</t>
  </si>
  <si>
    <t>EncAlikr01TemplateMissile</t>
  </si>
  <si>
    <t>EncAlikr01MissileRedguardM02</t>
  </si>
  <si>
    <t>00067647</t>
  </si>
  <si>
    <t>Modular SMP Hair - AF</t>
  </si>
  <si>
    <t>0006762F</t>
  </si>
  <si>
    <t>Uvi_Wig_Spell_Evg_A-F</t>
  </si>
  <si>
    <t>00067630</t>
  </si>
  <si>
    <t>EncAlikr01Melee1HRedguardM01;EncAlikr01Melee1HRedguardM02;EncAlikr01Melee2HBerserkRedguardM02</t>
  </si>
  <si>
    <t>00067631</t>
  </si>
  <si>
    <t>Modular SMP Hair - AG</t>
  </si>
  <si>
    <t>Uvi_Wig_Spell_Evg_A-G</t>
  </si>
  <si>
    <t>EncAlikr01MissileRedguardM01;EncAlikr01MissileRedguardM02</t>
  </si>
  <si>
    <t>EncAlikr02MagicRedguardM</t>
  </si>
  <si>
    <t>0006764B</t>
  </si>
  <si>
    <t>EncAlikr02TemplateMagic</t>
  </si>
  <si>
    <t>EncAlikr02Melee1HRedguardM01</t>
  </si>
  <si>
    <t>00067648</t>
  </si>
  <si>
    <t>EncAlikr02TemplateMelee</t>
  </si>
  <si>
    <t>EncAlikr02Melee1HRedguardM02</t>
  </si>
  <si>
    <t>0006764C</t>
  </si>
  <si>
    <t>Modular SMP Hair - AI</t>
  </si>
  <si>
    <t>Uvi_Wig_Spell_Evg_A-I</t>
  </si>
  <si>
    <t>EncAlikr02Melee2HBerserkRedguardM01</t>
  </si>
  <si>
    <t>00067649</t>
  </si>
  <si>
    <t>EncAlikr02Melee2HBerserkRedguardM02</t>
  </si>
  <si>
    <t>0006764D</t>
  </si>
  <si>
    <t>EncAlikr02MissileRedguardM01</t>
  </si>
  <si>
    <t>0006764A</t>
  </si>
  <si>
    <t>Modular SMP Hair - AJ</t>
  </si>
  <si>
    <t>EncAlikr02TemplateMissile</t>
  </si>
  <si>
    <t>Uvi_Wig_Spell_Evg_A-J</t>
  </si>
  <si>
    <t>EncAlikr02MissileRedguardM02</t>
  </si>
  <si>
    <t>0006764E</t>
  </si>
  <si>
    <t>00067632</t>
  </si>
  <si>
    <t>00067633</t>
  </si>
  <si>
    <t>Modular SMP Hair - AK</t>
  </si>
  <si>
    <t>Uvi_Wig_Spell_Evg_A-K</t>
  </si>
  <si>
    <t>EncAlikr02Melee1HRedguardM01;EncAlikr02Melee2HBerserkRedguardM01;EncAlikr02Melee1HRedguardM02;EncAlikr02Melee2HBerserkRedguardM02</t>
  </si>
  <si>
    <t>00067634</t>
  </si>
  <si>
    <t>EncAlikr02MissileRedguardM01;EncAlikr02MissileRedguardM02</t>
  </si>
  <si>
    <t>EncAlikr03MagicRedguardM</t>
  </si>
  <si>
    <t>0006764F</t>
  </si>
  <si>
    <t>EncAlikr03TemplateMagic</t>
  </si>
  <si>
    <t>EncAlikr03Melee1HRedguardM01</t>
  </si>
  <si>
    <t>00067650</t>
  </si>
  <si>
    <t>Modular SMP Hair - AL</t>
  </si>
  <si>
    <t>EncAlikr03TemplateMelee</t>
  </si>
  <si>
    <t>Uvi_Wig_Spell_Evg_A-L</t>
  </si>
  <si>
    <t>EncAlikr03Melee1HRedguardM02</t>
  </si>
  <si>
    <t>00067653</t>
  </si>
  <si>
    <t>EncAlikr03Melee2HBerserkRedguardM01</t>
  </si>
  <si>
    <t>00067651</t>
  </si>
  <si>
    <t>EncAlikr03Melee2HBerserkRedguardM02</t>
  </si>
  <si>
    <t>00067654</t>
  </si>
  <si>
    <t>Modular SMP Hair - AM1</t>
  </si>
  <si>
    <t>Uvi_Wig_Spell_Evg_A-M1</t>
  </si>
  <si>
    <t>EncAlikr03MissileRedguardM01</t>
  </si>
  <si>
    <t>00067652</t>
  </si>
  <si>
    <t>EncAlikr03TemplateMissile</t>
  </si>
  <si>
    <t>EncAlikr03MissileRedguardM02</t>
  </si>
  <si>
    <t>00067655</t>
  </si>
  <si>
    <t>00067635</t>
  </si>
  <si>
    <t>Modular SMP Hair - AM2</t>
  </si>
  <si>
    <t>Uvi_Wig_Spell_Evg_A-M2</t>
  </si>
  <si>
    <t>00067636</t>
  </si>
  <si>
    <t>EncAlikr03Melee1HRedguardM01;EncAlikr03Melee2HBerserkRedguardM01;EncAlikr03Melee1HRedguardM02;EncAlikr03Melee2HBerserkRedguardM02</t>
  </si>
  <si>
    <t>00067637</t>
  </si>
  <si>
    <t>EncAlikr03MissileRedguardM01;EncAlikr03MissileRedguardM02</t>
  </si>
  <si>
    <t>EncAlikr04MagicRedguardM</t>
  </si>
  <si>
    <t>00067656</t>
  </si>
  <si>
    <t>EncAlikr04TemplateMagic</t>
  </si>
  <si>
    <t>EncAlikr04Melee1HRedguardM01</t>
  </si>
  <si>
    <t>00067657</t>
  </si>
  <si>
    <t>Modular SMP Hair - B</t>
  </si>
  <si>
    <t>EncAlikr04TemplateMelee</t>
  </si>
  <si>
    <t>EncAlikr04Melee1HRedguardM02</t>
  </si>
  <si>
    <t>Uvi_Wig_Spell_Evg_B</t>
  </si>
  <si>
    <t>0006765A</t>
  </si>
  <si>
    <t>EncAlikr04Melee2HBerserkRedguardM01</t>
  </si>
  <si>
    <t>00067658</t>
  </si>
  <si>
    <t>EncAlikr04Melee2HBerserkRedguardM02</t>
  </si>
  <si>
    <t>0006765B</t>
  </si>
  <si>
    <t>EncAlikr04MissileRedguardM01</t>
  </si>
  <si>
    <t>00067659</t>
  </si>
  <si>
    <t>EncAlikr04TemplateMissile</t>
  </si>
  <si>
    <t>EncAlikr04MissileRedguardM02</t>
  </si>
  <si>
    <t>Modular SMP Hair - BA</t>
  </si>
  <si>
    <t>0006765C</t>
  </si>
  <si>
    <t>Uvi_Wig_Spell_Evg_B-A</t>
  </si>
  <si>
    <t>00067638</t>
  </si>
  <si>
    <t>00067639</t>
  </si>
  <si>
    <t>EncAlikr04Melee1HRedguardM01;EncAlikr04Melee2HBerserkRedguardM01;EncAlikr04Melee1HRedguardM02;EncAlikr04Melee2HBerserkRedguardM02</t>
  </si>
  <si>
    <t>0006763A</t>
  </si>
  <si>
    <t>Modular SMP Hair - BB</t>
  </si>
  <si>
    <t>Uvi_Wig_Spell_Evg_B-B</t>
  </si>
  <si>
    <t>EncAlikr04MissileRedguardM01;EncAlikr04MissileRedguardM02</t>
  </si>
  <si>
    <t>EncAlikr05MagicRedguardM</t>
  </si>
  <si>
    <t>0006765D</t>
  </si>
  <si>
    <t>EncAlikr05TemplateMagic</t>
  </si>
  <si>
    <t>EncAlikr05Melee1HRedguardM01</t>
  </si>
  <si>
    <t>0006765E</t>
  </si>
  <si>
    <t>EncAlikr05TemplateMelee</t>
  </si>
  <si>
    <t>EncAlikr05Melee1HRedguardM02</t>
  </si>
  <si>
    <t>00067665</t>
  </si>
  <si>
    <t>Modular SMP Hair - BC</t>
  </si>
  <si>
    <t>Uvi_Wig_Spell_Evg_B-C</t>
  </si>
  <si>
    <t>EncAlikr05Melee2HBerserkRedguardM01</t>
  </si>
  <si>
    <t>0006765F</t>
  </si>
  <si>
    <t>EncAlikr05Melee2HBerserkRedguardM02</t>
  </si>
  <si>
    <t>00067666</t>
  </si>
  <si>
    <t>EncAlikr05MissileRedguardM01</t>
  </si>
  <si>
    <t>00067660</t>
  </si>
  <si>
    <t>EncAlikr05TemplateMissile</t>
  </si>
  <si>
    <t>Modular SMP Hair - BD</t>
  </si>
  <si>
    <t>EncAlikr05MissileRedguardM02</t>
  </si>
  <si>
    <t>00067667</t>
  </si>
  <si>
    <t>Uvi_Wig_Spell_Evg_B-D</t>
  </si>
  <si>
    <t>0006763B</t>
  </si>
  <si>
    <t>0006763C</t>
  </si>
  <si>
    <t>EncAlikr05Melee1HRedguardM01;EncAlikr05Melee2HBerserkRedguardM01;EncAlikr05Melee1HRedguardM02;EncAlikr05Melee2HBerserkRedguardM02</t>
  </si>
  <si>
    <t>0006763D</t>
  </si>
  <si>
    <t>Modular SMP Hair - BE</t>
  </si>
  <si>
    <t>Uvi_Wig_Spell_Evg_B-E</t>
  </si>
  <si>
    <t>EncAlikr05MissileRedguardM01;EncAlikr05MissileRedguardM02</t>
  </si>
  <si>
    <t>EncAlikr06MagicRedguardM</t>
  </si>
  <si>
    <t>00067661</t>
  </si>
  <si>
    <t>EncAlikr06TemplateMagic</t>
  </si>
  <si>
    <t>EncAlikr06Melee1HRedguardM01</t>
  </si>
  <si>
    <t>00067662</t>
  </si>
  <si>
    <t>EncAlikr06TemplateMelee</t>
  </si>
  <si>
    <t>EncAlikr06Melee1HRedguardM02</t>
  </si>
  <si>
    <t>00067668</t>
  </si>
  <si>
    <t>Modular SMP Hair - BF</t>
  </si>
  <si>
    <t>EncAlikr06Melee2HBerserkRedguardM01</t>
  </si>
  <si>
    <t>00067663</t>
  </si>
  <si>
    <t>Uvi_Wig_Spell_Evg_B-F</t>
  </si>
  <si>
    <t>EncAlikr06Melee2HBerserkRedguardM02</t>
  </si>
  <si>
    <t>00067669</t>
  </si>
  <si>
    <t>EncAlikr06MissileRedguardM01</t>
  </si>
  <si>
    <t>00067664</t>
  </si>
  <si>
    <t>EncAlikr06TemplateMissile</t>
  </si>
  <si>
    <t>EncAlikr06MissileRedguardM02</t>
  </si>
  <si>
    <t>0006766A</t>
  </si>
  <si>
    <t>Modular SMP Hair - BG</t>
  </si>
  <si>
    <t>Uvi_Wig_Spell_Evg_B-G</t>
  </si>
  <si>
    <t>0006763E</t>
  </si>
  <si>
    <t>0006763F</t>
  </si>
  <si>
    <t>EncAlikr06Melee1HRedguardM01;EncAlikr06Melee2HBerserkRedguardM01;EncAlikr06Melee1HRedguardM02;EncAlikr06Melee2HBerserkRedguardM02</t>
  </si>
  <si>
    <t>00067640</t>
  </si>
  <si>
    <t>Modular SMP Hair - BI</t>
  </si>
  <si>
    <t>EncAlikr06MissileRedguardM01;EncAlikr06MissileRedguardM02</t>
  </si>
  <si>
    <t>Uvi_Wig_Spell_Evg_B-I</t>
  </si>
  <si>
    <t>EncBandit00Template</t>
  </si>
  <si>
    <t>00039CF4</t>
  </si>
  <si>
    <t>Bandit</t>
  </si>
  <si>
    <t>EncBandit02TemplateMelee;EncBandit03TemplateMelee;EncBandit04TemplateMelee;EncBandit05TemplateMelee;EncBandit06TemplateMelee;EncBandit01TemplateMissile;EncBandit02TemplateMissile;EncBandit03TemplateMissile;EncBandit04TemplateMissile;EncBandit05TemplateMissile;EncBandit06TemplateMissile;EncBandit01TemplateMelee;EncBandit01TemplateMagic;EncBandit02TemplateMagic;EncBandit03TemplateMagic;EncBandit04TemplateMagic;EncBandit05TemplateMagic;EncBandit06TemplateMagic;EncOrcHunterTemplate</t>
  </si>
  <si>
    <t>EncBandit01MagicArgonianM</t>
  </si>
  <si>
    <t>000C3C9F</t>
  </si>
  <si>
    <t>EncBandit01MagicBretonF</t>
  </si>
  <si>
    <t>00039D32</t>
  </si>
  <si>
    <t>Modular SMP Hair - BJ</t>
  </si>
  <si>
    <t>TreasCorpseBanditBretonFemale</t>
  </si>
  <si>
    <t>Uvi_Wig_Spell_Evg_B-J</t>
  </si>
  <si>
    <t>00039D33</t>
  </si>
  <si>
    <t>TreasCorpseBanditBretonMale;dunBleakFallsCorpseBretonThomas;pinewoodGroveLumberjack;dunFolgunthurAdventurer1;Rahd</t>
  </si>
  <si>
    <t>00039D34</t>
  </si>
  <si>
    <t>TreasCorpseBanditDarkElfFemale;dunRannLvlWarlockAssistant;dunChillwindFalmerPrisoner02</t>
  </si>
  <si>
    <t>00039D35</t>
  </si>
  <si>
    <t>Modular SMP Hair - BK</t>
  </si>
  <si>
    <t>Uvi_Wig_Spell_Evg_B-K</t>
  </si>
  <si>
    <t>TreasCorpseBanditDarkElfMale;DLC2dunFahlbtharzExplorerCorpse01</t>
  </si>
  <si>
    <t>EncBandit01MagicNordF</t>
  </si>
  <si>
    <t>00039D36</t>
  </si>
  <si>
    <t>00039D37</t>
  </si>
  <si>
    <t>Modular SMP Hair - BL</t>
  </si>
  <si>
    <t>00039CF7</t>
  </si>
  <si>
    <t>Uvi_Wig_Spell_Evg_B-L</t>
  </si>
  <si>
    <t>TreasCorpseBanditImperialFemale;EncBandit01Melee1HTankImperialF;dunHalldirsDeadBandit02;dunChillwindFalmerPrisoner08;dunFolgunthurAdventurer2</t>
  </si>
  <si>
    <t>00039CF6</t>
  </si>
  <si>
    <t>TreasCorpseBanditImperialMale;EncBandit01Melee1HTankImperialM;dunHalldirsDeadBandit03;DEMO_BanditTankImperialM;TreasCorpseMarkarthGuard;dunChillwindFalmerPrisoner07;dunFolgunthurAdventurer5;dunWhiteRiverWatchCagedBandit;dunReachwaterRockAdventurer;DLC1ArkngthamzAdventurer;dunChillwindAdventurer01</t>
  </si>
  <si>
    <t>EncBandit01Melee1HKhajiitM</t>
  </si>
  <si>
    <t>Modular SMP Hair - BM1</t>
  </si>
  <si>
    <t>000C3CA0</t>
  </si>
  <si>
    <t>Uvi_Wig_Spell_Evg_B-M1</t>
  </si>
  <si>
    <t>00039CF5</t>
  </si>
  <si>
    <t>DLC2dunHaknir_LvlBanditGhostMelee1HFemale_Weak;Agna;DLC2dunHaknir_LvlBanditGhostMelee2HFemale_Weak;DLC2dunHaknir_LvlBanditGhostMeleeBerserkerFemale_Weak</t>
  </si>
  <si>
    <t>TreasCorpseBanditNordFemale;EncBandit01Melee2HNordF;EncBandit01Melee1HTankNordF;TreasCorpseSilverHandNordFemale;dunMossMotherHunter01;EncBandit01Melee2HBerserkNordF</t>
  </si>
  <si>
    <t>0001BCD8</t>
  </si>
  <si>
    <t>Modular SMP Hair - BM2</t>
  </si>
  <si>
    <t>Rhorlak;Vald;DLC2dunHaknir_LvlBanditGhostMelee2HMale_Weak</t>
  </si>
  <si>
    <t>Uvi_Wig_Spell_Evg_B-M2</t>
  </si>
  <si>
    <t>TreasCorpseBanditNordMale;EncBandit01Melee2HNordM;EncBandit01Melee1HTankNordM;dunHalldirsDeadBandit01;dunHagsEnd_DBAssassin;CorpsePrisonerNordMale;TreasCorpseSilverHandNordMale;dunPOIReachTrollslayer;dunMossMotherHunter02;dunChillwindFalmerPrisoner04;dunFolgunthurAdventurer3;DLC2dunGyldenhulAdventurer;EncBandit01Melee2HBerserkNordM</t>
  </si>
  <si>
    <t>00039CFA</t>
  </si>
  <si>
    <t>dunAlftandYagGraGortwog;DA05Hunter16_01DeadMissile_Batum;DLC2dunHaknir_LvlBanditGhostMeleeTankMale_Weak</t>
  </si>
  <si>
    <t>TreasCorpseBanditOrcMale;EncBandit01Melee2HOrcM;EncBandit01Melee1HTankOrcM;DunRannveigsFastTreasCorpseBanditOrcMale;dunDeepwoodAdventurer1;dunSleepingTreeCampBanditCorpse;EncBandit01Melee2HBerserkOrcM;dunChillwindAdventurer02;dunRebelsCairnAdventurer</t>
  </si>
  <si>
    <t>EncBandit01Melee1HRedguardF</t>
  </si>
  <si>
    <t>00039CF8</t>
  </si>
  <si>
    <t>Modular SMP Hair - C</t>
  </si>
  <si>
    <t>TreasCorpseBanditRedguardFemale;EncBandit01Melee2HRedguardF;EncBandit01Melee1HTankRedguardF;dunChillwindFalmerPrisoner06;dunFolgunthurAdventurer4;EncBandit01Melee2HBerserkRedguardF</t>
  </si>
  <si>
    <t>Uvi_Wig_Spell_Evg_C</t>
  </si>
  <si>
    <t>00039CF9</t>
  </si>
  <si>
    <t>TreasCorpseBanditRedguardMale;EncBandit01Melee2HRedguardM;EncBandit01Melee1HTankRedguardM;DunPOIVolcanicTreasSmugglerCorpse;EncBandit01Melee2HBerserkRedguardM</t>
  </si>
  <si>
    <t>EncBandit01Melee1HTankImperialF</t>
  </si>
  <si>
    <t>0003DE87</t>
  </si>
  <si>
    <t>Modular SMP Hair - CA</t>
  </si>
  <si>
    <t>0003DE88</t>
  </si>
  <si>
    <t>Uvi_Wig_Spell_Evg_C-A</t>
  </si>
  <si>
    <t>EncBandit01Melee1HTankNordF</t>
  </si>
  <si>
    <t>0003DE89</t>
  </si>
  <si>
    <t>EncBandit01Melee1HTankNordM</t>
  </si>
  <si>
    <t>0003DE8A</t>
  </si>
  <si>
    <t>Modular SMP Hair - CB</t>
  </si>
  <si>
    <t>Uvi_Wig_Spell_Evg_C-B</t>
  </si>
  <si>
    <t>0003DE8B</t>
  </si>
  <si>
    <t>0003DE8C</t>
  </si>
  <si>
    <t>EncBandit01Melee1HTankRedguardM</t>
  </si>
  <si>
    <t>0003DE8D</t>
  </si>
  <si>
    <t>Modular SMP Hair - CC</t>
  </si>
  <si>
    <t>0003DE6E</t>
  </si>
  <si>
    <t>Uvi_Wig_Spell_Evg_C-C</t>
  </si>
  <si>
    <t>EncBandit01Melee2HBerserkNordM</t>
  </si>
  <si>
    <t>0003DE6F</t>
  </si>
  <si>
    <t>0003DE70</t>
  </si>
  <si>
    <t>Modular SMP Hair - CD</t>
  </si>
  <si>
    <t>EncBandit01Melee2HOrcM</t>
  </si>
  <si>
    <t>Uvi_Wig_Spell_Evg_C-D</t>
  </si>
  <si>
    <t>dunChillwindAdventurer02;dunRebelsCairnAdventurer</t>
  </si>
  <si>
    <t>EncBandit01Melee2HBerserkRedguardF</t>
  </si>
  <si>
    <t>0003DE71</t>
  </si>
  <si>
    <t>EncBandit01Melee2HRedguardF</t>
  </si>
  <si>
    <t>0003DE72</t>
  </si>
  <si>
    <t>EncBandit01Melee2HRedguardM</t>
  </si>
  <si>
    <t>Modular SMP Hair - CE</t>
  </si>
  <si>
    <t>0003CF5C</t>
  </si>
  <si>
    <t>Uvi_Wig_Spell_Evg_C-E</t>
  </si>
  <si>
    <t>DLC2dunHaknir_LvlBanditGhostMelee2HFemale_Weak;DLC2dunHaknir_LvlBanditGhostMeleeBerserkerFemale_Weak</t>
  </si>
  <si>
    <t>0003CF5D</t>
  </si>
  <si>
    <t>0003CF5E</t>
  </si>
  <si>
    <t>Modular SMP Hair - CF</t>
  </si>
  <si>
    <t>Uvi_Wig_Spell_Evg_C-F</t>
  </si>
  <si>
    <t>EncBandit01Melee2HBerserkOrcM;dunChillwindAdventurer02;dunRebelsCairnAdventurer</t>
  </si>
  <si>
    <t>0003DE53</t>
  </si>
  <si>
    <t>0003DE54</t>
  </si>
  <si>
    <t>Modular SMP Hair - CG</t>
  </si>
  <si>
    <t>00037BFC</t>
  </si>
  <si>
    <t>Uvi_Wig_Spell_Evg_C-G</t>
  </si>
  <si>
    <t>EncBandit01TemplateMissile</t>
  </si>
  <si>
    <t>EncBandit01MissileImperialM</t>
  </si>
  <si>
    <t>00037BFE</t>
  </si>
  <si>
    <t>EncBandit01MissileKhajiitM</t>
  </si>
  <si>
    <t>0009A549</t>
  </si>
  <si>
    <t>EncBandit01MissileNordF</t>
  </si>
  <si>
    <t>Modular SMP Hair - CI</t>
  </si>
  <si>
    <t>00037BFF</t>
  </si>
  <si>
    <t>Uvi_Wig_Spell_Evg_C-I</t>
  </si>
  <si>
    <t>EncBandit01MissileNordM</t>
  </si>
  <si>
    <t>00037C00</t>
  </si>
  <si>
    <t>EncBandit01MissileRedguardF</t>
  </si>
  <si>
    <t>00037C06</t>
  </si>
  <si>
    <t>EncBandit01MissileRedguardM</t>
  </si>
  <si>
    <t>00037C07</t>
  </si>
  <si>
    <t>Modular SMP Hair - CJ</t>
  </si>
  <si>
    <t>Uvi_Wig_Spell_Evg_C-J</t>
  </si>
  <si>
    <t>EncBandit01MissileWoodElfF</t>
  </si>
  <si>
    <t>00039D65</t>
  </si>
  <si>
    <t>TreasCorpseBanditWoodElfFemale</t>
  </si>
  <si>
    <t>00039D66</t>
  </si>
  <si>
    <t>DLC2dunHaknir_LvlBanditGhostMeleeMissileMale_Weak;Gadnor</t>
  </si>
  <si>
    <t>TreasCorpseBanditWoodElfMale;dunPOIBanditCorpse2</t>
  </si>
  <si>
    <t>00039D31</t>
  </si>
  <si>
    <t>Modular SMP Hair - CK</t>
  </si>
  <si>
    <t>Uvi_Wig_Spell_Evg_C-K</t>
  </si>
  <si>
    <t>EncBandit01MagicBretonF;EncBandit01MagicBretonM;EncBandit01MagicDarkElfF;EncBandit01MagicDarkElfM;EncBandit01MagicNordF;EncBandit01MagicNordM;WarehouseNPCWebActorSit;EncBandit01MagicArgonianM;dunLiarsRetreatWenchCorpse</t>
  </si>
  <si>
    <t>encGhost01Magic</t>
  </si>
  <si>
    <t>00039CFD</t>
  </si>
  <si>
    <t>EncBandit01Melee1HNordM;EncBandit01Melee1HNordF;EncBandit01Melee1HImperialM;EncBandit01Melee1HImperialF;EncBandit01Melee1HRedguardF;EncBandit01Melee1HRedguardM;EncBandit01Melee1HOrcM;DEMO_Bandit1HNordM;EncBandit01Melee1HKhajiitM;DLC1Isran;DLC1Gunmar;DLC1Agmaer;DLC1Vanik;DLC1DawnguardExterior01;DLC1DawnguardExterior02;DLC1DawnguardExterior03;DLC1DawnguardExterior04;EncDawnguard00Template;DLC1Beleval;DLC1RargalThrallmaster;DLC1FuraBloodmouth;DLC1Hestla;DLC1SaloniaCaelia;DLC1Modhna;DLC1FlorentiusBaenius;DLC1SorineJurard;DLC1Vingalmo;DLC1GaranMarethi;DLC1FeranSadri;DLC1Ronthil;DLC1Stalf;DLC1Malkus;DLC1Namasur;DLC1Orthjolf</t>
  </si>
  <si>
    <t>DLC1EncHunterTemplate;DLC1EncVampireTemplate;DLC1EncHunterTemplateMagic;DLC1EncHunterTemplateMissile;DLC1EncVampireTemplateMagic;DLC1EncVampireTemplateMissile</t>
  </si>
  <si>
    <t>00037C2C</t>
  </si>
  <si>
    <t>Modular SMP Hair - CL</t>
  </si>
  <si>
    <t>Uvi_Wig_Spell_Evg_C-L</t>
  </si>
  <si>
    <t>EncBandit01MissileImperialF;EncBandit01MissileImperialM;EncBandit01MissileNordF;EncBandit01MissileNordM;EncBandit01MissileRedguardF;EncBandit01MissileRedguardM;EncBandit01MissileWoodElfF;EncBandit01MissileWoodElfM;EncBandit01MissileKhajiitM</t>
  </si>
  <si>
    <t>EncBandit02Boss1HImperialF</t>
  </si>
  <si>
    <t>0003DEDE</t>
  </si>
  <si>
    <t>EncBandit02Melee1HImperialF</t>
  </si>
  <si>
    <t>EncBandit02Boss1HImperialM</t>
  </si>
  <si>
    <t>0003DEDF</t>
  </si>
  <si>
    <t>EncBandit02Melee1HImperialM</t>
  </si>
  <si>
    <t>Modular SMP Hair - CM1</t>
  </si>
  <si>
    <t>EncBandit02Boss1HNordF</t>
  </si>
  <si>
    <t>0003DEE0</t>
  </si>
  <si>
    <t>Uvi_Wig_Spell_Evg_C-M1</t>
  </si>
  <si>
    <t>EncBandit02Melee1HNordF</t>
  </si>
  <si>
    <t>EncBandit02Boss1HNordM</t>
  </si>
  <si>
    <t>0003DEE1</t>
  </si>
  <si>
    <t>EncBandit02Melee1HNordM</t>
  </si>
  <si>
    <t>0003DEE2</t>
  </si>
  <si>
    <t>EncBandit02Melee1HRedguardF</t>
  </si>
  <si>
    <t>Modular SMP Hair - CM2</t>
  </si>
  <si>
    <t>Uvi_Wig_Spell_Evg_C-M2</t>
  </si>
  <si>
    <t>EncBandit02Boss1HRedguardM</t>
  </si>
  <si>
    <t>0003DEE3</t>
  </si>
  <si>
    <t>EncBandit02Melee1HRedguardM</t>
  </si>
  <si>
    <t>EncBandit02Boss2HImperialM</t>
  </si>
  <si>
    <t>0003DEF0</t>
  </si>
  <si>
    <t>EncBandit02Boss2HNordM</t>
  </si>
  <si>
    <t>0003DEE4</t>
  </si>
  <si>
    <t>Modular SMP Hair - D</t>
  </si>
  <si>
    <t>EncBandit02Boss2HOrcM</t>
  </si>
  <si>
    <t>0003DEE5</t>
  </si>
  <si>
    <t>Uvi_Wig_Spell_Evg_D</t>
  </si>
  <si>
    <t>EncBandit02Melee1HOrcM</t>
  </si>
  <si>
    <t>EncBandit02Boss2HRedguardM</t>
  </si>
  <si>
    <t>0003DEE6</t>
  </si>
  <si>
    <t>EncBandit02MagicArgonianM</t>
  </si>
  <si>
    <t>000C3CA1</t>
  </si>
  <si>
    <t>EncBandit02TemplateMagic</t>
  </si>
  <si>
    <t>EncBandit02MagicBretonF</t>
  </si>
  <si>
    <t>00039D39</t>
  </si>
  <si>
    <t>Modular SMP Hair - DB</t>
  </si>
  <si>
    <t>Uvi_Wig_Spell_Evg_D-B</t>
  </si>
  <si>
    <t>EncBandit02MagicBretonM</t>
  </si>
  <si>
    <t>00039D3A</t>
  </si>
  <si>
    <t>EncBandit02MagicDarkElfF</t>
  </si>
  <si>
    <t>00039D3B</t>
  </si>
  <si>
    <t>EncBandit02MagicDarkElfM</t>
  </si>
  <si>
    <t>00039D3C</t>
  </si>
  <si>
    <t>Modular SMP Hair - DC</t>
  </si>
  <si>
    <t>Uvi_Wig_Spell_Evg_D-C</t>
  </si>
  <si>
    <t>00039D3D</t>
  </si>
  <si>
    <t>EncBandit02MagicNordM</t>
  </si>
  <si>
    <t>00039D3E</t>
  </si>
  <si>
    <t>00039CFE</t>
  </si>
  <si>
    <t>EncBandit02TemplateMelee</t>
  </si>
  <si>
    <t>Modular SMP Hair - DE</t>
  </si>
  <si>
    <t>EncBandit02Melee1HTankImperialF</t>
  </si>
  <si>
    <t>00039CFF</t>
  </si>
  <si>
    <t>Uvi_Wig_Spell_Evg_D-E</t>
  </si>
  <si>
    <t>EncBandit02Boss1HImperialM;EncBandit02Boss2HImperialM</t>
  </si>
  <si>
    <t>EncBandit02Melee1HTankImperialM</t>
  </si>
  <si>
    <t>000C3CA2</t>
  </si>
  <si>
    <t>00039D00</t>
  </si>
  <si>
    <t>Modular SMP Hair - DF</t>
  </si>
  <si>
    <t>Uvi_Wig_Spell_Evg_D-F</t>
  </si>
  <si>
    <t>EncBandit02Melee2HNordF;EncBandit02Melee1HTankNordF;EncBandit02Melee2HBerserkNordF</t>
  </si>
  <si>
    <t>00039D01</t>
  </si>
  <si>
    <t>EncBandit02Boss1HNordM;EncBandit02Boss2HNordM;DLC2EncTribalWerebearA;DLC2WE07EncTribalWerebearB;DLC2EncTribalWerebearB;DLC2EncTribalWerebearC</t>
  </si>
  <si>
    <t>EncBandit02Melee2HNordM;EncBandit02Melee1HTankNordM;EncBandit02Melee2HBerserkNordM</t>
  </si>
  <si>
    <t>00039D03</t>
  </si>
  <si>
    <t>Modular SMP Hair - DG</t>
  </si>
  <si>
    <t>EncBandit02Melee2HOrcM;EncBandit02Melee1HTankOrcM;EncBandit02Melee2HBerserkOrcM</t>
  </si>
  <si>
    <t>Uvi_Wig_Spell_Evg_D-G</t>
  </si>
  <si>
    <t>00039D04</t>
  </si>
  <si>
    <t>EncBandit02Melee2HRedguardF;EncBandit02Melee1HTankRedguardF;EncBandit02Melee2HBerserkRedguardF</t>
  </si>
  <si>
    <t>00039D05</t>
  </si>
  <si>
    <t>Modular SMP Hair - DH</t>
  </si>
  <si>
    <t>Uvi_Wig_Spell_Evg_D-H</t>
  </si>
  <si>
    <t>EncBandit02Boss1HRedguardM;EncBandit02Boss2HRedguardM</t>
  </si>
  <si>
    <t>EncBandit02Melee2HRedguardM;EncBandit02Melee1HTankRedguardM;EncBandit02Melee2HBerserkRedguardM</t>
  </si>
  <si>
    <t>Modular SMP Hair - DI</t>
  </si>
  <si>
    <t>0003DE8E</t>
  </si>
  <si>
    <t>Uvi_Wig_Spell_Evg_D-I</t>
  </si>
  <si>
    <t>0003DE8F</t>
  </si>
  <si>
    <t>EncBandit02Melee1HTankNordF</t>
  </si>
  <si>
    <t>0003DE90</t>
  </si>
  <si>
    <t>Modular SMP Hair - DJ</t>
  </si>
  <si>
    <t>EncBandit02Melee1HTankNordM</t>
  </si>
  <si>
    <t>Uvi_Wig_Spell_Evg_D-J</t>
  </si>
  <si>
    <t>0003DE91</t>
  </si>
  <si>
    <t>EncBandit02Melee1HTankOrcM</t>
  </si>
  <si>
    <t>0003DE92</t>
  </si>
  <si>
    <t>EncBandit02Melee1HTankRedguardF</t>
  </si>
  <si>
    <t>0003DE93</t>
  </si>
  <si>
    <t>Modular SMP Hair - DK</t>
  </si>
  <si>
    <t>EncBandit02Melee1HTankRedguardM</t>
  </si>
  <si>
    <t>Uvi_Wig_Spell_Evg_D-K</t>
  </si>
  <si>
    <t>0003DE94</t>
  </si>
  <si>
    <t>EncBandit02Melee2HBerserkNordF</t>
  </si>
  <si>
    <t>0003DEA4</t>
  </si>
  <si>
    <t>EncBandit02Melee2HNordF</t>
  </si>
  <si>
    <t>0003DEA5</t>
  </si>
  <si>
    <t>EncBandit02Melee2HNordM</t>
  </si>
  <si>
    <t>Modular SMP Hair - DL</t>
  </si>
  <si>
    <t>DLC2EncTribalWerebearA;DLC2WE07EncTribalWerebearB;DLC2EncTribalWerebearB;DLC2EncTribalWerebearC</t>
  </si>
  <si>
    <t>Uvi_Wig_Spell_Evg_D-L</t>
  </si>
  <si>
    <t>EncBandit02Melee2HBerserkOrcM</t>
  </si>
  <si>
    <t>0003DEA6</t>
  </si>
  <si>
    <t>EncBandit02Melee2HOrcM</t>
  </si>
  <si>
    <t>EncBandit02Melee2HBerserkRedguardF</t>
  </si>
  <si>
    <t>0003DEA7</t>
  </si>
  <si>
    <t>EncBandit02Melee2HRedguardF</t>
  </si>
  <si>
    <t>EncBandit02Melee2HBerserkRedguardM</t>
  </si>
  <si>
    <t>0003DEA8</t>
  </si>
  <si>
    <t>EncBandit02Melee2HRedguardM</t>
  </si>
  <si>
    <t>0003DE55</t>
  </si>
  <si>
    <t>Modular SMP Hair - DM1</t>
  </si>
  <si>
    <t>Uvi_Wig_Spell_Evg_D-M1</t>
  </si>
  <si>
    <t>0003DE56</t>
  </si>
  <si>
    <t>0003DE57</t>
  </si>
  <si>
    <t>Modular SMP Hair - DM2</t>
  </si>
  <si>
    <t>0003DE58</t>
  </si>
  <si>
    <t>Uvi_Wig_Spell_Evg_D-M2</t>
  </si>
  <si>
    <t>0003DE59</t>
  </si>
  <si>
    <t>EncBandit02MissileImperialF</t>
  </si>
  <si>
    <t>00037C01</t>
  </si>
  <si>
    <t>EncBandit02TemplateMissile</t>
  </si>
  <si>
    <t>EncBandit02MissileImperialM</t>
  </si>
  <si>
    <t>Modular SMP Hair - E</t>
  </si>
  <si>
    <t>00037C02</t>
  </si>
  <si>
    <t>Uvi_Wig_Spell_Evg_E</t>
  </si>
  <si>
    <t>EncBandit02MissileKhajiitM</t>
  </si>
  <si>
    <t>0009A54A</t>
  </si>
  <si>
    <t>EncBandit02MissileNordF</t>
  </si>
  <si>
    <t>00037C03</t>
  </si>
  <si>
    <t>EncBandit02MissileNordM</t>
  </si>
  <si>
    <t>00037C05</t>
  </si>
  <si>
    <t>Modular SMP Hair - EB</t>
  </si>
  <si>
    <t>Uvi_Wig_Spell_Evg_E-B</t>
  </si>
  <si>
    <t>EncBandit02MissileRedguardF</t>
  </si>
  <si>
    <t>00037C08</t>
  </si>
  <si>
    <t>EncBandit02MissileRedguardM</t>
  </si>
  <si>
    <t>00037C0C</t>
  </si>
  <si>
    <t>Modular SMP Hair - EC</t>
  </si>
  <si>
    <t>EncBandit02MissileWoodElfF</t>
  </si>
  <si>
    <t>00039D67</t>
  </si>
  <si>
    <t>EncBandit02MissileWoodElfM</t>
  </si>
  <si>
    <t>00039D68</t>
  </si>
  <si>
    <t>00039D38</t>
  </si>
  <si>
    <t>Bandit Outlaw</t>
  </si>
  <si>
    <t>Uvi_Wig_Spell_Evg_E-C</t>
  </si>
  <si>
    <t>EncBandit02MagicBretonF;EncBandit02MagicBretonM;EncBandit02MagicDarkElfF;EncBandit02MagicDarkElfM;EncBandit02MagicNordF;EncBandit02MagicNordM;EncBandit02MagicArgonianM</t>
  </si>
  <si>
    <t>encGhost02Magic</t>
  </si>
  <si>
    <t>0001BCD9</t>
  </si>
  <si>
    <t>EncBandit02Melee1HImperialF;EncBandit02Melee1HImperialM;EncBandit02Melee1HNordF;EncBandit02Melee1HNordM;EncBandit02Melee1HOrcM;EncBandit02Melee1HRedguardF;EncBandit02Melee1HRedguardM;EncBandit02Melee1HKhajiitM</t>
  </si>
  <si>
    <t>00037C2D</t>
  </si>
  <si>
    <t>Modular SMP Hair - EE</t>
  </si>
  <si>
    <t>Uvi_Wig_Spell_Evg_E-E</t>
  </si>
  <si>
    <t>EncBandit02MissileImperialF;EncBandit02MissileImperialM;EncBandit02MissileNordF;EncBandit02MissileNordM;EncBandit02MissileRedguardF;EncBandit02MissileRedguardM;EncBandit02MissileWoodElfF;EncBandit02MissileWoodElfM;EncBandit02MissileKhajiitM</t>
  </si>
  <si>
    <t>EncBandit03Boss1HImperialF</t>
  </si>
  <si>
    <t>0003DEE7</t>
  </si>
  <si>
    <t>EncBandit03Melee1HImperialF</t>
  </si>
  <si>
    <t>EncBandit03Boss1HImperialM</t>
  </si>
  <si>
    <t>0003DEE8</t>
  </si>
  <si>
    <t>Modular SMP Hair - EF</t>
  </si>
  <si>
    <t>EncBandit03Melee1HImperialM</t>
  </si>
  <si>
    <t>Uvi_Wig_Spell_Evg_E-F</t>
  </si>
  <si>
    <t>EncBandit03Boss1HNordF</t>
  </si>
  <si>
    <t>0003DEE9</t>
  </si>
  <si>
    <t>EncBandit03Melee1HNordF</t>
  </si>
  <si>
    <t>EncBandit03Boss1HNordM</t>
  </si>
  <si>
    <t>0003DEEA</t>
  </si>
  <si>
    <t>EncBandit03Boss1HRedguardF</t>
  </si>
  <si>
    <t>0003DEEB</t>
  </si>
  <si>
    <t>Modular SMP Hair - EG</t>
  </si>
  <si>
    <t>EncBandit03Melee1HRedguardF</t>
  </si>
  <si>
    <t>Uvi_Wig_Spell_Evg_E-G</t>
  </si>
  <si>
    <t>EncBandit03Boss1HRedguardM</t>
  </si>
  <si>
    <t>0003DEEC</t>
  </si>
  <si>
    <t>EncBandit03Melee1HRedguardM</t>
  </si>
  <si>
    <t>EncBandit03Boss2HImperialM</t>
  </si>
  <si>
    <t>0003DEF1</t>
  </si>
  <si>
    <t>EncBandit03Boss2HNordM</t>
  </si>
  <si>
    <t>0003DEED</t>
  </si>
  <si>
    <t>Modular SMP Hair - EH</t>
  </si>
  <si>
    <t>EncBandit03Melee1HNordM</t>
  </si>
  <si>
    <t>Uvi_Wig_Spell_Evg_E-H</t>
  </si>
  <si>
    <t>EncBandit03Boss2HOrcM</t>
  </si>
  <si>
    <t>0003DEEE</t>
  </si>
  <si>
    <t>HairMaleOrc11</t>
  </si>
  <si>
    <t>EncBandit03Melee1HOrcM</t>
  </si>
  <si>
    <t>EncBandit03Boss2HRedguardM</t>
  </si>
  <si>
    <t>0003DEEF</t>
  </si>
  <si>
    <t>EncBandit03MagicArgonianM</t>
  </si>
  <si>
    <t>000C3CA3</t>
  </si>
  <si>
    <t>Modular SMP Hair - EI</t>
  </si>
  <si>
    <t>EncBandit03TemplateMagic</t>
  </si>
  <si>
    <t>Uvi_Wig_Spell_Evg_E-I</t>
  </si>
  <si>
    <t>EncBandit03MagicBretonF</t>
  </si>
  <si>
    <t>00039D44</t>
  </si>
  <si>
    <t>EncBandit03MagicBretonM</t>
  </si>
  <si>
    <t>00039D45</t>
  </si>
  <si>
    <t>EncBandit03MagicDarkElfF</t>
  </si>
  <si>
    <t>00039D46</t>
  </si>
  <si>
    <t>Modular SMP Hair - EJ</t>
  </si>
  <si>
    <t>Uvi_Wig_Spell_Evg_E-J</t>
  </si>
  <si>
    <t>EncBandit03MagicDarkElfM</t>
  </si>
  <si>
    <t>00039D47</t>
  </si>
  <si>
    <t>EncBandit03MagicNordF</t>
  </si>
  <si>
    <t>00039D48</t>
  </si>
  <si>
    <t>EncBandit03MagicNordM</t>
  </si>
  <si>
    <t>00039D49</t>
  </si>
  <si>
    <t>Modular SMP Hair - EK</t>
  </si>
  <si>
    <t>00039D06</t>
  </si>
  <si>
    <t>Uvi_Wig_Spell_Evg_E-K</t>
  </si>
  <si>
    <t>EncBandit03Melee1HTankImperialF</t>
  </si>
  <si>
    <t>00039D07</t>
  </si>
  <si>
    <t>EncBandit03Boss1HImperialM;EncBandit03Boss2HImperialM</t>
  </si>
  <si>
    <t>EncBandit03Melee1HTankImperialM</t>
  </si>
  <si>
    <t>EncBandit03Melee1HKhajiitM</t>
  </si>
  <si>
    <t>000C3CA4</t>
  </si>
  <si>
    <t>Modular SMP Hair - EL</t>
  </si>
  <si>
    <t>Uvi_Wig_Spell_Evg_E-L</t>
  </si>
  <si>
    <t>00039D08</t>
  </si>
  <si>
    <t>EncBandit03Melee2HNordF;EncBandit03Melee1HTankNordF;EncBandit03Melee2HBerserkNordF</t>
  </si>
  <si>
    <t>00039D09</t>
  </si>
  <si>
    <t>EncBandit03Boss2HNordM;DLC2WE07EncTribalWerebearC;dunWaywardPassGhost</t>
  </si>
  <si>
    <t>EncBandit03Melee2HNordM;EncBandit03Melee2HBerserkNordM;EncBandit03Melee1HTankNordM</t>
  </si>
  <si>
    <t>00039D0B</t>
  </si>
  <si>
    <t>Modular SMP Hair - EM1</t>
  </si>
  <si>
    <t>EncBandit03Melee2HOrcM;EncBandit03Melee1HTankOrcM;EncBandit03Melee2HBerserkOrcM</t>
  </si>
  <si>
    <t>00039D0C</t>
  </si>
  <si>
    <t>Uvi_Wig_Spell_Evg_E-M1</t>
  </si>
  <si>
    <t>EncBandit03Melee2HRedguardF;EncBandit03Melee1HTankRedguardF;EncBandit03Melee2HBerserkRedguardF</t>
  </si>
  <si>
    <t>00039D0D</t>
  </si>
  <si>
    <t>EncBandit03Boss1HRedguardM;EncBandit03Boss2HRedguardM</t>
  </si>
  <si>
    <t>EncBandit03Melee2HRedguardM;EncBandit03Melee1HTankRedguardM;EncBandit03Melee2HBerserkRedguardM</t>
  </si>
  <si>
    <t>0003DE95</t>
  </si>
  <si>
    <t>Modular SMP Hair - EM2</t>
  </si>
  <si>
    <t>Uvi_Wig_Spell_Evg_E-M2</t>
  </si>
  <si>
    <t>0003DE96</t>
  </si>
  <si>
    <t>EncBandit03Melee1HTankNordF</t>
  </si>
  <si>
    <t>0003DE97</t>
  </si>
  <si>
    <t>0003DE98</t>
  </si>
  <si>
    <t>EncBandit03Melee2HNordM</t>
  </si>
  <si>
    <t>EncBandit03Melee1HTankOrcM</t>
  </si>
  <si>
    <t>0003DE99</t>
  </si>
  <si>
    <t>EncBandit03Melee1HTankRedguardF</t>
  </si>
  <si>
    <t>Modular SMP Hair - F</t>
  </si>
  <si>
    <t>0003DE9A</t>
  </si>
  <si>
    <t>Uvi_Wig_Spell_Evg_F</t>
  </si>
  <si>
    <t>EncBandit03Melee1HTankRedguardM</t>
  </si>
  <si>
    <t>0003DE9B</t>
  </si>
  <si>
    <t>EncBandit03Melee2HBerserkNordF</t>
  </si>
  <si>
    <t>0003DE73</t>
  </si>
  <si>
    <t>EncBandit03Melee2HNordF</t>
  </si>
  <si>
    <t>0003DE74</t>
  </si>
  <si>
    <t>Modular SMP Hair - FB</t>
  </si>
  <si>
    <t>Uvi_Wig_Spell_Evg_F-B</t>
  </si>
  <si>
    <t>EncBandit03Melee2HBerserkOrcM</t>
  </si>
  <si>
    <t>0003DE75</t>
  </si>
  <si>
    <t>EncBandit03Melee2HOrcM</t>
  </si>
  <si>
    <t>EncBandit03Melee2HBerserkRedguardF</t>
  </si>
  <si>
    <t>0003DE76</t>
  </si>
  <si>
    <t>EncBandit03Melee2HRedguardF</t>
  </si>
  <si>
    <t>EncBandit03Melee2HBerserkRedguardM</t>
  </si>
  <si>
    <t>0003DE77</t>
  </si>
  <si>
    <t>Modular SMP Hair - FC</t>
  </si>
  <si>
    <t>Uvi_Wig_Spell_Evg_F-C</t>
  </si>
  <si>
    <t>EncBandit03Melee2HRedguardM</t>
  </si>
  <si>
    <t>0003DE5A</t>
  </si>
  <si>
    <t>0003DE5B</t>
  </si>
  <si>
    <t>DLC2WE07EncTribalWerebearC;dunWaywardPassGhost</t>
  </si>
  <si>
    <t>EncBandit03Melee2HBerserkNordM;EncBandit03Melee1HTankNordM</t>
  </si>
  <si>
    <t>Modular SMP Hair - FE</t>
  </si>
  <si>
    <t>0003DE5C</t>
  </si>
  <si>
    <t>Uvi_Wig_Spell_Evg_F-E</t>
  </si>
  <si>
    <t>0003DE5D</t>
  </si>
  <si>
    <t>0003DE5E</t>
  </si>
  <si>
    <t>EncBandit03MissileImperialF</t>
  </si>
  <si>
    <t>Modular SMP Hair - FF</t>
  </si>
  <si>
    <t>00037C2F</t>
  </si>
  <si>
    <t>Uvi_Wig_Spell_Evg_F-F</t>
  </si>
  <si>
    <t>EncBandit03TemplateMissile</t>
  </si>
  <si>
    <t>EncBandit03MissileImperialM</t>
  </si>
  <si>
    <t>00037C30</t>
  </si>
  <si>
    <t>EncBandit03MissileKhajiitM</t>
  </si>
  <si>
    <t>0009A54D</t>
  </si>
  <si>
    <t>EncBandit03MissileNordF</t>
  </si>
  <si>
    <t>00037C31</t>
  </si>
  <si>
    <t>Modular SMP Hair - FG</t>
  </si>
  <si>
    <t>Uvi_Wig_Spell_Evg_F-G</t>
  </si>
  <si>
    <t>EncBandit03MissileNordM</t>
  </si>
  <si>
    <t>00037C32</t>
  </si>
  <si>
    <t>EncBandit03MissileRedguardF</t>
  </si>
  <si>
    <t>00037C33</t>
  </si>
  <si>
    <t>EncBandit03MissileRedguardM</t>
  </si>
  <si>
    <t>00037C34</t>
  </si>
  <si>
    <t>Modular SMP Hair - FH</t>
  </si>
  <si>
    <t>Uvi_Wig_Spell_Evg_F-H</t>
  </si>
  <si>
    <t>EncBandit03MissileWoodElfF</t>
  </si>
  <si>
    <t>00039D69</t>
  </si>
  <si>
    <t>EncBandit03MissileWoodElfM</t>
  </si>
  <si>
    <t>00039D6A</t>
  </si>
  <si>
    <t>00039D43</t>
  </si>
  <si>
    <t>Bandit Thug</t>
  </si>
  <si>
    <t>Modular SMP Hair - FI</t>
  </si>
  <si>
    <t>Uvi_Wig_Spell_Evg_F-I</t>
  </si>
  <si>
    <t>EncBandit03MagicBretonF;EncBandit03MagicBretonM;EncBandit03MagicDarkElfF;EncBandit03MagicDarkElfM;EncBandit03MagicNordF;EncBandit03MagicNordM;EncBandit03MagicArgonianM</t>
  </si>
  <si>
    <t>encGhost03Magic</t>
  </si>
  <si>
    <t>0001BCDA</t>
  </si>
  <si>
    <t>EncBandit03Melee1HImperialF;EncBandit03Melee1HImperialM;EncBandit03Melee1HNordF;EncBandit03Melee1HNordM;EncBandit03Melee1HOrcM;EncBandit03Melee1HRedguardF;EncBandit03Melee1HRedguardM;EncBandit03Boss1HNordM;EncBandit03Melee1HKhajiitM;dunSkybornAltarAdventurer</t>
  </si>
  <si>
    <t>00037C2E</t>
  </si>
  <si>
    <t>EncBandit03MissileImperialF;EncBandit03MissileImperialM;EncBandit03MissileNordF;EncBandit03MissileNordM;EncBandit03MissileRedguardF;EncBandit03MissileRedguardM;EncBandit03MissileWoodElfF;EncBandit03MissileWoodElfM;EncBandit03MissileKhajiitM</t>
  </si>
  <si>
    <t>Modular SMP Hair - FJ</t>
  </si>
  <si>
    <t>EncBandit04Boss1HImperialF</t>
  </si>
  <si>
    <t>0003DEF2</t>
  </si>
  <si>
    <t>Uvi_Wig_Spell_Evg_F-J</t>
  </si>
  <si>
    <t>EncBandit04Melee1HImperialF</t>
  </si>
  <si>
    <t>EncBandit04Boss1HImperialM</t>
  </si>
  <si>
    <t>0003DEF3</t>
  </si>
  <si>
    <t>EncBandit04Melee1HImperialM</t>
  </si>
  <si>
    <t>EncBandit04Boss1HNordF</t>
  </si>
  <si>
    <t>0003DEF4</t>
  </si>
  <si>
    <t>EncBandit04Melee1HNordF</t>
  </si>
  <si>
    <t>EncBandit04Boss1HNordM</t>
  </si>
  <si>
    <t>0003DEF5</t>
  </si>
  <si>
    <t>Modular SMP Hair - FK</t>
  </si>
  <si>
    <t>EncBandit04Melee1HNordM</t>
  </si>
  <si>
    <t>EncBandit04Boss1HRedguardF</t>
  </si>
  <si>
    <t>Uvi_Wig_Spell_Evg_F-K</t>
  </si>
  <si>
    <t>0003DEF6</t>
  </si>
  <si>
    <t>EncBandit04Melee1HRedguardF</t>
  </si>
  <si>
    <t>EncBandit04Boss1HRedguardM</t>
  </si>
  <si>
    <t>0003DEF7</t>
  </si>
  <si>
    <t>EncBandit04Melee1HRedguardM</t>
  </si>
  <si>
    <t>EncBandit04Boss2HImperialM</t>
  </si>
  <si>
    <t>0003DEFB</t>
  </si>
  <si>
    <t>Modular SMP Hair - FL</t>
  </si>
  <si>
    <t>EncBandit04Boss2HNordM</t>
  </si>
  <si>
    <t>0003DEF8</t>
  </si>
  <si>
    <t>Uvi_Wig_Spell_Evg_F-L</t>
  </si>
  <si>
    <t>EncBandit04Boss2HOrcM</t>
  </si>
  <si>
    <t>0003DEF9</t>
  </si>
  <si>
    <t>EncBandit04Melee1HOrcM</t>
  </si>
  <si>
    <t>EncBandit04Boss2HRedguardM</t>
  </si>
  <si>
    <t>0003DEFA</t>
  </si>
  <si>
    <t>EncBandit04MagicArgonianM</t>
  </si>
  <si>
    <t>000C3CA5</t>
  </si>
  <si>
    <t>Modular SMP Hair - FM1</t>
  </si>
  <si>
    <t>EncBandit04TemplateMagic</t>
  </si>
  <si>
    <t>Uvi_Wig_Spell_Evg_F-M1</t>
  </si>
  <si>
    <t>EncBandit04MagicBretonF</t>
  </si>
  <si>
    <t>00039D4B</t>
  </si>
  <si>
    <t>00039D4C</t>
  </si>
  <si>
    <t>EncBandit04MagicDarkElfF</t>
  </si>
  <si>
    <t>00039D4D</t>
  </si>
  <si>
    <t>Modular SMP Hair - FM2</t>
  </si>
  <si>
    <t>Uvi_Wig_Spell_Evg_F-M2</t>
  </si>
  <si>
    <t>00039D4E</t>
  </si>
  <si>
    <t>EncBandit04MagicNordF</t>
  </si>
  <si>
    <t>00039D4F</t>
  </si>
  <si>
    <t>EncBandit04MagicNordM</t>
  </si>
  <si>
    <t>00039D50</t>
  </si>
  <si>
    <t>Modular SMP Hair - G</t>
  </si>
  <si>
    <t>00039D0E</t>
  </si>
  <si>
    <t>Uvi_Wig_Spell_Evg_G</t>
  </si>
  <si>
    <t>EncBandit04TemplateMelee</t>
  </si>
  <si>
    <t>EncBandit04Melee1HTankImperialF</t>
  </si>
  <si>
    <t>00039D0F</t>
  </si>
  <si>
    <t>EncBandit04Boss1HImperialM;EncBandit04Boss2HImperialM</t>
  </si>
  <si>
    <t>EncBandit04Melee1HTankImperialM</t>
  </si>
  <si>
    <t>EncBandit04Melee1HKhajiitM</t>
  </si>
  <si>
    <t>000C3CA6</t>
  </si>
  <si>
    <t>Modular SMP Hair - GB</t>
  </si>
  <si>
    <t>Uvi_Wig_Spell_Evg_G-B</t>
  </si>
  <si>
    <t>00039D10</t>
  </si>
  <si>
    <t>EncBandit04Melee2HNordF;EncBandit04Melee1HTankNordF;EncBandit04Melee2HBerserkNordF</t>
  </si>
  <si>
    <t>00039D11</t>
  </si>
  <si>
    <t>EncBandit04Boss1HNordM;EncBandit04Boss2HNordM;DLC2WE07EncTribalWerebearA</t>
  </si>
  <si>
    <t>EncBandit04Melee2HNordM;EncBandit04Melee1HTankNordM;EncBandit04Melee2HBerserkNordM</t>
  </si>
  <si>
    <t>00039D13</t>
  </si>
  <si>
    <t>Modular SMP Hair - GC</t>
  </si>
  <si>
    <t>Uvi_Wig_Spell_Evg_G-C</t>
  </si>
  <si>
    <t>EncBandit04Melee2HOrcM;EncBandit04Melee1HTankOrcM;EncBandit04Melee2HBerserkOrcM</t>
  </si>
  <si>
    <t>00039D14</t>
  </si>
  <si>
    <t>EncBandit04Melee2HRedguardF;EncBandit04Melee1HTankRedguardF;EncBandit04Melee2HBerserkRedguardF</t>
  </si>
  <si>
    <t>00039D15</t>
  </si>
  <si>
    <t>EncBandit04Boss1HRedguardM;EncBandit04Boss2HRedguardM</t>
  </si>
  <si>
    <t>EncBandit04Melee2HRedguardM;EncBandit04Melee1HTankRedguardM;EncBandit04Melee2HBerserkRedguardM</t>
  </si>
  <si>
    <t>0003DE9D</t>
  </si>
  <si>
    <t>Modular SMP Hair - GE</t>
  </si>
  <si>
    <t>Uvi_Wig_Spell_Evg_G-E</t>
  </si>
  <si>
    <t>0003DE9E</t>
  </si>
  <si>
    <t>EncBandit04Melee1HTankNordF</t>
  </si>
  <si>
    <t>0003DE9F</t>
  </si>
  <si>
    <t>EncBandit04Melee1HTankNordM</t>
  </si>
  <si>
    <t>0003DEA0</t>
  </si>
  <si>
    <t>Modular SMP Hair - GF</t>
  </si>
  <si>
    <t>Uvi_Wig_Spell_Evg_G-F</t>
  </si>
  <si>
    <t>EncBandit04Melee1HTankOrcM</t>
  </si>
  <si>
    <t>0003DEA1</t>
  </si>
  <si>
    <t>EncBandit04Melee1HTankRedguardF</t>
  </si>
  <si>
    <t>0003DEA2</t>
  </si>
  <si>
    <t>EncBandit04Melee1HTankRedguardM</t>
  </si>
  <si>
    <t>0003DEA3</t>
  </si>
  <si>
    <t>Modular SMP Hair - GG</t>
  </si>
  <si>
    <t>Uvi_Wig_Spell_Evg_G-G</t>
  </si>
  <si>
    <t>EncBandit04Melee2HBerserkNordF</t>
  </si>
  <si>
    <t>0003DE78</t>
  </si>
  <si>
    <t>EncBandit04Melee2HNordF</t>
  </si>
  <si>
    <t>Modular SMP Hair - GH</t>
  </si>
  <si>
    <t>0003DE79</t>
  </si>
  <si>
    <t>EncBandit04Melee2HNordM</t>
  </si>
  <si>
    <t>Uvi_Wig_Spell_Evg_G-H</t>
  </si>
  <si>
    <t>EncBandit04Melee2HBerserkOrcM</t>
  </si>
  <si>
    <t>0003DE7A</t>
  </si>
  <si>
    <t>EncBandit04Melee2HOrcM</t>
  </si>
  <si>
    <t>EncBandit04Melee2HBerserkRedguardF</t>
  </si>
  <si>
    <t>0003DE7B</t>
  </si>
  <si>
    <t>EncBandit04Melee2HRedguardF</t>
  </si>
  <si>
    <t>Modular SMP Hair - GI</t>
  </si>
  <si>
    <t>EncBandit04Melee2HBerserkRedguardM</t>
  </si>
  <si>
    <t>0003DE7C</t>
  </si>
  <si>
    <t>Uvi_Wig_Spell_Evg_G-I</t>
  </si>
  <si>
    <t>EncBandit04Melee2HRedguardM</t>
  </si>
  <si>
    <t>0003DE5F</t>
  </si>
  <si>
    <t>0003DE60</t>
  </si>
  <si>
    <t>Modular SMP Hair - GJ</t>
  </si>
  <si>
    <t>Uvi_Wig_Spell_Evg_G-J</t>
  </si>
  <si>
    <t>0003DE61</t>
  </si>
  <si>
    <t>0003DE62</t>
  </si>
  <si>
    <t>0003DE63</t>
  </si>
  <si>
    <t>Modular SMP Hair - GK</t>
  </si>
  <si>
    <t>Uvi_Wig_Spell_Evg_G-K</t>
  </si>
  <si>
    <t>EncBandit04MissileImperialF</t>
  </si>
  <si>
    <t>00037C36</t>
  </si>
  <si>
    <t>EncBandit04TemplateMissile</t>
  </si>
  <si>
    <t>EncBandit04MissileImperialM</t>
  </si>
  <si>
    <t>00037C37</t>
  </si>
  <si>
    <t>EncBandit04MissileKhajiitM</t>
  </si>
  <si>
    <t>0009A54E</t>
  </si>
  <si>
    <t>Modular SMP Hair - GL</t>
  </si>
  <si>
    <t>Uvi_Wig_Spell_Evg_G-L</t>
  </si>
  <si>
    <t>EncBandit04MissileNordF</t>
  </si>
  <si>
    <t>00037C38</t>
  </si>
  <si>
    <t>EncBandit04MissileNordM</t>
  </si>
  <si>
    <t>00037C39</t>
  </si>
  <si>
    <t>EncBandit04MissileRedguardF</t>
  </si>
  <si>
    <t>00037C3A</t>
  </si>
  <si>
    <t>Modular SMP Hair - GM1</t>
  </si>
  <si>
    <t>Uvi_Wig_Spell_Evg_G-M1</t>
  </si>
  <si>
    <t>EncBandit04MissileRedguardM</t>
  </si>
  <si>
    <t>00037C3B</t>
  </si>
  <si>
    <t>EncBandit04MissileWoodElfF</t>
  </si>
  <si>
    <t>00039D6B</t>
  </si>
  <si>
    <t>EncBandit04MissileWoodElfM</t>
  </si>
  <si>
    <t>00039D6C</t>
  </si>
  <si>
    <t>Modular SMP Hair - GM2</t>
  </si>
  <si>
    <t>Uvi_Wig_Spell_Evg_G-M2</t>
  </si>
  <si>
    <t>00039D4A</t>
  </si>
  <si>
    <t>Bandit Highwayman</t>
  </si>
  <si>
    <t>EncBandit04MagicBretonF;EncBandit04MagicBretonM;EncBandit04MagicDarkElfF;EncBandit04MagicDarkElfM;EncBandit04MagicNordF;EncBandit04MagicNordM;EncBandit04MagicArgonianM</t>
  </si>
  <si>
    <t>encGhost04Magic</t>
  </si>
  <si>
    <t>0001E60D</t>
  </si>
  <si>
    <t>Modular SMP Hair - H</t>
  </si>
  <si>
    <t>EncBandit04Melee1HImperialF;EncBandit04Melee1HImperialM;EncBandit04Melee1HNordF;EncBandit04Melee1HNordM;EncBandit04Melee1HOrcM;EncBandit04Melee1HRedguardF;EncBandit04Melee1HRedguardM;EncBandit04Melee1HKhajiitM</t>
  </si>
  <si>
    <t>Uvi_Wig_Spell_Evg_H</t>
  </si>
  <si>
    <t>00037C35</t>
  </si>
  <si>
    <t>EncBandit04MissileImperialF;EncBandit04MissileImperialM;EncBandit04MissileNordF;EncBandit04MissileNordM;EncBandit04MissileRedguardF;EncBandit04MissileRedguardM;EncBandit04MissileWoodElfF;EncBandit04MissileWoodElfM;EncBandit04MissileKhajiitM</t>
  </si>
  <si>
    <t>EncBandit05Boss1HImperialF</t>
  </si>
  <si>
    <t>0003DEFC</t>
  </si>
  <si>
    <t>EncBandit05Melee1HImperialF</t>
  </si>
  <si>
    <t>EncBandit05Boss1HImperialM</t>
  </si>
  <si>
    <t>0003DEFD</t>
  </si>
  <si>
    <t>EncBandit05Melee1HImperialM</t>
  </si>
  <si>
    <t>EncBandit05Boss1HNordF</t>
  </si>
  <si>
    <t>Modular SMP Hair - HB</t>
  </si>
  <si>
    <t>0003DEFE</t>
  </si>
  <si>
    <t>Uvi_Wig_Spell_Evg_H-B</t>
  </si>
  <si>
    <t>EncBandit05Melee1HNordF</t>
  </si>
  <si>
    <t>EncBandit05Boss1HNordM</t>
  </si>
  <si>
    <t>0003DEFF</t>
  </si>
  <si>
    <t>EncBandit05Melee1HNordM</t>
  </si>
  <si>
    <t>EncBandit05Boss1HRedguardF</t>
  </si>
  <si>
    <t>0003DF00</t>
  </si>
  <si>
    <t>EncBandit05Melee1HRedguardF</t>
  </si>
  <si>
    <t>EncBandit05Boss1HRedguardM</t>
  </si>
  <si>
    <t>0003DF01</t>
  </si>
  <si>
    <t>Modular SMP Hair - HC</t>
  </si>
  <si>
    <t>EncBandit05Melee1HRedguardM</t>
  </si>
  <si>
    <t>Uvi_Wig_Spell_Evg_H-C</t>
  </si>
  <si>
    <t>EncBandit05Boss2HImperialM</t>
  </si>
  <si>
    <t>0003DF05</t>
  </si>
  <si>
    <t>EncBandit05Boss2HNordM</t>
  </si>
  <si>
    <t>0003DF02</t>
  </si>
  <si>
    <t>EncBandit05Boss2HOrcM</t>
  </si>
  <si>
    <t>0003DF03</t>
  </si>
  <si>
    <t>Modular SMP Hair - HE</t>
  </si>
  <si>
    <t>EncBandit05Melee1HOrcM</t>
  </si>
  <si>
    <t>Uvi_Wig_Spell_Evg_H-E</t>
  </si>
  <si>
    <t>EncBandit05Boss2HRedguardM</t>
  </si>
  <si>
    <t>0003DF04</t>
  </si>
  <si>
    <t>EncBandit05MagicArgonianM</t>
  </si>
  <si>
    <t>000C3CA7</t>
  </si>
  <si>
    <t>EncBandit05TemplateMagic</t>
  </si>
  <si>
    <t>EncBandit05MagicBretonF</t>
  </si>
  <si>
    <t>00039D52</t>
  </si>
  <si>
    <t>Modular SMP Hair - HF</t>
  </si>
  <si>
    <t>Uvi_Wig_Spell_Evg_H-F</t>
  </si>
  <si>
    <t>EncBandit05MagicBretonM</t>
  </si>
  <si>
    <t>00039D53</t>
  </si>
  <si>
    <t>EncBandit05MagicDarkElfF</t>
  </si>
  <si>
    <t>00039D54</t>
  </si>
  <si>
    <t>EncBandit05MagicDarkElfM</t>
  </si>
  <si>
    <t>00039D55</t>
  </si>
  <si>
    <t>Modular SMP Hair - HG</t>
  </si>
  <si>
    <t>Uvi_Wig_Spell_Evg_H-G</t>
  </si>
  <si>
    <t>EncBandit05MagicNordF</t>
  </si>
  <si>
    <t>00039D56</t>
  </si>
  <si>
    <t>EncBandit05MagicNordM</t>
  </si>
  <si>
    <t>00039D57</t>
  </si>
  <si>
    <t>00039D16</t>
  </si>
  <si>
    <t>Modular SMP Hair - HH</t>
  </si>
  <si>
    <t>EncBandit05TemplateMelee</t>
  </si>
  <si>
    <t>EncBandit05Melee1HTankImperialF</t>
  </si>
  <si>
    <t>Uvi_Wig_Spell_Evg_H-H</t>
  </si>
  <si>
    <t>00039D17</t>
  </si>
  <si>
    <t>EncBandit05Boss1HImperialM;EncBandit05Boss2HImperialM</t>
  </si>
  <si>
    <t>EncBandit05Melee1HTankImperialM</t>
  </si>
  <si>
    <t>EncBandit05Melee1HKhajiitM</t>
  </si>
  <si>
    <t>000C3CA8</t>
  </si>
  <si>
    <t>Modular SMP Hair - HI</t>
  </si>
  <si>
    <t>00039D18</t>
  </si>
  <si>
    <t>Uvi_Wig_Spell_Evg_H-I</t>
  </si>
  <si>
    <t>EncBandit05Melee2HNordF;EncBandit05Melee1HTankNordF;EncBandit05Melee2HBerserkNordF</t>
  </si>
  <si>
    <t>00039D19</t>
  </si>
  <si>
    <t>EncBandit05Boss1HNordM;EncBandit05Boss2HNordM</t>
  </si>
  <si>
    <t>EncBandit05Melee2HNordM;EncBandit05Melee1HTankNordM;EncBandit05Melee2HBerserkNordM</t>
  </si>
  <si>
    <t>00039D1B</t>
  </si>
  <si>
    <t>Modular SMP Hair - HJ</t>
  </si>
  <si>
    <t>Uvi_Wig_Spell_Evg_H-J</t>
  </si>
  <si>
    <t>EncBandit05Boss2HOrcM;E3DemoTowerBanditMelee</t>
  </si>
  <si>
    <t>EncBandit05Melee2HOrcM;EncBandit05Melee1HTankOrcM;EncBandit05Melee2HBerserkOrcM</t>
  </si>
  <si>
    <t>00039D1C</t>
  </si>
  <si>
    <t>EncBandit05Melee2HRedguardF;EncBandit05Melee1HTankRedguardF;EncBandit05Melee2HBerserkRedguardF</t>
  </si>
  <si>
    <t>00039D1D</t>
  </si>
  <si>
    <t>EncBandit05Boss1HRedguardM;EncBandit05Boss2HRedguardM</t>
  </si>
  <si>
    <t>Modular SMP Hair - HK</t>
  </si>
  <si>
    <t>EncBandit05Melee2HRedguardM;EncBandit05Melee1HTankRedguardM;EncBandit05Melee2HBerserkRedguardM</t>
  </si>
  <si>
    <t>Uvi_Wig_Spell_Evg_H-K</t>
  </si>
  <si>
    <t>0003DEA9</t>
  </si>
  <si>
    <t>0003DEAA</t>
  </si>
  <si>
    <t>Modular SMP Hair - HL</t>
  </si>
  <si>
    <t>EncBandit05Melee1HTankNordF</t>
  </si>
  <si>
    <t>0003DEAB</t>
  </si>
  <si>
    <t>Uvi_Wig_Spell_Evg_H-L</t>
  </si>
  <si>
    <t>EncBandit05Melee1HTankNordM</t>
  </si>
  <si>
    <t>0003DEAC</t>
  </si>
  <si>
    <t>EncBandit05Melee1HTankOrcM</t>
  </si>
  <si>
    <t>0003DEAD</t>
  </si>
  <si>
    <t>Modular SMP Hair - HM1</t>
  </si>
  <si>
    <t>EncBandit05Melee1HTankRedguardF</t>
  </si>
  <si>
    <t>0003DEAE</t>
  </si>
  <si>
    <t>Uvi_Wig_Spell_Evg_H-M1</t>
  </si>
  <si>
    <t>EncBandit05Melee1HTankRedguardM</t>
  </si>
  <si>
    <t>0003DEAF</t>
  </si>
  <si>
    <t>EncBandit05Melee2HBerserkNordF</t>
  </si>
  <si>
    <t>0003DE7D</t>
  </si>
  <si>
    <t>Modular SMP Hair - HM2</t>
  </si>
  <si>
    <t>EncBandit05Melee2HNordF</t>
  </si>
  <si>
    <t>Uvi_Wig_Spell_Evg_H-M2</t>
  </si>
  <si>
    <t>EncBandit05Melee2HBerserkNordM</t>
  </si>
  <si>
    <t>0003DE7E</t>
  </si>
  <si>
    <t>EncBandit05Melee2HNordM</t>
  </si>
  <si>
    <t>EncBandit05Melee2HBerserkOrcM</t>
  </si>
  <si>
    <t>0003DE7F</t>
  </si>
  <si>
    <t>EncBandit05Melee2HBerserkRedguardF</t>
  </si>
  <si>
    <t>0003DE80</t>
  </si>
  <si>
    <t>Modular SMP Hair - I</t>
  </si>
  <si>
    <t>EncBandit05Melee2HRedguardF</t>
  </si>
  <si>
    <t>Uvi_Wig_Spell_Evg_I</t>
  </si>
  <si>
    <t>EncBandit05Melee2HBerserkRedguardM</t>
  </si>
  <si>
    <t>0003DE81</t>
  </si>
  <si>
    <t>EncBandit05Melee2HRedguardM</t>
  </si>
  <si>
    <t>0003DE64</t>
  </si>
  <si>
    <t>Modular SMP Hair - IB</t>
  </si>
  <si>
    <t>0003DE65</t>
  </si>
  <si>
    <t>Uvi_Wig_Spell_Evg_I-B</t>
  </si>
  <si>
    <t>0003DE66</t>
  </si>
  <si>
    <t>0003DE67</t>
  </si>
  <si>
    <t>Modular SMP Hair - IC</t>
  </si>
  <si>
    <t>Uvi_Wig_Spell_Evg_I-C</t>
  </si>
  <si>
    <t>0003DE68</t>
  </si>
  <si>
    <t>EncBandit05MissileImperialF</t>
  </si>
  <si>
    <t>00037C3D</t>
  </si>
  <si>
    <t>EncBandit05MissileImperialM</t>
  </si>
  <si>
    <t>00037C3E</t>
  </si>
  <si>
    <t>Modular SMP Hair - IE</t>
  </si>
  <si>
    <t>Uvi_Wig_Spell_Evg_I-E</t>
  </si>
  <si>
    <t>EncBandit05MissileKhajiitM</t>
  </si>
  <si>
    <t>0009A550</t>
  </si>
  <si>
    <t>EncBandit05MissileNordF</t>
  </si>
  <si>
    <t>00037C3F</t>
  </si>
  <si>
    <t>EncBandit05MissileNordM</t>
  </si>
  <si>
    <t>00037C40</t>
  </si>
  <si>
    <t>Modular SMP Hair - IF</t>
  </si>
  <si>
    <t>Uvi_Wig_Spell_Evg_I-F</t>
  </si>
  <si>
    <t>00037C41</t>
  </si>
  <si>
    <t>EncBandit05MissileRedguardM</t>
  </si>
  <si>
    <t>00037C42</t>
  </si>
  <si>
    <t>EncBandit05MissileWoodElfF</t>
  </si>
  <si>
    <t>Modular SMP Hair - IG</t>
  </si>
  <si>
    <t>00039D6D</t>
  </si>
  <si>
    <t>Uvi_Wig_Spell_Evg_I-G</t>
  </si>
  <si>
    <t>EncBandit05MissileWoodElfM</t>
  </si>
  <si>
    <t>00039D6E</t>
  </si>
  <si>
    <t>00039D51</t>
  </si>
  <si>
    <t>Bandit Plunderer</t>
  </si>
  <si>
    <t>Modular SMP Hair - IH</t>
  </si>
  <si>
    <t>EncBandit05MagicBretonF;EncBandit05MagicBretonM;EncBandit05MagicDarkElfF;EncBandit05MagicDarkElfM;EncBandit05MagicNordF;EncBandit05MagicNordM;EncBandit05MagicArgonianM</t>
  </si>
  <si>
    <t>encGhost05Magic</t>
  </si>
  <si>
    <t>Uvi_Wig_Spell_Evg_I-H</t>
  </si>
  <si>
    <t>0001E610</t>
  </si>
  <si>
    <t>EncBandit05Melee1HImperialF;EncBandit05Melee1HImperialM;EncBandit05Melee1HNordF;EncBandit05Melee1HNordM;EncBandit05Melee1HOrcM;EncBandit05Melee1HRedguardF;EncBandit05Melee1HRedguardM;EncBandit05Melee1HKhajiitM</t>
  </si>
  <si>
    <t>00037C3C</t>
  </si>
  <si>
    <t>EncBandit05MissileImperialF;EncBandit05MissileImperialM;EncBandit05MissileNordF;EncBandit05MissileNordM;EncBandit05MissileRedguardF;EncBandit05MissileRedguardM;EncBandit05MissileWoodElfF;EncBandit05MissileWoodElfM;EncBandit05MissileKhajiitM;E3demoThief</t>
  </si>
  <si>
    <t>EncBandit06Boss1HImperialF</t>
  </si>
  <si>
    <t>Modular SMP Hair - II</t>
  </si>
  <si>
    <t>0003DF06</t>
  </si>
  <si>
    <t>Uvi_Wig_Spell_Evg_I-I</t>
  </si>
  <si>
    <t>EncBandit06Melee1HImperialF</t>
  </si>
  <si>
    <t>EncBandit06Boss1HImperialM</t>
  </si>
  <si>
    <t>0003DF07</t>
  </si>
  <si>
    <t>EncBandit06Melee1HImperialM</t>
  </si>
  <si>
    <t>EncBandit06Boss1HNordF</t>
  </si>
  <si>
    <t>0003DF08</t>
  </si>
  <si>
    <t>EncBandit06Melee1HNordF</t>
  </si>
  <si>
    <t>Modular SMP Hair - IJ</t>
  </si>
  <si>
    <t>EncBandit06Boss1HNordM</t>
  </si>
  <si>
    <t>0003DF09</t>
  </si>
  <si>
    <t>Uvi_Wig_Spell_Evg_I-J</t>
  </si>
  <si>
    <t>EncBandit06Boss1HRedguardF</t>
  </si>
  <si>
    <t>0003DF0A</t>
  </si>
  <si>
    <t>EncBandit06Melee1HRedguardF</t>
  </si>
  <si>
    <t>EncBandit06Boss1HRedguardM</t>
  </si>
  <si>
    <t>0003DF0B</t>
  </si>
  <si>
    <t>EncBandit06Melee1HRedguardM</t>
  </si>
  <si>
    <t>Modular SMP Hair - IK</t>
  </si>
  <si>
    <t>EncBandit06Boss2HImperialM</t>
  </si>
  <si>
    <t>Uvi_Wig_Spell_Evg_I-K</t>
  </si>
  <si>
    <t>0003DF0F</t>
  </si>
  <si>
    <t>EncBandit06Boss2HNordM</t>
  </si>
  <si>
    <t>0003DF0C</t>
  </si>
  <si>
    <t>EncBandit06Boss2HOrcM</t>
  </si>
  <si>
    <t>0003DF0D</t>
  </si>
  <si>
    <t>EncBandit06Melee1HOrcM</t>
  </si>
  <si>
    <t>Modular SMP Hair - IL</t>
  </si>
  <si>
    <t>EncBandit06Boss2HRedguardM</t>
  </si>
  <si>
    <t>0003DF0E</t>
  </si>
  <si>
    <t>Uvi_Wig_Spell_Evg_I-L</t>
  </si>
  <si>
    <t>EncBandit06MagicArgonianM</t>
  </si>
  <si>
    <t>000C3CA9</t>
  </si>
  <si>
    <t>EncBandit06TemplateMagic</t>
  </si>
  <si>
    <t>EncBandit06MagicBretonF</t>
  </si>
  <si>
    <t>00039D59</t>
  </si>
  <si>
    <t>Modular SMP Hair - IM1</t>
  </si>
  <si>
    <t>Uvi_Wig_Spell_Evg_I-M1</t>
  </si>
  <si>
    <t>EncBandit06MagicBretonM</t>
  </si>
  <si>
    <t>00039D5A</t>
  </si>
  <si>
    <t>EncBandit06MagicDarkElfF</t>
  </si>
  <si>
    <t>00039D5B</t>
  </si>
  <si>
    <t>EncBandit06MagicDarkElfM</t>
  </si>
  <si>
    <t>00039D5C</t>
  </si>
  <si>
    <t>EncBandit06MagicNordF</t>
  </si>
  <si>
    <t>Modular SMP Hair - IM2</t>
  </si>
  <si>
    <t>00039D5D</t>
  </si>
  <si>
    <t>Uvi_Wig_Spell_Evg_I-M2</t>
  </si>
  <si>
    <t>EncBandit06MagicNordM</t>
  </si>
  <si>
    <t>00039D5E</t>
  </si>
  <si>
    <t>00039D1E</t>
  </si>
  <si>
    <t>Modular SMP Hair - J</t>
  </si>
  <si>
    <t>EncBandit06TemplateMelee</t>
  </si>
  <si>
    <t>Uvi_Wig_Spell_Evg_J</t>
  </si>
  <si>
    <t>EncBandit06Melee1HTankImperialF</t>
  </si>
  <si>
    <t>00039D1F</t>
  </si>
  <si>
    <t>EncBandit06Boss1HImperialM;EncBandit06Boss2HImperialM</t>
  </si>
  <si>
    <t>EncBandit06Melee1HTankImperialM</t>
  </si>
  <si>
    <t>EncBandit06Melee1HKhajiitM</t>
  </si>
  <si>
    <t>000C3CAA</t>
  </si>
  <si>
    <t>00039D20</t>
  </si>
  <si>
    <t>Modular SMP Hair - JA</t>
  </si>
  <si>
    <t>Uvi_Wig_Spell_Evg_J-A</t>
  </si>
  <si>
    <t>EncBandit06Melee2HNordF;EncBandit06Melee1HTankNordF;EncBandit06Melee2HBerserkNordF</t>
  </si>
  <si>
    <t>00039D21</t>
  </si>
  <si>
    <t>EncBandit06Boss1HNordM;EncBandit06Boss2HNordM</t>
  </si>
  <si>
    <t>EncBandit06Melee2HNordM;EncBandit06Melee1HTankNordM;E3DemoBanditCampfire01;EncBandit06Melee2HBerserkNordM</t>
  </si>
  <si>
    <t>00039D23</t>
  </si>
  <si>
    <t>Modular SMP Hair - JB</t>
  </si>
  <si>
    <t>EncBandit06Melee2HOrcM;EncBandit06Melee1HTankOrcM;EncBandit06Melee2HBerserkOrcM</t>
  </si>
  <si>
    <t>Uvi_Wig_Spell_Evg_J-B</t>
  </si>
  <si>
    <t>00039D24</t>
  </si>
  <si>
    <t>EncBandit06Melee2HRedguardF;EncBandit06Melee1HTankRedguardF;EncBandit06Melee2HBerserkRedguardF</t>
  </si>
  <si>
    <t>00039D25</t>
  </si>
  <si>
    <t>EncBandit06Boss1HRedguardM;EncBandit06Boss2HRedguardM;E3DemoDecapitateMeBandit</t>
  </si>
  <si>
    <t>EncBandit06Melee2HRedguardM;EncBandit06Melee1HTankRedguardM;EncBandit06Melee2HBerserkRedguardM</t>
  </si>
  <si>
    <t>Modular SMP Hair - JC</t>
  </si>
  <si>
    <t>0003DEB0</t>
  </si>
  <si>
    <t>Uvi_Wig_Spell_Evg_J-C</t>
  </si>
  <si>
    <t>0003DEB1</t>
  </si>
  <si>
    <t>EncBandit06Melee1HTankNordF</t>
  </si>
  <si>
    <t>0003DEB2</t>
  </si>
  <si>
    <t>Modular SMP Hair - JD</t>
  </si>
  <si>
    <t>EncBandit06Melee1HTankNordM</t>
  </si>
  <si>
    <t>Uvi_Wig_Spell_Evg_J-D</t>
  </si>
  <si>
    <t>0003DEB3</t>
  </si>
  <si>
    <t>EncBandit06Melee1HTankOrcM</t>
  </si>
  <si>
    <t>0003DEB4</t>
  </si>
  <si>
    <t>EncBandit06Melee1HTankRedguardF</t>
  </si>
  <si>
    <t>0003DEB5</t>
  </si>
  <si>
    <t>Modular SMP Hair - JE</t>
  </si>
  <si>
    <t>Uvi_Wig_Spell_Evg_J-E</t>
  </si>
  <si>
    <t>EncBandit06Melee1HTankRedguardM</t>
  </si>
  <si>
    <t>0003DEB6</t>
  </si>
  <si>
    <t>EncBandit06Melee2HBerserkNordF</t>
  </si>
  <si>
    <t>0003DE82</t>
  </si>
  <si>
    <t>EncBandit06Melee2HNordF</t>
  </si>
  <si>
    <t>EncBandit06Melee2HBerserkNordM</t>
  </si>
  <si>
    <t>0003DE83</t>
  </si>
  <si>
    <t>Modular SMP Hair - JF</t>
  </si>
  <si>
    <t>EncBandit06Melee2HNordM</t>
  </si>
  <si>
    <t>Uvi_Wig_Spell_Evg_J-F</t>
  </si>
  <si>
    <t>EncBandit06Melee2HBerserkOrcM</t>
  </si>
  <si>
    <t>0003DE84</t>
  </si>
  <si>
    <t>EncBandit06Melee2HOrcM</t>
  </si>
  <si>
    <t>EncBandit06Melee2HBerserkRedguardF</t>
  </si>
  <si>
    <t>0003DE85</t>
  </si>
  <si>
    <t>EncBandit06Melee2HRedguardF</t>
  </si>
  <si>
    <t>Modular SMP Hair - JG</t>
  </si>
  <si>
    <t>0003DE86</t>
  </si>
  <si>
    <t>Uvi_Wig_Spell_Evg_J-G</t>
  </si>
  <si>
    <t>EncBandit06Melee2HRedguardM</t>
  </si>
  <si>
    <t>0003DE69</t>
  </si>
  <si>
    <t>0003DE6A</t>
  </si>
  <si>
    <t>Modular SMP Hair - JI</t>
  </si>
  <si>
    <t>0003DE6B</t>
  </si>
  <si>
    <t>Uvi_Wig_Spell_Evg_J-I</t>
  </si>
  <si>
    <t>0003DE6C</t>
  </si>
  <si>
    <t>0003DE6D</t>
  </si>
  <si>
    <t>Modular SMP Hair - JJ</t>
  </si>
  <si>
    <t>Uvi_Wig_Spell_Evg_J-J</t>
  </si>
  <si>
    <t>EncBandit06MissileImperialF</t>
  </si>
  <si>
    <t>00037C44</t>
  </si>
  <si>
    <t>EncBandit06TemplateMissile</t>
  </si>
  <si>
    <t>EncBandit06MissileImperialM</t>
  </si>
  <si>
    <t>00037C45</t>
  </si>
  <si>
    <t>EncBandit06MissileKhajiitM</t>
  </si>
  <si>
    <t>0009A553</t>
  </si>
  <si>
    <t>Modular SMP Hair - JK</t>
  </si>
  <si>
    <t>Uvi_Wig_Spell_Evg_J-K</t>
  </si>
  <si>
    <t>00037C46</t>
  </si>
  <si>
    <t>EncBandit06MissileNordM</t>
  </si>
  <si>
    <t>00037C47</t>
  </si>
  <si>
    <t>EncBandit06MissileRedguardF</t>
  </si>
  <si>
    <t>00037C48</t>
  </si>
  <si>
    <t>Modular SMP Hair - JL</t>
  </si>
  <si>
    <t>Uvi_Wig_Spell_Evg_J-L</t>
  </si>
  <si>
    <t>EncBandit06MissileRedguardM</t>
  </si>
  <si>
    <t>00037C49</t>
  </si>
  <si>
    <t>EncBandit06MissileWoodElfF</t>
  </si>
  <si>
    <t>00039D6F</t>
  </si>
  <si>
    <t>EncBandit06MissileWoodElfM</t>
  </si>
  <si>
    <t>00039D70</t>
  </si>
  <si>
    <t>Modular SMP Hair - JM1</t>
  </si>
  <si>
    <t>Uvi_Wig_Spell_Evg_J-M1</t>
  </si>
  <si>
    <t>00039D58</t>
  </si>
  <si>
    <t>Bandit Marauder</t>
  </si>
  <si>
    <t>EncBandit06MagicBretonF;EncBandit06MagicBretonM;EncBandit06MagicDarkElfF;EncBandit06MagicDarkElfM;EncBandit06MagicNordF;EncBandit06MagicNordM;EncBandit06MagicArgonianM</t>
  </si>
  <si>
    <t>encGhost06Magic</t>
  </si>
  <si>
    <t>0001E611</t>
  </si>
  <si>
    <t>Modular SMP Hair - JM2</t>
  </si>
  <si>
    <t>EncBandit06Melee1HImperialF;EncBandit06Melee1HImperialM;EncBandit06Melee1HNordF;EncBandit06Melee1HNordM;EncBandit06Melee1HOrcM;EncBandit06Melee1HRedguardF;EncBandit06Melee1HRedguardM;EncBandit06Melee1HKhajiitM</t>
  </si>
  <si>
    <t>00037C43</t>
  </si>
  <si>
    <t>Uvi_Wig_Spell_Evg_J-M2</t>
  </si>
  <si>
    <t>EncBandit06MissileImperialF;EncBandit06MissileImperialM;EncBandit06MissileNordF;EncBandit06MissileNordM;EncBandit06MissileRedguardF;EncBandit06MissileRedguardM;EncBandit06MissileWoodElfF;EncBandit06MissileWoodElfM;EncBandit06MissileKhajiitM</t>
  </si>
  <si>
    <t>EncDawnguard00Template</t>
  </si>
  <si>
    <t>02014216</t>
  </si>
  <si>
    <t>Dawnguard</t>
  </si>
  <si>
    <t>EncDawnguard01TemplateMelee;EncDawnguard02TemplateMelee;EncDawnguard03TemplateMelee;EncDawnguard04TemplateMelee;EncDawnguard05TemplateMelee;EncDawnguard06TemplateMelee</t>
  </si>
  <si>
    <t>Modular SMP Hair - L</t>
  </si>
  <si>
    <t>EncDawnguard01Melee1HImperialF</t>
  </si>
  <si>
    <t>02014225</t>
  </si>
  <si>
    <t>Uvi_Wig_Spell_Evg_L</t>
  </si>
  <si>
    <t>EncDawnguard01TemplateMelee</t>
  </si>
  <si>
    <t>EncDawnguard01Melee1HImperialM</t>
  </si>
  <si>
    <t>02014226</t>
  </si>
  <si>
    <t>EncDawnguard01Melee1HNordF</t>
  </si>
  <si>
    <t>02014228</t>
  </si>
  <si>
    <t>Modular SMP Hair - LA</t>
  </si>
  <si>
    <t>EncDawnguard01Melee1HNordM</t>
  </si>
  <si>
    <t>02014229</t>
  </si>
  <si>
    <t>Uvi_Wig_Spell_Evg_L-A</t>
  </si>
  <si>
    <t>EncDawnguard01Melee1HOrcM</t>
  </si>
  <si>
    <t>0201422A</t>
  </si>
  <si>
    <t>EncDawnguard01Melee1HRedguardF</t>
  </si>
  <si>
    <t>0201422B</t>
  </si>
  <si>
    <t>Modular SMP Hair - LB</t>
  </si>
  <si>
    <t>EncDawnguard01Melee1HRedguardM</t>
  </si>
  <si>
    <t>Uvi_Wig_Spell_Evg_L-B</t>
  </si>
  <si>
    <t>0201422C</t>
  </si>
  <si>
    <t>0201421F</t>
  </si>
  <si>
    <t>EncDawnguard01Melee1HImperialF;EncDawnguard01Melee1HImperialM;EncDawnguard01Melee1HNordF;EncDawnguard01Melee1HNordM;EncDawnguard01Melee1HOrcM;EncDawnguard01Melee1HRedguardF;EncDawnguard01Melee1HRedguardM</t>
  </si>
  <si>
    <t>EncDawnguard02Melee1HImperialF</t>
  </si>
  <si>
    <t>02014255</t>
  </si>
  <si>
    <t>Modular SMP Hair - LC</t>
  </si>
  <si>
    <t>Uvi_Wig_Spell_Evg_L-C</t>
  </si>
  <si>
    <t>EncDawnguard02TemplateMelee</t>
  </si>
  <si>
    <t>EncDawnguard02Melee1HImperialM</t>
  </si>
  <si>
    <t>02014256</t>
  </si>
  <si>
    <t>EncDawnguard02Melee1HNordF</t>
  </si>
  <si>
    <t>02014258</t>
  </si>
  <si>
    <t>EncDawnguard02Melee1HNordM</t>
  </si>
  <si>
    <t>02014259</t>
  </si>
  <si>
    <t>Modular SMP Hair - LD</t>
  </si>
  <si>
    <t>EncDawnguard02Melee1HOrcM</t>
  </si>
  <si>
    <t>0201425A</t>
  </si>
  <si>
    <t>Uvi_Wig_Spell_Evg_L-D</t>
  </si>
  <si>
    <t>EncDawnguard02Melee1HRedguardF</t>
  </si>
  <si>
    <t>0201425B</t>
  </si>
  <si>
    <t>EncDawnguard02Melee1HRedguardM</t>
  </si>
  <si>
    <t>0201425C</t>
  </si>
  <si>
    <t>Modular SMP Hair - LE</t>
  </si>
  <si>
    <t>02014220</t>
  </si>
  <si>
    <t>Uvi_Wig_Spell_Evg_L-E</t>
  </si>
  <si>
    <t>EncDawnguard02Melee1HImperialF;EncDawnguard02Melee1HImperialM;EncDawnguard02Melee1HNordF;EncDawnguard02Melee1HNordM;EncDawnguard02Melee1HOrcM;EncDawnguard02Melee1HRedguardF;EncDawnguard02Melee1HRedguardM</t>
  </si>
  <si>
    <t>EncDawnguard03Melee1HImperialF</t>
  </si>
  <si>
    <t>0201425D</t>
  </si>
  <si>
    <t>EncDawnguard03TemplateMelee</t>
  </si>
  <si>
    <t>EncDawnguard03Melee1HImperialM</t>
  </si>
  <si>
    <t>0201425E</t>
  </si>
  <si>
    <t>Modular SMP Hair - LF</t>
  </si>
  <si>
    <t>EncDawnguard03Melee1HNordF</t>
  </si>
  <si>
    <t>02014260</t>
  </si>
  <si>
    <t>Uvi_Wig_Spell_Evg_L-F</t>
  </si>
  <si>
    <t>EncDawnguard03Melee1HNordM</t>
  </si>
  <si>
    <t>02014261</t>
  </si>
  <si>
    <t>EncDawnguard03Melee1HOrcM</t>
  </si>
  <si>
    <t>02014262</t>
  </si>
  <si>
    <t>EncDawnguard03Melee1HRedguardF</t>
  </si>
  <si>
    <t>02014263</t>
  </si>
  <si>
    <t>Modular SMP Hair - LG</t>
  </si>
  <si>
    <t>Uvi_Wig_Spell_Evg_L-G</t>
  </si>
  <si>
    <t>EncDawnguard03Melee1HRedguardM</t>
  </si>
  <si>
    <t>02014264</t>
  </si>
  <si>
    <t>02014221</t>
  </si>
  <si>
    <t>EncDawnguard03Melee1HImperialF;EncDawnguard03Melee1HImperialM;EncDawnguard03Melee1HNordF;EncDawnguard03Melee1HNordM;EncDawnguard03Melee1HOrcM;EncDawnguard03Melee1HRedguardF;EncDawnguard03Melee1HRedguardM</t>
  </si>
  <si>
    <t>EncDawnguard04Melee1HImperialF</t>
  </si>
  <si>
    <t>02014265</t>
  </si>
  <si>
    <t>EncDawnguard04TemplateMelee</t>
  </si>
  <si>
    <t>Modular SMP Hair - LI</t>
  </si>
  <si>
    <t>EncDawnguard04Melee1HImperialM</t>
  </si>
  <si>
    <t>Uvi_Wig_Spell_Evg_L-I</t>
  </si>
  <si>
    <t>02014266</t>
  </si>
  <si>
    <t>EncDawnguard04Melee1HNordF</t>
  </si>
  <si>
    <t>02014268</t>
  </si>
  <si>
    <t>HairFemaleImperial1</t>
  </si>
  <si>
    <t>EncDawnguard04Melee1HNordM</t>
  </si>
  <si>
    <t>02014269</t>
  </si>
  <si>
    <t>Modular SMP Hair - LJ</t>
  </si>
  <si>
    <t>EncDawnguard04Melee1HOrcM</t>
  </si>
  <si>
    <t>0201426A</t>
  </si>
  <si>
    <t>Uvi_Wig_Spell_Evg_L-J</t>
  </si>
  <si>
    <t>HairMaleOrc02</t>
  </si>
  <si>
    <t>EncDawnguard04Melee1HRedguardF</t>
  </si>
  <si>
    <t>0201426B</t>
  </si>
  <si>
    <t>EncDawnguard04Melee1HRedguardM</t>
  </si>
  <si>
    <t>0201426C</t>
  </si>
  <si>
    <t>Modular SMP Hair - LK</t>
  </si>
  <si>
    <t>02014222</t>
  </si>
  <si>
    <t>Uvi_Wig_Spell_Evg_L-K</t>
  </si>
  <si>
    <t>EncDawnguard04Melee1HImperialF;EncDawnguard04Melee1HImperialM;EncDawnguard04Melee1HNordF;EncDawnguard04Melee1HNordM;EncDawnguard04Melee1HOrcM;EncDawnguard04Melee1HRedguardF;EncDawnguard04Melee1HRedguardM</t>
  </si>
  <si>
    <t>EncDawnguard05Melee1HImperialF</t>
  </si>
  <si>
    <t>0201426D</t>
  </si>
  <si>
    <t>EncDawnguard05TemplateMelee</t>
  </si>
  <si>
    <t>EncDawnguard05Melee1HImperialM</t>
  </si>
  <si>
    <t>0201426E</t>
  </si>
  <si>
    <t>Modular SMP Hair - LL</t>
  </si>
  <si>
    <t>EncDawnguard05Melee1HNordF</t>
  </si>
  <si>
    <t>Uvi_Wig_Spell_Evg_L-L</t>
  </si>
  <si>
    <t>02014270</t>
  </si>
  <si>
    <t>EncDawnguard05Melee1HNordM</t>
  </si>
  <si>
    <t>02014271</t>
  </si>
  <si>
    <t>EncDawnguard05Melee1HOrcM</t>
  </si>
  <si>
    <t>02014272</t>
  </si>
  <si>
    <t>Modular SMP Hair - LM1</t>
  </si>
  <si>
    <t>EncDawnguard05Melee1HRedguardF</t>
  </si>
  <si>
    <t>02014273</t>
  </si>
  <si>
    <t>Uvi_Wig_Spell_Evg_L-M1</t>
  </si>
  <si>
    <t>EncDawnguard05Melee1HRedguardM</t>
  </si>
  <si>
    <t>02014274</t>
  </si>
  <si>
    <t>02014223</t>
  </si>
  <si>
    <t>EncDawnguard05Melee1HImperialF;EncDawnguard05Melee1HImperialM;EncDawnguard05Melee1HNordF;EncDawnguard05Melee1HNordM;EncDawnguard05Melee1HOrcM;EncDawnguard05Melee1HRedguardF;EncDawnguard05Melee1HRedguardM</t>
  </si>
  <si>
    <t>Modular SMP Hair - LM2</t>
  </si>
  <si>
    <t>EncDawnguard06Melee1HImperialF</t>
  </si>
  <si>
    <t>02014275</t>
  </si>
  <si>
    <t>Uvi_Wig_Spell_Evg_L-M2</t>
  </si>
  <si>
    <t>EncDawnguard06TemplateMelee</t>
  </si>
  <si>
    <t>EncDawnguard06Melee1HImperialM</t>
  </si>
  <si>
    <t>02014276</t>
  </si>
  <si>
    <t>EncDawnguard06Melee1HNordF</t>
  </si>
  <si>
    <t>02014278</t>
  </si>
  <si>
    <t>Modular SMP Hair - M</t>
  </si>
  <si>
    <t>EncDawnguard06Melee1HNordM</t>
  </si>
  <si>
    <t>02014279</t>
  </si>
  <si>
    <t>Uvi_Wig_Spell_Evg_M</t>
  </si>
  <si>
    <t>EncDawnguard06Melee1HOrcM</t>
  </si>
  <si>
    <t>0201427A</t>
  </si>
  <si>
    <t>EncDawnguard06Melee1HRedguardF</t>
  </si>
  <si>
    <t>0201427B</t>
  </si>
  <si>
    <t>EncDawnguard06Melee1HRedguardM</t>
  </si>
  <si>
    <t>0201427C</t>
  </si>
  <si>
    <t>02014224</t>
  </si>
  <si>
    <t>Modular SMP Hair - MB</t>
  </si>
  <si>
    <t>EncDawnguard06Melee1HImperialF;EncDawnguard06Melee1HImperialM;EncDawnguard06Melee1HNordF;EncDawnguard06Melee1HNordM;EncDawnguard06Melee1HOrcM;EncDawnguard06Melee1HRedguardF;EncDawnguard06Melee1HRedguardM</t>
  </si>
  <si>
    <t>Uvi_Wig_Spell_Evg_M-B</t>
  </si>
  <si>
    <t>EncDremoraMelee01</t>
  </si>
  <si>
    <t>00023A95</t>
  </si>
  <si>
    <t>Dremora Churl</t>
  </si>
  <si>
    <t>HairMaleDremora01</t>
  </si>
  <si>
    <t>EncDremoraMelee02</t>
  </si>
  <si>
    <t>00016EF0</t>
  </si>
  <si>
    <t>Dremora Caitiff</t>
  </si>
  <si>
    <t>EncDremoraMelee03</t>
  </si>
  <si>
    <t>00016F40</t>
  </si>
  <si>
    <t>Dremora Kynval</t>
  </si>
  <si>
    <t>EncDremoraMelee04</t>
  </si>
  <si>
    <t>Modular SMP Hair - MC</t>
  </si>
  <si>
    <t>00016F6A</t>
  </si>
  <si>
    <t>Dremora Kynreeve</t>
  </si>
  <si>
    <t>Uvi_Wig_Spell_Evg_M-C</t>
  </si>
  <si>
    <t>EncDremoraMelee05</t>
  </si>
  <si>
    <t>00016FF4</t>
  </si>
  <si>
    <t>Dremora Markynaz</t>
  </si>
  <si>
    <t>EncDremoraMelee06</t>
  </si>
  <si>
    <t>00016FF8</t>
  </si>
  <si>
    <t>Dremora Valynaz</t>
  </si>
  <si>
    <t>SummonEncDremoraLord</t>
  </si>
  <si>
    <t>EncDremoraMissile01</t>
  </si>
  <si>
    <t>Modular SMP Hair - ME</t>
  </si>
  <si>
    <t>00025D1C</t>
  </si>
  <si>
    <t>Uvi_Wig_Spell_Evg_M-E</t>
  </si>
  <si>
    <t>EncDremoraMissile02</t>
  </si>
  <si>
    <t>00016EF6</t>
  </si>
  <si>
    <t>EncDremoraMissile03</t>
  </si>
  <si>
    <t>00016F46</t>
  </si>
  <si>
    <t>EncDremoraMissile04</t>
  </si>
  <si>
    <t>Modular SMP Hair - MF</t>
  </si>
  <si>
    <t>00016FE2</t>
  </si>
  <si>
    <t>Uvi_Wig_Spell_Evg_M-F</t>
  </si>
  <si>
    <t>EncDremoraMissile05</t>
  </si>
  <si>
    <t>00016FF6</t>
  </si>
  <si>
    <t>EncDremoraMissile06</t>
  </si>
  <si>
    <t>00016FF9</t>
  </si>
  <si>
    <t>Dremora Valkynaz</t>
  </si>
  <si>
    <t>EncDremoraWarlock01</t>
  </si>
  <si>
    <t>00025D1D</t>
  </si>
  <si>
    <t>Modular SMP Hair - MG</t>
  </si>
  <si>
    <t>MaleDremoraHair01</t>
  </si>
  <si>
    <t>Uvi_Wig_Spell_Evg_M-G</t>
  </si>
  <si>
    <t>EncDremoraWarlock02</t>
  </si>
  <si>
    <t>00016F04</t>
  </si>
  <si>
    <t>EncDremoraWarlock03</t>
  </si>
  <si>
    <t>00016F69</t>
  </si>
  <si>
    <t>EncDremoraWarlock04</t>
  </si>
  <si>
    <t>00016FF3</t>
  </si>
  <si>
    <t>Modular SMP Hair - MH</t>
  </si>
  <si>
    <t>Uvi_Wig_Spell_Evg_M-H</t>
  </si>
  <si>
    <t>EncDremoraWarlock05</t>
  </si>
  <si>
    <t>00016FF7</t>
  </si>
  <si>
    <t>EncDremoraWarlock06</t>
  </si>
  <si>
    <t>00016FFA</t>
  </si>
  <si>
    <t>EncForsworn00Template</t>
  </si>
  <si>
    <t>00043BDC</t>
  </si>
  <si>
    <t>Forsworn</t>
  </si>
  <si>
    <t>Modular SMP Hair - MI</t>
  </si>
  <si>
    <t>Uvi_Wig_Spell_Evg_M-I</t>
  </si>
  <si>
    <t>EncForsworn01TemplateMagic;EncForsworn02TemplateMagic;EncForsworn03TemplateMagic;EncForsworn04TemplateMagic;EncForsworn05TemplateMagic;EncForsworn06TemplateMagic;EncForsworn01Melee1HBretonM01;EncForsworn01Melee1HBretonM02;EncForsworn01Melee1HBretonM03;EncForsworn01Melee1HBretonF02;EncForsworn01Melee1HBretonF01;EncForsworn01Melee1HBretonF03;EncForsworn01Melee1HBretonM04;EncForsworn01Melee1HBretonBerserk;EncForsworn01MissileBretonF01;EncForsworn01MissileBretonF02;EncForsworn01MissileBretonF03;EncForsworn01MissileBretonM01;EncForsworn01MissileBretonM02;EncForsworn01MissileBretonM03;EncForsworn01MissileBretonM04;EncForsworn02Melee1HBretonF01;EncForsworn02Melee1HBretonF02;EncForsworn02Melee1HBretonF03;EncForsworn02Melee1HBretonM01;EncForsworn02Melee1HBretonM02;EncForsworn02Melee1HBretonM03;EncForsworn02TemplateBossMelee;EncForsworn02Melee1HBretonM04;EncForsworn02Melee1HBretonBerserk;EncForsworn02MissileBretonF01;EncForsworn02MissileBretonF02;EncForsworn02MissileBretonF03;EncForsworn02MissileBretonM01;EncForsworn02MissileBretonM02;EncForsworn02MissileBretonM03;EncForsworn02MissileBretonM04;EncForsworn03Melee1HBretonF01;EncForsworn03Melee1HBretonF02;EncForsworn03Melee1HBretonF03;EncForsworn03Melee1HBretonM01;EncForsworn03Melee1HBretonM02;EncForsworn03Melee1HBretonM03;EncForsworn03TemplateBossMelee;EncForsworn03Melee1HBretonM04;EncForsworn03Melee1HBretonBerserk;EncForsworn03MissileBretonF01;EncForsworn03MissileBretonF02;EncForsworn03MissileBretonF03;EncForsworn03MissileBretonM01;EncForsworn03MissileBretonM02;EncForsworn03MissileBretonM03;EncForsworn03MissileBretonM04;EncForsworn04Melee1HBretonF01;EncForsworn04Melee1HBretonF02;EncForsworn04Melee1HBretonF03;EncForsworn04Melee1HBretonM01;EncForsworn04Melee1HBretonM02;EncForsworn04Melee1HBretonM03;EncForsworn04TemplateBossMelee;EncForsworn04Melee1HBretonM04;EncForsworn04Melee1HBretonBerserk;EncForsworn04MissileBretonF01;EncForsworn04MissileBretonF02;EncForsworn04MissileBretonF03;EncForsworn04MissileBretonM01;EncForsworn04MissileBretonM02;EncForsworn04MissileBretonM03;EncForsworn04MissileBretonM04;EncForsworn05Melee1HBretonF01;EncForsworn05Melee1HBretonF02;EncForsworn05Melee1HBretonF03;EncForsworn05Melee1HBretonM01;EncForsworn05Melee1HBretonM02;EncForsworn05Melee1HBretonM03;EncForsworn05TemplateBossMelee;EncForsworn05Melee1HBretonM04;EncForsworn05Melee1HBretonBerserk;EncForsworn05MissileBretonF01;EncForsworn05MissileBretonF02;EncForsworn05MissileBretonF03;EncForsworn05MissileBretonM01;EncForsworn05MissileBretonM02;EncForsworn05MissileBretonM03;EncForsworn05MissileBretonM04;EncForsworn06Melee1HBretonF01;EncForsworn06Melee1HBretonF02;EncForsworn06Melee1HBretonF03;EncForsworn06Melee1HBretonM01;EncForsworn06Melee1HBretonM02;EncForsworn06Melee1HBretonM03;EncForsworn06TemplateBossMelee;EncForsworn06Melee1HBretonM04;EncForsworn06Melee1HBretonBerserk;EncForsworn06MissileBretonF01;EncForsworn06MissileBretonF02;EncForsworn06MissileBretonF03;EncForsworn06MissileBretonM01;EncForsworn06MissileBretonM02;EncForsworn06MissileBretonM03;EncForsworn06MissileBretonM04</t>
  </si>
  <si>
    <t>EncForsworn01TemplateMelee;EncForsworn01TemplateMissile;EncForsworn02TemplateMelee;EncForsworn02TemplateMissile;EncForsworn03TemplateMelee;EncForsworn03TemplateMissile;EncForsworn04TemplateMelee;EncForsworn04TemplateMissile;EncForsworn05TemplateMelee;EncForsworn05TemplateMissile;EncForsworn06TemplateMelee;EncForsworn06TemplateMissile</t>
  </si>
  <si>
    <t>EncForsworn01MagicBretonF01</t>
  </si>
  <si>
    <t>00043BEB</t>
  </si>
  <si>
    <t>EncForsworn01TemplateMagic</t>
  </si>
  <si>
    <t>Modular SMP Hair - MJ</t>
  </si>
  <si>
    <t>TreasCorpseForswornBretonFemale</t>
  </si>
  <si>
    <t>Uvi_Wig_Spell_Evg_M-J</t>
  </si>
  <si>
    <t>EncForsworn01MagicBretonF02</t>
  </si>
  <si>
    <t>00043BEC</t>
  </si>
  <si>
    <t>EncForsworn01MagicBretonF03</t>
  </si>
  <si>
    <t>00043BED</t>
  </si>
  <si>
    <t>EncForsworn01Melee1HBretonBerserk</t>
  </si>
  <si>
    <t>000F9616</t>
  </si>
  <si>
    <t>Modular SMP Hair - MK</t>
  </si>
  <si>
    <t>EncForsworn01TemplateMelee</t>
  </si>
  <si>
    <t>Uvi_Wig_Spell_Evg_M-K</t>
  </si>
  <si>
    <t>EncForsworn01Melee1HBretonF01</t>
  </si>
  <si>
    <t>00043BE1</t>
  </si>
  <si>
    <t>EncForsworn01Melee1HBretonF02</t>
  </si>
  <si>
    <t>00043BE0</t>
  </si>
  <si>
    <t>EncForsworn01Melee1HBretonF03</t>
  </si>
  <si>
    <t>00043BE2</t>
  </si>
  <si>
    <t>Modular SMP Hair - ML</t>
  </si>
  <si>
    <t>Uvi_Wig_Spell_Evg_M-L</t>
  </si>
  <si>
    <t>EncForsworn01Melee1HBretonM01</t>
  </si>
  <si>
    <t>00043BDD</t>
  </si>
  <si>
    <t>TreasCorpseForswornBretonMale</t>
  </si>
  <si>
    <t>EncForsworn01Melee1HBretonM02</t>
  </si>
  <si>
    <t>00043BDE</t>
  </si>
  <si>
    <t>EncForsworn01Melee1HBretonM03</t>
  </si>
  <si>
    <t>Modular SMP Hair - MM1</t>
  </si>
  <si>
    <t>00043BDF</t>
  </si>
  <si>
    <t>Uvi_Wig_Spell_Evg_M-M1</t>
  </si>
  <si>
    <t>EncForsworn01Melee1HBretonM04</t>
  </si>
  <si>
    <t>000AD7B4</t>
  </si>
  <si>
    <t>EncForsworn01MissileBretonF01</t>
  </si>
  <si>
    <t>00043BE4</t>
  </si>
  <si>
    <t>EncForsworn01TemplateMissile</t>
  </si>
  <si>
    <t>EncForsworn01MissileBretonF02</t>
  </si>
  <si>
    <t>Modular SMP Hair - MM2</t>
  </si>
  <si>
    <t>00043BE5</t>
  </si>
  <si>
    <t>Uvi_Wig_Spell_Evg_M-M2</t>
  </si>
  <si>
    <t>EncForsworn01MissileBretonF03</t>
  </si>
  <si>
    <t>00043BE6</t>
  </si>
  <si>
    <t>EncForsworn01MissileBretonM01</t>
  </si>
  <si>
    <t>00043BE7</t>
  </si>
  <si>
    <t>EncForsworn01MissileBretonM02</t>
  </si>
  <si>
    <t>Xing HDT-SMP Wigs</t>
  </si>
  <si>
    <t>00043BE8</t>
  </si>
  <si>
    <t>Xing - Fuse Alesso Cookie</t>
  </si>
  <si>
    <t>Uvi_Wig_Spell_X_Fuse_AlessoCookie</t>
  </si>
  <si>
    <t>EncForsworn01MissileBretonM03</t>
  </si>
  <si>
    <t>00043BE9</t>
  </si>
  <si>
    <t>EncForsworn01MissileBretonM04</t>
  </si>
  <si>
    <t>000AD7B5</t>
  </si>
  <si>
    <t>Xing,Xing_Misc</t>
  </si>
  <si>
    <t>00043BEA</t>
  </si>
  <si>
    <t>Forsworn Shaman</t>
  </si>
  <si>
    <t>Xing - Fuse Nightcrawler</t>
  </si>
  <si>
    <t>EncForsworn01MagicBretonF01;EncForsworn01MagicBretonF02;EncForsworn01MagicBretonF03</t>
  </si>
  <si>
    <t>Uvi_Wig_Spell_X_Fuse_Nightcrawler</t>
  </si>
  <si>
    <t>00023AA9</t>
  </si>
  <si>
    <t>EncForsworn01Melee1HBretonM01;EncForsworn01Melee1HBretonM02;EncForsworn01Melee1HBretonM03;EncForsworn01Melee1HBretonF02;EncForsworn01Melee1HBretonF01;EncForsworn01Melee1HBretonF03;EncForsworn01Melee1HBretonM04;EncForsworn01Melee1HBretonBerserk</t>
  </si>
  <si>
    <t>00043BE3</t>
  </si>
  <si>
    <t>EncForsworn01MissileBretonF01;EncForsworn01MissileBretonF02;EncForsworn01MissileBretonF03;EncForsworn01MissileBretonM01;EncForsworn01MissileBretonM02;EncForsworn01MissileBretonM03;EncForsworn01MissileBretonM04</t>
  </si>
  <si>
    <t>EncForsworn02BossMagicBretonM01</t>
  </si>
  <si>
    <t>000442D4</t>
  </si>
  <si>
    <t>Xing - Fuse Nightcrawler Puch</t>
  </si>
  <si>
    <t>Uvi_Wig_Spell_X_Fuse_NightcrawlerPuch</t>
  </si>
  <si>
    <t>EncForsworn02TemplateBossMagic</t>
  </si>
  <si>
    <t>EncForsworn02BossMagicBretonM02</t>
  </si>
  <si>
    <t>000442D5</t>
  </si>
  <si>
    <t>EncForsworn02BossMagicBretonM03</t>
  </si>
  <si>
    <t>000AD7BB</t>
  </si>
  <si>
    <t>000442D7</t>
  </si>
  <si>
    <t>Xing - Fuse Nightcrawler Straight</t>
  </si>
  <si>
    <t>EncForsworn02TemplateBossMelee</t>
  </si>
  <si>
    <t>Uvi_Wig_Spell_X_Fuse_NightcrawlerStraight</t>
  </si>
  <si>
    <t>EncForsworn02BossMelee1HBretonM02</t>
  </si>
  <si>
    <t>000442D8</t>
  </si>
  <si>
    <t>EncForsworn02BossMelee1HBretonM03</t>
  </si>
  <si>
    <t>000442D9</t>
  </si>
  <si>
    <t>EncForsworn02MagicBretonF01</t>
  </si>
  <si>
    <t>00043BF1</t>
  </si>
  <si>
    <t>Xing - Fuse SG35</t>
  </si>
  <si>
    <t>Uvi_Wig_Spell_X_Fuse_SG35</t>
  </si>
  <si>
    <t>EncForsworn02TemplateMagic</t>
  </si>
  <si>
    <t>EncForsworn02MagicBretonF02</t>
  </si>
  <si>
    <t>00043BF2</t>
  </si>
  <si>
    <t>EncForsworn02MagicBretonF03</t>
  </si>
  <si>
    <t>00043BF3</t>
  </si>
  <si>
    <t>EncForsworn02Melee1HBretonBerserk</t>
  </si>
  <si>
    <t>000F9617</t>
  </si>
  <si>
    <t>Xing - Fuse Sintiklia MR</t>
  </si>
  <si>
    <t>EncForsworn02TemplateMelee</t>
  </si>
  <si>
    <t>Uvi_Wig_Spell_X_Fuse_SintikliaMR</t>
  </si>
  <si>
    <t>EncForsworn02Melee1HBretonF01</t>
  </si>
  <si>
    <t>00044256</t>
  </si>
  <si>
    <t>EncForsworn02Melee1HBretonF02</t>
  </si>
  <si>
    <t>00044257</t>
  </si>
  <si>
    <t>EncForsworn02Melee1HBretonF03</t>
  </si>
  <si>
    <t>00044258</t>
  </si>
  <si>
    <t>Xing - HG ColdHeart</t>
  </si>
  <si>
    <t>EncForsworn02Melee1HBretonM01</t>
  </si>
  <si>
    <t>00044259</t>
  </si>
  <si>
    <t>Uvi_Wig_Spell_X_Dint_HG_ColdHeart</t>
  </si>
  <si>
    <t>EncForsworn02Melee1HBretonM02</t>
  </si>
  <si>
    <t>0004425A</t>
  </si>
  <si>
    <t>EncForsworn02Melee1HBretonM03</t>
  </si>
  <si>
    <t>0004425B</t>
  </si>
  <si>
    <t>EncForsworn02Melee1HBretonM04</t>
  </si>
  <si>
    <t>Xing - HG ColdHeart2</t>
  </si>
  <si>
    <t>000AD7B6</t>
  </si>
  <si>
    <t>Uvi_Wig_Spell_X_Dint_HG_ColdHeart2</t>
  </si>
  <si>
    <t>EncForsworn02MissileBretonF01</t>
  </si>
  <si>
    <t>0004425C</t>
  </si>
  <si>
    <t>EncForsworn02TemplateMissile</t>
  </si>
  <si>
    <t>EncForsworn02MissileBretonF02</t>
  </si>
  <si>
    <t>0004425D</t>
  </si>
  <si>
    <t>EncForsworn02MissileBretonF03</t>
  </si>
  <si>
    <t>0004425E</t>
  </si>
  <si>
    <t>Xing - HG Emori</t>
  </si>
  <si>
    <t>Uvi_Wig_Spell_X_Dint_HG_Emori</t>
  </si>
  <si>
    <t>EncForsworn02MissileBretonM01</t>
  </si>
  <si>
    <t>0004425F</t>
  </si>
  <si>
    <t>EncForsworn02MissileBretonM02</t>
  </si>
  <si>
    <t>00044260</t>
  </si>
  <si>
    <t>EncForsworn02MissileBretonM03</t>
  </si>
  <si>
    <t>00044261</t>
  </si>
  <si>
    <t>Xing - HG Esmerald</t>
  </si>
  <si>
    <t>Uvi_Wig_Spell_X_Dint_HG_Esmerald</t>
  </si>
  <si>
    <t>EncForsworn02MissileBretonM04</t>
  </si>
  <si>
    <t>000AD7B7</t>
  </si>
  <si>
    <t>0004430A</t>
  </si>
  <si>
    <t>Forsworn Briarheart</t>
  </si>
  <si>
    <t>EncForsworn02BossMagicBretonM01;EncForsworn02BossMagicBretonM02;EncForsworn02BossMagicBretonM03</t>
  </si>
  <si>
    <t>Xing - HG FlyingMinaj</t>
  </si>
  <si>
    <t>0004430B</t>
  </si>
  <si>
    <t>Uvi_Wig_Spell_X_Dint_HG_FlyingMinaj</t>
  </si>
  <si>
    <t>EncForsworn02BossMelee1HBretonM01;EncForsworn02BossMelee1HBretonM02;EncForsworn02BossMelee1HBretonM03</t>
  </si>
  <si>
    <t>00043BF0</t>
  </si>
  <si>
    <t>Forsworn Forager</t>
  </si>
  <si>
    <t>EncForsworn02MagicBretonF01;EncForsworn02MagicBretonF02;EncForsworn02MagicBretonF03;EncForsworn02BossMagicBretonM01;EncForsworn02BossMagicBretonM02;EncForsworn02BossMagicBretonM03</t>
  </si>
  <si>
    <t>00043BEE</t>
  </si>
  <si>
    <t>Xing - HG Focus</t>
  </si>
  <si>
    <t>Uvi_Wig_Spell_X_Dint_HG_Focus</t>
  </si>
  <si>
    <t>EncForsworn02Melee1HBretonF01;EncForsworn02Melee1HBretonF02;EncForsworn02Melee1HBretonF03;EncForsworn02Melee1HBretonM01;EncForsworn02Melee1HBretonM02;EncForsworn02Melee1HBretonM03;EncForsworn02TemplateBossMelee;EncForsworn02Melee1HBretonM04;EncForsworn02Melee1HBretonBerserk</t>
  </si>
  <si>
    <t>00043BEF</t>
  </si>
  <si>
    <t>EncForsworn02MissileBretonF01;EncForsworn02MissileBretonF02;EncForsworn02MissileBretonF03;EncForsworn02MissileBretonM01;EncForsworn02MissileBretonM02;EncForsworn02MissileBretonM03;EncForsworn02MissileBretonM04</t>
  </si>
  <si>
    <t>EncForsworn03BossMagicBretonM01</t>
  </si>
  <si>
    <t>000442DA</t>
  </si>
  <si>
    <t>EncForsworn03TemplateBossMagic</t>
  </si>
  <si>
    <t>EncForsworn03BossMagicBretonM02</t>
  </si>
  <si>
    <t>Xing - HG Focus2</t>
  </si>
  <si>
    <t>000442DB</t>
  </si>
  <si>
    <t>Uvi_Wig_Spell_X_Dint_HG_Focus2</t>
  </si>
  <si>
    <t>EncForsworn03BossMagicBretonM03</t>
  </si>
  <si>
    <t>000AD7BA</t>
  </si>
  <si>
    <t>EncForsworn03BossMelee1HBretonM01</t>
  </si>
  <si>
    <t>000442DD</t>
  </si>
  <si>
    <t>EncForsworn03TemplateBossMelee</t>
  </si>
  <si>
    <t>Xing - HG Gorum</t>
  </si>
  <si>
    <t>EncForsworn03BossMelee1HBretonM02</t>
  </si>
  <si>
    <t>000442DE</t>
  </si>
  <si>
    <t>Uvi_Wig_Spell_X_Dint_HG_Gorum</t>
  </si>
  <si>
    <t>EncForsworn03BossMelee1HBretonM03</t>
  </si>
  <si>
    <t>000442DF</t>
  </si>
  <si>
    <t>EncForsworn03MagicBretonF01</t>
  </si>
  <si>
    <t>00044265</t>
  </si>
  <si>
    <t>Xing - HG GuineaPig</t>
  </si>
  <si>
    <t>Uvi_Wig_Spell_X_Dint_HG_GuineaPig</t>
  </si>
  <si>
    <t>EncForsworn03TemplateMagic</t>
  </si>
  <si>
    <t>EncForsworn03MagicBretonF02</t>
  </si>
  <si>
    <t>00044266</t>
  </si>
  <si>
    <t>EncForsworn03MagicBretonF03</t>
  </si>
  <si>
    <t>00044267</t>
  </si>
  <si>
    <t>Xing - HG GuineaPigBow</t>
  </si>
  <si>
    <t>Uvi_Wig_Spell_X_Dint_HG_GuineaPigBow</t>
  </si>
  <si>
    <t>EncForsworn03Melee1HBretonBerserk</t>
  </si>
  <si>
    <t>000F9618</t>
  </si>
  <si>
    <t>EncForsworn03TemplateMelee</t>
  </si>
  <si>
    <t>EncForsworn03Melee1HBretonF01</t>
  </si>
  <si>
    <t>00044268</t>
  </si>
  <si>
    <t>EncForsworn03Melee1HBretonF02</t>
  </si>
  <si>
    <t>Xing - HG Krissi</t>
  </si>
  <si>
    <t>00044269</t>
  </si>
  <si>
    <t>Uvi_Wig_Spell_X_Dint_HG_LetsFrompiNu</t>
  </si>
  <si>
    <t>EncForsworn03Melee1HBretonF03</t>
  </si>
  <si>
    <t>0004426A</t>
  </si>
  <si>
    <t>EncForsworn03Melee1HBretonM01</t>
  </si>
  <si>
    <t>0004426B</t>
  </si>
  <si>
    <t>Xing - HG Lena</t>
  </si>
  <si>
    <t>Uvi_Wig_Spell_X_Dint_HG_Lena</t>
  </si>
  <si>
    <t>EncForsworn03Melee1HBretonM02</t>
  </si>
  <si>
    <t>0004426C</t>
  </si>
  <si>
    <t>EncForsworn03Melee1HBretonM03</t>
  </si>
  <si>
    <t>0004426D</t>
  </si>
  <si>
    <t>Xing - HG Lisa</t>
  </si>
  <si>
    <t>EncForsworn03Melee1HBretonM04</t>
  </si>
  <si>
    <t>Uvi_Wig_Spell_X_Dint_HG_Lisa</t>
  </si>
  <si>
    <t>000AD7B8</t>
  </si>
  <si>
    <t>EncForsworn03MissileBretonF01</t>
  </si>
  <si>
    <t>0004426E</t>
  </si>
  <si>
    <t>EncForsworn03TemplateMissile</t>
  </si>
  <si>
    <t>EncForsworn03MissileBretonF02</t>
  </si>
  <si>
    <t>0004426F</t>
  </si>
  <si>
    <t>Xing - HG NoFrauds</t>
  </si>
  <si>
    <t>Uvi_Wig_Spell_X_Dint_HG_NoFrauds</t>
  </si>
  <si>
    <t>EncForsworn03MissileBretonF03</t>
  </si>
  <si>
    <t>00044270</t>
  </si>
  <si>
    <t>EncForsworn03MissileBretonM01</t>
  </si>
  <si>
    <t>00044271</t>
  </si>
  <si>
    <t>EncForsworn03MissileBretonM02</t>
  </si>
  <si>
    <t>Xing - HG Peach</t>
  </si>
  <si>
    <t>00044272</t>
  </si>
  <si>
    <t>Uvi_Wig_Spell_X_Dint_HG_Peach</t>
  </si>
  <si>
    <t>EncForsworn03MissileBretonM03</t>
  </si>
  <si>
    <t>00044273</t>
  </si>
  <si>
    <t>EncForsworn03MissileBretonM04</t>
  </si>
  <si>
    <t>000AD7B9</t>
  </si>
  <si>
    <t>Xing - HG Vipress</t>
  </si>
  <si>
    <t>Uvi_Wig_Spell_X_Dint_HG_Vipress</t>
  </si>
  <si>
    <t>0004430C</t>
  </si>
  <si>
    <t>EncForsworn03BossMagicBretonM01;EncForsworn03BossMagicBretonM02;EncForsworn03BossMagicBretonM03</t>
  </si>
  <si>
    <t>0004430D</t>
  </si>
  <si>
    <t>Xing - HG Vipress (no limits)</t>
  </si>
  <si>
    <t>Uvi_Wig_Spell_X_Dint_HG_Vipress2</t>
  </si>
  <si>
    <t>EncForsworn03BossMelee1HBretonM01;EncForsworn03BossMelee1HBretonM02;EncForsworn03BossMelee1HBretonM03</t>
  </si>
  <si>
    <t>00044262</t>
  </si>
  <si>
    <t>Forsworn Looter</t>
  </si>
  <si>
    <t>EncForsworn03MagicBretonF01;EncForsworn03MagicBretonF02;EncForsworn03MagicBretonF03;EncForsworn03BossMagicBretonM01;EncForsworn03BossMagicBretonM02;EncForsworn03BossMagicBretonM03</t>
  </si>
  <si>
    <t>Xing - HG Wen</t>
  </si>
  <si>
    <t>00044263</t>
  </si>
  <si>
    <t>Uvi_Wig_Spell_X_Dint_HG_Wen</t>
  </si>
  <si>
    <t>EncForsworn03Melee1HBretonF01;EncForsworn03Melee1HBretonF02;EncForsworn03Melee1HBretonF03;EncForsworn03Melee1HBretonM01;EncForsworn03Melee1HBretonM02;EncForsworn03Melee1HBretonM03;EncForsworn03TemplateBossMelee;EncForsworn03Melee1HBretonM04;EncForsworn03Melee1HBretonBerserk</t>
  </si>
  <si>
    <t>00044264</t>
  </si>
  <si>
    <t>Xing - HG Wing109</t>
  </si>
  <si>
    <t>EncForsworn03MissileBretonF01;EncForsworn03MissileBretonF02;EncForsworn03MissileBretonF03;EncForsworn03MissileBretonM01;EncForsworn03MissileBretonM02;EncForsworn03MissileBretonM03;EncForsworn03MissileBretonM04</t>
  </si>
  <si>
    <t>Uvi_Wig_Spell_X_Dint_HG_Wing109</t>
  </si>
  <si>
    <t>EncForsworn04BossMagicBretonM01</t>
  </si>
  <si>
    <t>000442E0</t>
  </si>
  <si>
    <t>EncForsworn04TemplateBossMagic</t>
  </si>
  <si>
    <t>EncForsworn04BossMagicBretonM02</t>
  </si>
  <si>
    <t>000442E1</t>
  </si>
  <si>
    <t>Xing - HG Wing109_2</t>
  </si>
  <si>
    <t>Uvi_Wig_Spell_X_Dint_HG_Wing109_2</t>
  </si>
  <si>
    <t>EncForsworn04BossMagicBretonM03</t>
  </si>
  <si>
    <t>000AD7BC</t>
  </si>
  <si>
    <t>EncForsworn04BossMelee1HBretonM01</t>
  </si>
  <si>
    <t>000442E3</t>
  </si>
  <si>
    <t>EncForsworn04TemplateBossMelee</t>
  </si>
  <si>
    <t>EncForsworn04BossMelee1HBretonM02</t>
  </si>
  <si>
    <t>Xing - HG Wing1111</t>
  </si>
  <si>
    <t>000442E4</t>
  </si>
  <si>
    <t>Uvi_Wig_Spell_X_Dint_HG_Wing1111</t>
  </si>
  <si>
    <t>EncForsworn04BossMelee1HBretonM03</t>
  </si>
  <si>
    <t>000442E5</t>
  </si>
  <si>
    <t>EncForsworn04MagicBretonF01</t>
  </si>
  <si>
    <t>00044277</t>
  </si>
  <si>
    <t>Xing - HG Wing614</t>
  </si>
  <si>
    <t>EncForsworn04TemplateMagic</t>
  </si>
  <si>
    <t>Uvi_Wig_Spell_X_Dint_HG_Wing614</t>
  </si>
  <si>
    <t>EncForsworn04MagicBretonF02</t>
  </si>
  <si>
    <t>00044278</t>
  </si>
  <si>
    <t>EncForsworn04MagicBretonF03</t>
  </si>
  <si>
    <t>00044279</t>
  </si>
  <si>
    <t>Xing - HG Wing722</t>
  </si>
  <si>
    <t>EncForsworn04Melee1HBretonBerserk</t>
  </si>
  <si>
    <t>Uvi_Wig_Spell_X_Dint_HG_Wing722</t>
  </si>
  <si>
    <t>000F9619</t>
  </si>
  <si>
    <t>EncForsworn04TemplateMelee</t>
  </si>
  <si>
    <t>EncForsworn04Melee1HBretonF01</t>
  </si>
  <si>
    <t>0004427A</t>
  </si>
  <si>
    <t>EncForsworn04Melee1HBretonF02</t>
  </si>
  <si>
    <t>Xing - HH Ponytail</t>
  </si>
  <si>
    <t>0004427B</t>
  </si>
  <si>
    <t>Uvi_Wig_Spell_X_HH_Ponytail</t>
  </si>
  <si>
    <t>EncForsworn04Melee1HBretonF03</t>
  </si>
  <si>
    <t>0004427C</t>
  </si>
  <si>
    <t>EncForsworn04Melee1HBretonM01</t>
  </si>
  <si>
    <t>0004427D</t>
  </si>
  <si>
    <t>Xing - HH Ponytail Side Swept</t>
  </si>
  <si>
    <t>Uvi_Wig_Spell_X_HH_PonytailSideSwept</t>
  </si>
  <si>
    <t>EncForsworn04Melee1HBretonM02</t>
  </si>
  <si>
    <t>0004427E</t>
  </si>
  <si>
    <t>EncForsworn04Melee1HBretonM03</t>
  </si>
  <si>
    <t>0004427F</t>
  </si>
  <si>
    <t>Xing - HH Short Bob</t>
  </si>
  <si>
    <t>EncForsworn04Melee1HBretonM04</t>
  </si>
  <si>
    <t>000AD7BD</t>
  </si>
  <si>
    <t>Uvi_Wig_Spell_X_HH_ShortBob</t>
  </si>
  <si>
    <t>EncForsworn04MissileBretonF01</t>
  </si>
  <si>
    <t>00044280</t>
  </si>
  <si>
    <t>EncForsworn04TemplateMissile</t>
  </si>
  <si>
    <t>EncForsworn04MissileBretonF02</t>
  </si>
  <si>
    <t>Xing - HH Short Bob Side Swept</t>
  </si>
  <si>
    <t>00044281</t>
  </si>
  <si>
    <t>Uvi_Wig_Spell_X_HH_ShortBobSideSwept</t>
  </si>
  <si>
    <t>EncForsworn04MissileBretonF03</t>
  </si>
  <si>
    <t>00044282</t>
  </si>
  <si>
    <t>EncForsworn04MissileBretonM01</t>
  </si>
  <si>
    <t>00044283</t>
  </si>
  <si>
    <t>Xing - HH Short Bob Tucked</t>
  </si>
  <si>
    <t>Uvi_Wig_Spell_X_HH_ShortBobTucked</t>
  </si>
  <si>
    <t>EncForsworn04MissileBretonM02</t>
  </si>
  <si>
    <t>00044284</t>
  </si>
  <si>
    <t>EncForsworn04MissileBretonM03</t>
  </si>
  <si>
    <t>00044285</t>
  </si>
  <si>
    <t>Xing - KS Amber Lights</t>
  </si>
  <si>
    <t>EncForsworn04MissileBretonM04</t>
  </si>
  <si>
    <t>000AD7BE</t>
  </si>
  <si>
    <t>Uvi_Wig_Spell_X_Dint_KS_AmberL</t>
  </si>
  <si>
    <t>0004430E</t>
  </si>
  <si>
    <t>EncForsworn04BossMagicBretonM01;EncForsworn04BossMagicBretonM02;EncForsworn04BossMagicBretonM03</t>
  </si>
  <si>
    <t>Xing - KS Anchor</t>
  </si>
  <si>
    <t>0004430F</t>
  </si>
  <si>
    <t>Uvi_Wig_Spell_X_Dint_KS_Anchor</t>
  </si>
  <si>
    <t>EncForsworn04BossMelee1HBretonM01;EncForsworn04BossMelee1HBretonM02;EncForsworn04BossMelee1HBretonM03</t>
  </si>
  <si>
    <t>Xing - KS Aquaria</t>
  </si>
  <si>
    <t>Uvi_Wig_Spell_X_Dint_KS_Aquaria</t>
  </si>
  <si>
    <t>00044274</t>
  </si>
  <si>
    <t>Forsworn Pillager</t>
  </si>
  <si>
    <t>EncForsworn04MagicBretonF01;EncForsworn04MagicBretonF02;EncForsworn04MagicBretonF03;EncForsworn04BossMagicBretonM01;EncForsworn04BossMagicBretonM02;EncForsworn04BossMagicBretonM03</t>
  </si>
  <si>
    <t>00044275</t>
  </si>
  <si>
    <t>Xing - KS BlackBullet</t>
  </si>
  <si>
    <t>Uvi_Wig_Spell_X_Dint_KS_BlackBullet</t>
  </si>
  <si>
    <t>EncForsworn04Melee1HBretonF01;EncForsworn04Melee1HBretonF02;EncForsworn04Melee1HBretonF03;EncForsworn04Melee1HBretonM01;EncForsworn04Melee1HBretonM02;EncForsworn04Melee1HBretonM03;EncForsworn04TemplateBossMelee;EncForsworn04Melee1HBretonM04;EncForsworn04Melee1HBretonBerserk</t>
  </si>
  <si>
    <t>00044276</t>
  </si>
  <si>
    <t>EncForsworn04MissileBretonF01;EncForsworn04MissileBretonF02;EncForsworn04MissileBretonF03;EncForsworn04MissileBretonM01;EncForsworn04MissileBretonM02;EncForsworn04MissileBretonM03;EncForsworn04MissileBretonM04</t>
  </si>
  <si>
    <t>EncForsworn05BossMagicBretonM01</t>
  </si>
  <si>
    <t>Xing - KS Blossom Story</t>
  </si>
  <si>
    <t>000442E6</t>
  </si>
  <si>
    <t>Uvi_Wig_Spell_X_Dint_KS_BlossomStory</t>
  </si>
  <si>
    <t>EncForsworn05TemplateBossMagic</t>
  </si>
  <si>
    <t>EncForsworn05BossMagicBretonM02</t>
  </si>
  <si>
    <t>000442E7</t>
  </si>
  <si>
    <t>EncForsworn05BossMelee1HBretonM01</t>
  </si>
  <si>
    <t>000442E9</t>
  </si>
  <si>
    <t>Xing - KS Butterfly098</t>
  </si>
  <si>
    <t>Uvi_Wig_Spell_X_Dint_KS_Butterfly098</t>
  </si>
  <si>
    <t>EncForsworn05TemplateBossMelee</t>
  </si>
  <si>
    <t>EncForsworn05BossMelee1HBretonM02</t>
  </si>
  <si>
    <t>000442EA</t>
  </si>
  <si>
    <t>EncForsworn05BossMelee1HBretonM03</t>
  </si>
  <si>
    <t>000442EB</t>
  </si>
  <si>
    <t>Xing - KS Cambrian</t>
  </si>
  <si>
    <t>Uvi_Wig_Spell_X_Dint_KS_Cambrian</t>
  </si>
  <si>
    <t>EncForsworn05MagicBretonF01</t>
  </si>
  <si>
    <t>00044289</t>
  </si>
  <si>
    <t>EncForsworn05TemplateMagic</t>
  </si>
  <si>
    <t>EncForsworn05MagicBretonF02</t>
  </si>
  <si>
    <t>0004428A</t>
  </si>
  <si>
    <t>EncForsworn05MagicBretonF03</t>
  </si>
  <si>
    <t>Xing - KS Caramella</t>
  </si>
  <si>
    <t>0004428B</t>
  </si>
  <si>
    <t>Uvi_Wig_Spell_X_Dint_KS_Caramella</t>
  </si>
  <si>
    <t>EncForsworn05Melee1HBretonBerserk</t>
  </si>
  <si>
    <t>000F961A</t>
  </si>
  <si>
    <t>EncForsworn05TemplateMelee</t>
  </si>
  <si>
    <t>EncForsworn05Melee1HBretonF01</t>
  </si>
  <si>
    <t>0004428C</t>
  </si>
  <si>
    <t>Xing - KS Chain Reaction</t>
  </si>
  <si>
    <t>Uvi_Wig_Spell_X_Dint_KS_ChainReaction</t>
  </si>
  <si>
    <t>EncForsworn05Melee1HBretonF02</t>
  </si>
  <si>
    <t>0004428D</t>
  </si>
  <si>
    <t>EncForsworn05Melee1HBretonF03</t>
  </si>
  <si>
    <t>0004428E</t>
  </si>
  <si>
    <t>EncForsworn05Melee1HBretonM01</t>
  </si>
  <si>
    <t>Xing - KS Clover</t>
  </si>
  <si>
    <t>0004428F</t>
  </si>
  <si>
    <t>Uvi_Wig_Spell_X_Dint_KS_Clover</t>
  </si>
  <si>
    <t>EncForsworn05Melee1HBretonM02</t>
  </si>
  <si>
    <t>00044290</t>
  </si>
  <si>
    <t>EncForsworn05Melee1HBretonM03</t>
  </si>
  <si>
    <t>00044291</t>
  </si>
  <si>
    <t>Xing - KS CraxyLove</t>
  </si>
  <si>
    <t>EncForsworn05Melee1HBretonM04</t>
  </si>
  <si>
    <t>000AD7BF</t>
  </si>
  <si>
    <t>Uvi_Wig_Spell_X_Dint_KS_CraxyLove</t>
  </si>
  <si>
    <t>EncForsworn05MissileBretonF01</t>
  </si>
  <si>
    <t>00044292</t>
  </si>
  <si>
    <t>EncForsworn05TemplateMissile</t>
  </si>
  <si>
    <t>EncForsworn05MissileBretonF02</t>
  </si>
  <si>
    <t>00044293</t>
  </si>
  <si>
    <t>Xing - KS Dawn</t>
  </si>
  <si>
    <t>EncForsworn05MissileBretonF03</t>
  </si>
  <si>
    <t>Uvi_Wig_Spell_X_Dint_KS_Dawn</t>
  </si>
  <si>
    <t>00044294</t>
  </si>
  <si>
    <t>EncForsworn05MissileBretonM01</t>
  </si>
  <si>
    <t>00044295</t>
  </si>
  <si>
    <t>EncForsworn05MissileBretonM02</t>
  </si>
  <si>
    <t>00044296</t>
  </si>
  <si>
    <t>EncForsworn05MissileBretonM03</t>
  </si>
  <si>
    <t>00044297</t>
  </si>
  <si>
    <t>Xing - KS Daydream</t>
  </si>
  <si>
    <t>EncForsworn05MissileBretonM04</t>
  </si>
  <si>
    <t>000AD7C0</t>
  </si>
  <si>
    <t>Uvi_Wig_Spell_X_Dint_KS_Daydream</t>
  </si>
  <si>
    <t>00044310</t>
  </si>
  <si>
    <t>EncForsworn05BossMagicBretonM01;EncForsworn05BossMagicBretonM02</t>
  </si>
  <si>
    <t>00044311</t>
  </si>
  <si>
    <t>EncForsworn05BossMelee1HBretonM01;EncForsworn05BossMelee1HBretonM02;EncForsworn05BossMelee1HBretonM03</t>
  </si>
  <si>
    <t>Xing - KS Dracarys</t>
  </si>
  <si>
    <t>00044286</t>
  </si>
  <si>
    <t>Forsworn Ravager</t>
  </si>
  <si>
    <t>Uvi_Wig_Spell_X_Dint_KS_Dracarys</t>
  </si>
  <si>
    <t>EncForsworn05MagicBretonF01;EncForsworn05MagicBretonF02;EncForsworn05MagicBretonF03;EncForsworn05TemplateBossMagic</t>
  </si>
  <si>
    <t>00044287</t>
  </si>
  <si>
    <t>EncForsworn05Melee1HBretonF01;EncForsworn05Melee1HBretonF02;EncForsworn05Melee1HBretonF03;EncForsworn05Melee1HBretonM01;EncForsworn05Melee1HBretonM02;EncForsworn05Melee1HBretonM03;EncForsworn05TemplateBossMelee;EncForsworn05Melee1HBretonM04;EncForsworn05Melee1HBretonBerserk</t>
  </si>
  <si>
    <t>00044288</t>
  </si>
  <si>
    <t>Xing - KS DragonStone</t>
  </si>
  <si>
    <t>Uvi_Wig_Spell_X_Dint_KS_DragonStone</t>
  </si>
  <si>
    <t>EncForsworn05MissileBretonF01;EncForsworn05MissileBretonF02;EncForsworn05MissileBretonF03;EncForsworn05MissileBretonM01;EncForsworn05MissileBretonM02;EncForsworn05MissileBretonM03;EncForsworn05MissileBretonM04</t>
  </si>
  <si>
    <t>EncForsworn06BossMagicBretonM01</t>
  </si>
  <si>
    <t>000442EC</t>
  </si>
  <si>
    <t>EncForsworn06TemplateBossMagic</t>
  </si>
  <si>
    <t>EncForsworn06BossMagicBretonM02</t>
  </si>
  <si>
    <t>000442ED</t>
  </si>
  <si>
    <t>EncForsworn06BossMagicBretonM03</t>
  </si>
  <si>
    <t>000AD7C1</t>
  </si>
  <si>
    <t>Xing - KS Dreamgirl</t>
  </si>
  <si>
    <t>Uvi_Wig_Spell_X_Dint_KS_Dreamgirl</t>
  </si>
  <si>
    <t>EncForsworn06BossMelee1HBretonM01</t>
  </si>
  <si>
    <t>000442EF</t>
  </si>
  <si>
    <t>EncForsworn06TemplateBossMelee</t>
  </si>
  <si>
    <t>EncForsworn06BossMelee1HBretonM02</t>
  </si>
  <si>
    <t>000442F0</t>
  </si>
  <si>
    <t>EncForsworn06BossMelee1HBretonM03</t>
  </si>
  <si>
    <t>000442F1</t>
  </si>
  <si>
    <t>EncForsworn06MagicBretonF01</t>
  </si>
  <si>
    <t>Xing - KS Eden</t>
  </si>
  <si>
    <t>0004429B</t>
  </si>
  <si>
    <t>Uvi_Wig_Spell_X_Dint_KS_Eden</t>
  </si>
  <si>
    <t>EncForsworn06TemplateMagic</t>
  </si>
  <si>
    <t>EncForsworn06MagicBretonF02</t>
  </si>
  <si>
    <t>0004429C</t>
  </si>
  <si>
    <t>EncForsworn06MagicBretonF03</t>
  </si>
  <si>
    <t>0004429D</t>
  </si>
  <si>
    <t>EncForsworn06Melee1HBretonBerserk</t>
  </si>
  <si>
    <t>000F961B</t>
  </si>
  <si>
    <t>EncForsworn06TemplateMelee</t>
  </si>
  <si>
    <t>Xing - KS Equanimity</t>
  </si>
  <si>
    <t>EncForsworn06Melee1HBretonF01</t>
  </si>
  <si>
    <t>Uvi_Wig_Spell_X_Dint_KS_Equanimity</t>
  </si>
  <si>
    <t>0004429E</t>
  </si>
  <si>
    <t>EncForsworn06Melee1HBretonF02</t>
  </si>
  <si>
    <t>0004429F</t>
  </si>
  <si>
    <t>EncForsworn06Melee1HBretonF03</t>
  </si>
  <si>
    <t>000442A0</t>
  </si>
  <si>
    <t>EncForsworn06Melee1HBretonM01</t>
  </si>
  <si>
    <t>000442A1</t>
  </si>
  <si>
    <t>Xing - KS Firenze</t>
  </si>
  <si>
    <t>Uvi_Wig_Spell_X_Dint_KS_Firenze</t>
  </si>
  <si>
    <t>EncForsworn06Melee1HBretonM02</t>
  </si>
  <si>
    <t>000442A2</t>
  </si>
  <si>
    <t>EncForsworn06Melee1HBretonM03</t>
  </si>
  <si>
    <t>000442A3</t>
  </si>
  <si>
    <t>EncForsworn06Melee1HBretonM04</t>
  </si>
  <si>
    <t>000AD7C2</t>
  </si>
  <si>
    <t>Xing - KS Fragile</t>
  </si>
  <si>
    <t>Uvi_Wig_Spell_X_Dint_KS_Fragile</t>
  </si>
  <si>
    <t>EncForsworn06MissileBretonF01</t>
  </si>
  <si>
    <t>000442A4</t>
  </si>
  <si>
    <t>EncForsworn06TemplateMissile</t>
  </si>
  <si>
    <t>EncForsworn06MissileBretonF02</t>
  </si>
  <si>
    <t>000442A5</t>
  </si>
  <si>
    <t>EncForsworn06MissileBretonF03</t>
  </si>
  <si>
    <t>000442A6</t>
  </si>
  <si>
    <t>EncForsworn06MissileBretonM01</t>
  </si>
  <si>
    <t>000442A7</t>
  </si>
  <si>
    <t>Xing - KS Galactic</t>
  </si>
  <si>
    <t>EncForsworn06MissileBretonM02</t>
  </si>
  <si>
    <t>000442A8</t>
  </si>
  <si>
    <t>Uvi_Wig_Spell_X_Dint_KS_Galactic</t>
  </si>
  <si>
    <t>EncForsworn06MissileBretonM03</t>
  </si>
  <si>
    <t>000442A9</t>
  </si>
  <si>
    <t>EncForsworn06MissileBretonM04</t>
  </si>
  <si>
    <t>000AD7C3</t>
  </si>
  <si>
    <t>00044312</t>
  </si>
  <si>
    <t>Xing - KS Gem</t>
  </si>
  <si>
    <t>Uvi_Wig_Spell_X_Dint_KS_Gem</t>
  </si>
  <si>
    <t>EncForsworn06BossMagicBretonM01;EncForsworn06BossMagicBretonM02;EncForsworn06BossMagicBretonM03</t>
  </si>
  <si>
    <t>00044313</t>
  </si>
  <si>
    <t>EncForsworn06BossMelee1HBretonM01;EncForsworn06BossMelee1HBretonM02;EncForsworn06BossMelee1HBretonM03</t>
  </si>
  <si>
    <t>00044298</t>
  </si>
  <si>
    <t>Forsworn Warlord</t>
  </si>
  <si>
    <t>EncForsworn06MagicBretonF01;EncForsworn06MagicBretonF02;EncForsworn06MagicBretonF03;EncForsworn06BossMagicBretonM01;EncForsworn06BossMagicBretonM02;EncForsworn06BossMagicBretonM03</t>
  </si>
  <si>
    <t>Xing - KS Glow</t>
  </si>
  <si>
    <t>00044299</t>
  </si>
  <si>
    <t>Uvi_Wig_Spell_X_Dint_KS_Glow</t>
  </si>
  <si>
    <t>EncForsworn06Melee1HBretonF01;EncForsworn06Melee1HBretonF02;EncForsworn06Melee1HBretonF03;EncForsworn06Melee1HBretonM01;EncForsworn06Melee1HBretonM02;EncForsworn06Melee1HBretonM03;EncForsworn06TemplateBossMelee;EncForsworn06Melee1HBretonM04;EncForsworn06Melee1HBretonBerserk</t>
  </si>
  <si>
    <t>0004429A</t>
  </si>
  <si>
    <t>EncForsworn06MissileBretonF01;EncForsworn06MissileBretonF02;EncForsworn06MissileBretonF03;EncForsworn06MissileBretonM01;EncForsworn06MissileBretonM02;EncForsworn06MissileBretonM03;EncForsworn06MissileBretonM04</t>
  </si>
  <si>
    <t>Xing - KS Heartquake</t>
  </si>
  <si>
    <t>00104B61</t>
  </si>
  <si>
    <t>Uvi_Wig_Spell_X_Dint_KS_Heartquake</t>
  </si>
  <si>
    <t>00104B60</t>
  </si>
  <si>
    <t>00104B5F</t>
  </si>
  <si>
    <t>Xing - KS Hello</t>
  </si>
  <si>
    <t>Uvi_Wig_Spell_X_Dint_KS_Hello</t>
  </si>
  <si>
    <t>00104B5E</t>
  </si>
  <si>
    <t>00104B5D</t>
  </si>
  <si>
    <t>Xing - KS Hourglass</t>
  </si>
  <si>
    <t>00104B5C</t>
  </si>
  <si>
    <t>Uvi_Wig_Spell_X_Dint_KS_Hourglass</t>
  </si>
  <si>
    <t>EncGuardImperialM01MaleNordCommander</t>
  </si>
  <si>
    <t>000AA8D4</t>
  </si>
  <si>
    <t>EncGuardImperialTemplate</t>
  </si>
  <si>
    <t>EncGuardImperialM02MaleNordCommander</t>
  </si>
  <si>
    <t>000AA8D5</t>
  </si>
  <si>
    <t>Xing - KS Kaysa</t>
  </si>
  <si>
    <t>Uvi_Wig_Spell_X_Dint_KS_Kaysa</t>
  </si>
  <si>
    <t>EncGuardImperialM03MaleNordCommander</t>
  </si>
  <si>
    <t>000AA8D6</t>
  </si>
  <si>
    <t>MQ104Soldier01</t>
  </si>
  <si>
    <t>EncGuardImperialM04MaleNordCommander</t>
  </si>
  <si>
    <t>000AA8D7</t>
  </si>
  <si>
    <t>Xing - KS Mhysa</t>
  </si>
  <si>
    <t>Uvi_Wig_Spell_X_Dint_KS_Mhysa</t>
  </si>
  <si>
    <t>MQ104Soldier03</t>
  </si>
  <si>
    <t>EncGuardImperialM05MaleGuard</t>
  </si>
  <si>
    <t>000AA8FC</t>
  </si>
  <si>
    <t>EncGuardImperialM06MaleGuard</t>
  </si>
  <si>
    <t>000AA8FD</t>
  </si>
  <si>
    <t>Xing - KS Peppermint</t>
  </si>
  <si>
    <t>EncGuardImperialM07MaleGuard</t>
  </si>
  <si>
    <t>000AA901</t>
  </si>
  <si>
    <t>Uvi_Wig_Spell_X_Dint_KS_Peppermint</t>
  </si>
  <si>
    <t>EncGuardImperialM08MaleGuard</t>
  </si>
  <si>
    <t>000AA913</t>
  </si>
  <si>
    <t>MQ104Soldier02</t>
  </si>
  <si>
    <t>EncGuardImperialM09MaleGuard</t>
  </si>
  <si>
    <t>000AA8D8</t>
  </si>
  <si>
    <t>MQ104Soldier04</t>
  </si>
  <si>
    <t>Xing - KS Renata</t>
  </si>
  <si>
    <t>000F6F37</t>
  </si>
  <si>
    <t>Uvi_Wig_Spell_X_Dint_KS_Renata</t>
  </si>
  <si>
    <t>EncGuardImperialM01MaleNordCommander;EncGuardImperialM02MaleNordCommander;EncGuardImperialM03MaleNordCommander;EncGuardImperialM04MaleNordCommander;EncGuardImperialM09MaleGuard;EncGuardImperialM05MaleGuard;EncGuardImperialM06MaleGuard;EncGuardImperialM07MaleGuard;EncGuardImperialM08MaleGuard</t>
  </si>
  <si>
    <t>EncGuardSonsF01FemaleNord</t>
  </si>
  <si>
    <t>000AA922</t>
  </si>
  <si>
    <t>EncGuardSonsTemplate</t>
  </si>
  <si>
    <t>TreasCorpseGuardRiften02</t>
  </si>
  <si>
    <t>Xing - KS Runaway</t>
  </si>
  <si>
    <t>EncGuardSonsF02FemaleNord</t>
  </si>
  <si>
    <t>000AA924</t>
  </si>
  <si>
    <t>Uvi_Wig_Spell_X_Dint_KS_Runaway</t>
  </si>
  <si>
    <t>EncGuardSonsF03FemaleNord</t>
  </si>
  <si>
    <t>000AA931</t>
  </si>
  <si>
    <t>000AA932</t>
  </si>
  <si>
    <t>Xing - KS SailAway</t>
  </si>
  <si>
    <t>Uvi_Wig_Spell_X_Dint_KS_SailAway</t>
  </si>
  <si>
    <t>E3DemoSoldier01;TreasCorpseGuardRiften01</t>
  </si>
  <si>
    <t>TreasCorpseGuardRiften01</t>
  </si>
  <si>
    <t>EncGuardSonsM02MaleNordCommander</t>
  </si>
  <si>
    <t>000AA933</t>
  </si>
  <si>
    <t>EncGuardSonsM03MaleNordCommander</t>
  </si>
  <si>
    <t>000AA935</t>
  </si>
  <si>
    <t>Xing - KS Shepherd</t>
  </si>
  <si>
    <t>EncGuardSonsM04MaleGuard</t>
  </si>
  <si>
    <t>000AA936</t>
  </si>
  <si>
    <t>Uvi_Wig_Spell_X_Dint_KS_Shepherd</t>
  </si>
  <si>
    <t>EncGuardSonsM05MaleGuard</t>
  </si>
  <si>
    <t>000AA942</t>
  </si>
  <si>
    <t>EncGuardSonsM06MaleGuard</t>
  </si>
  <si>
    <t>000AA943</t>
  </si>
  <si>
    <t>Xing - KS Shieldbrother</t>
  </si>
  <si>
    <t>Uvi_Wig_Spell_X_Dint_KS_Shieldbrother</t>
  </si>
  <si>
    <t>000F6F38</t>
  </si>
  <si>
    <t>EncGuardSonsF01FemaleNord;EncGuardSonsF02FemaleNord;EncGuardSonsF03FemaleNord;EncGuardSonsM01MaleNordCommander;EncGuardSonsM02MaleNordCommander;EncGuardSonsM03MaleNordCommander;EncGuardSonsM04MaleGuard;EncGuardSonsM05MaleGuard;EncGuardSonsM06MaleGuard</t>
  </si>
  <si>
    <t>00073FBE</t>
  </si>
  <si>
    <t>Hunter</t>
  </si>
  <si>
    <t>Xing - KS Shieldmaiden</t>
  </si>
  <si>
    <t>dunEldergleamPilgrimNordM;dunEldergleamPilgrimNordF;EncHunterImperialM;EncHunterNordM;EncHunterRedguardM;EncHunterWoodElfM;EncHunterImperialF;EncHunterWoodElfF;EncHunterRedguardF;EncHunterNordF;dunPOIVolcanicLuckyLorenze;dunSteepfallBurrowHunter;DLC2EncHunterNordF1</t>
  </si>
  <si>
    <t>Uvi_Wig_Spell_X_Dint_KS_Shieldmaiden</t>
  </si>
  <si>
    <t>EncHunterImperialF</t>
  </si>
  <si>
    <t>000BFB45</t>
  </si>
  <si>
    <t>POIVolcanicHunterImperialF</t>
  </si>
  <si>
    <t>EncHunterImperialM</t>
  </si>
  <si>
    <t>00073FBD</t>
  </si>
  <si>
    <t>TreasCorpseHunterImperialM</t>
  </si>
  <si>
    <t>EncHunterNordF</t>
  </si>
  <si>
    <t>Xing - KS Siren Forest</t>
  </si>
  <si>
    <t>000BFB48</t>
  </si>
  <si>
    <t>Uvi_Wig_Spell_X_Dint_KS_SirenForest</t>
  </si>
  <si>
    <t>WEFarmerFemale</t>
  </si>
  <si>
    <t>00073FBF</t>
  </si>
  <si>
    <t>TreasCorpseHunterNordM;POIVolcanicHunterNordM;WEFarmerMale;dunPOIDeadHunter;WEFarmerMale02;DLC1WEDB02Farmer</t>
  </si>
  <si>
    <t>EncHunterRedguardF</t>
  </si>
  <si>
    <t>000BFB47</t>
  </si>
  <si>
    <t>Xing - KS Sky084</t>
  </si>
  <si>
    <t>POIVolcanicHunterRedguardF</t>
  </si>
  <si>
    <t>Uvi_Wig_Spell_X_Dint_KS_Sky084</t>
  </si>
  <si>
    <t>EncHunterRedguardM</t>
  </si>
  <si>
    <t>00073FC0</t>
  </si>
  <si>
    <t>TreasCorpseHunterRedguardM</t>
  </si>
  <si>
    <t>EncHunterWoodElfF</t>
  </si>
  <si>
    <t>000BFB46</t>
  </si>
  <si>
    <t>EncHunterWoodElfM</t>
  </si>
  <si>
    <t>00073FC1</t>
  </si>
  <si>
    <t>Xing - KS Sky161</t>
  </si>
  <si>
    <t>TreasCorpseHunterWoodElfM</t>
  </si>
  <si>
    <t>Uvi_Wig_Spell_X_Dint_KS_Sky161</t>
  </si>
  <si>
    <t>EncNightingaleMeleeFemale01</t>
  </si>
  <si>
    <t>000E0CDF</t>
  </si>
  <si>
    <t>EncNightingaleTemplateFemale</t>
  </si>
  <si>
    <t>EncNightingaleMeleeMale01</t>
  </si>
  <si>
    <t>000E0CDE</t>
  </si>
  <si>
    <t>EncNightingaleTemplateMale</t>
  </si>
  <si>
    <t>EncNightingaleMissileFemale01</t>
  </si>
  <si>
    <t>000E0CE0</t>
  </si>
  <si>
    <t>Xing - KS Sky207</t>
  </si>
  <si>
    <t>Uvi_Wig_Spell_X_Dint_KS_Sky207</t>
  </si>
  <si>
    <t>EncNightingaleMissileMale01</t>
  </si>
  <si>
    <t>000E0CE1</t>
  </si>
  <si>
    <t>000DEEDF</t>
  </si>
  <si>
    <t>Nightingale Sentinel</t>
  </si>
  <si>
    <t>EncNightingaleMeleeFemale01;EncNightingaleMissileFemale01</t>
  </si>
  <si>
    <t>Xing - KS Sleeper</t>
  </si>
  <si>
    <t>000E0CDD</t>
  </si>
  <si>
    <t>Uvi_Wig_Spell_X_Dint_KS_Sleeper</t>
  </si>
  <si>
    <t>EncNightingaleMeleeMale01;EncNightingaleMissileMale01</t>
  </si>
  <si>
    <t>EncOrcHunter01M</t>
  </si>
  <si>
    <t>000D9448</t>
  </si>
  <si>
    <t>EncOrcHunterTemplate</t>
  </si>
  <si>
    <t>EncOrcHunter02M</t>
  </si>
  <si>
    <t>000D9449</t>
  </si>
  <si>
    <t>Xing - KS Somali</t>
  </si>
  <si>
    <t>EncOrcHunter03M</t>
  </si>
  <si>
    <t>000D944A</t>
  </si>
  <si>
    <t>Uvi_Wig_Spell_X_Dint_KS_Somali</t>
  </si>
  <si>
    <t>EncOrcHunter04M</t>
  </si>
  <si>
    <t>000D944B</t>
  </si>
  <si>
    <t>EncOrcHunter06M</t>
  </si>
  <si>
    <t>000D944D</t>
  </si>
  <si>
    <t>Xing - KS Soundwave</t>
  </si>
  <si>
    <t>000D9447</t>
  </si>
  <si>
    <t>Orc Hunter</t>
  </si>
  <si>
    <t>Uvi_Wig_Spell_X_Dint_KS_Soundwave</t>
  </si>
  <si>
    <t>EncOrcHunter01M;EncOrcHunter02M;EncOrcHunter03M;EncOrcHunter04M;EncOrcHunter06M</t>
  </si>
  <si>
    <t>0007D98C</t>
  </si>
  <si>
    <t>Penitus Oculatus Agent</t>
  </si>
  <si>
    <t>EncPenitus01Fire;EncPenitus02Fire;EncPenitus03Fire;EncPenitus04Fire;EncPenitus05Fire;EncPenitus06Fire;EncPenitus01Shock;EncPenitus02Shock;EncPenitus03Shock;EncPenitus04Shock;EncPenitus05Shock;EncPenitus06Shock;DB10TreasCorpsePenitusOculatus</t>
  </si>
  <si>
    <t>EncPenitus01Fire</t>
  </si>
  <si>
    <t>0007D990</t>
  </si>
  <si>
    <t>Xing - KS Sparks</t>
  </si>
  <si>
    <t>Uvi_Wig_Spell_X_Dint_KS_Sparks</t>
  </si>
  <si>
    <t>EncPenitus01Shock</t>
  </si>
  <si>
    <t>0007D998</t>
  </si>
  <si>
    <t>EncPenitus02Fire</t>
  </si>
  <si>
    <t>0007D991</t>
  </si>
  <si>
    <t>EncPenitus02Shock</t>
  </si>
  <si>
    <t>0007D999</t>
  </si>
  <si>
    <t>Xing - KS Spectrum</t>
  </si>
  <si>
    <t>Uvi_Wig_Spell_X_Dint_KS_Spectrum</t>
  </si>
  <si>
    <t>EncPenitus03Fire</t>
  </si>
  <si>
    <t>0007D992</t>
  </si>
  <si>
    <t>EncPenitus03Shock</t>
  </si>
  <si>
    <t>0007D99A</t>
  </si>
  <si>
    <t>EncPenitus04Fire</t>
  </si>
  <si>
    <t>0007D993</t>
  </si>
  <si>
    <t>Xing - KS Steammist</t>
  </si>
  <si>
    <t>EncPenitus04Shock</t>
  </si>
  <si>
    <t>Uvi_Wig_Spell_X_Dint_KS_Steammist</t>
  </si>
  <si>
    <t>0007D99B</t>
  </si>
  <si>
    <t>EncPenitus05Fire</t>
  </si>
  <si>
    <t>0007D994</t>
  </si>
  <si>
    <t>EncPenitus05Shock</t>
  </si>
  <si>
    <t>0007D99D</t>
  </si>
  <si>
    <t>EncPenitus06Fire</t>
  </si>
  <si>
    <t>Xing - KS Sunshine</t>
  </si>
  <si>
    <t>0007D995</t>
  </si>
  <si>
    <t>Uvi_Wig_Spell_X_Dint_KS_Sunshine</t>
  </si>
  <si>
    <t>EncPenitus06Shock</t>
  </si>
  <si>
    <t>0007D99E</t>
  </si>
  <si>
    <t>EncSailor00Template</t>
  </si>
  <si>
    <t>000C6011</t>
  </si>
  <si>
    <t>Sailor</t>
  </si>
  <si>
    <t>EncSailorNordM;EncSailorImperialM;EncSailorRedguardM</t>
  </si>
  <si>
    <t>Xing - KS Temptress</t>
  </si>
  <si>
    <t>EncSailorImperialM</t>
  </si>
  <si>
    <t>000C6012</t>
  </si>
  <si>
    <t>Uvi_Wig_Spell_X_Dint_KS_Temptress</t>
  </si>
  <si>
    <t>EncSailorNordM</t>
  </si>
  <si>
    <t>00088E0F</t>
  </si>
  <si>
    <t>EncSailorRedguardM</t>
  </si>
  <si>
    <t>000C6016</t>
  </si>
  <si>
    <t>00045BE0</t>
  </si>
  <si>
    <t>Imperial Archer</t>
  </si>
  <si>
    <t>Xing - KS Titanium</t>
  </si>
  <si>
    <t>Uvi_Wig_Spell_X_Dint_KS_Titanium</t>
  </si>
  <si>
    <t>CWSiegeImperialArcher;CWSiegeImperialArcherHold</t>
  </si>
  <si>
    <t>00041B30</t>
  </si>
  <si>
    <t>CWSiegeImperialSoldierOfficer;CWSiegeImperialSoldierHold</t>
  </si>
  <si>
    <t>00045BE4</t>
  </si>
  <si>
    <t>Stormcloak Archer</t>
  </si>
  <si>
    <t>Xing - KS Tsugumi 1</t>
  </si>
  <si>
    <t>CWSiegeSonsArcherInvul;CWSiegeSonsArcher;CWSiegeSonsArcherHold</t>
  </si>
  <si>
    <t>Uvi_Wig_Spell_X_Dint_KS_Tsugumi1</t>
  </si>
  <si>
    <t>00045BE5</t>
  </si>
  <si>
    <t>EncSoldierImperialBretonM01MaleSoldier</t>
  </si>
  <si>
    <t>00017145</t>
  </si>
  <si>
    <t>EncSoldierImperialBretonM02MaleYoungEager</t>
  </si>
  <si>
    <t>00017146</t>
  </si>
  <si>
    <t>Xing - KS Tsugumi 2</t>
  </si>
  <si>
    <t>Uvi_Wig_Spell_X_Dint_KS_Tsugumi2</t>
  </si>
  <si>
    <t>EncSoldierImperialImperialM01MaleSoldier</t>
  </si>
  <si>
    <t>00017140</t>
  </si>
  <si>
    <t>EncSoldierImperialImperialM02MaleYoungEager</t>
  </si>
  <si>
    <t>00017142</t>
  </si>
  <si>
    <t>Xing - KS Tsugumi 3</t>
  </si>
  <si>
    <t>EncSoldierImperialNordM01MaleSoldier</t>
  </si>
  <si>
    <t>0001713E</t>
  </si>
  <si>
    <t>Uvi_Wig_Spell_X_Dint_KS_Tsugumi3</t>
  </si>
  <si>
    <t>MQ304LostSoulImperial</t>
  </si>
  <si>
    <t>EncSoldierImperialNordM02MaleSoldier</t>
  </si>
  <si>
    <t>0001713F</t>
  </si>
  <si>
    <t>EncSoldierImperialNordM03MaleYoungEager</t>
  </si>
  <si>
    <t>00017141</t>
  </si>
  <si>
    <t>Xing - KS Veneris</t>
  </si>
  <si>
    <t>MQ304LostSoulImperial2</t>
  </si>
  <si>
    <t>Uvi_Wig_Spell_X_Dint_KS_Veneris</t>
  </si>
  <si>
    <t>EncSoldierImperialRedguardM01MaleSoldier</t>
  </si>
  <si>
    <t>00017143</t>
  </si>
  <si>
    <t>EncSoldierImperialRedguardM02MaleYoungEager</t>
  </si>
  <si>
    <t>00017144</t>
  </si>
  <si>
    <t>0001FC5D</t>
  </si>
  <si>
    <t>Xing - KS Venus</t>
  </si>
  <si>
    <t>Uvi_Wig_Spell_X_Dint_KS_Venus</t>
  </si>
  <si>
    <t>dunBluePalaceBully;EncSoldierImperialNordM01MaleSoldier;EncSoldierImperialNordM02MaleSoldier;EncSoldierImperialImperialM01MaleSoldier;EncSoldierImperialNordM03MaleYoungEager;EncSoldierImperialImperialM02MaleYoungEager;EncSoldierImperialRedguardM01MaleSoldier;EncSoldierImperialRedguardM02MaleYoungEager;EncSoldierImperialBretonM01MaleSoldier;EncSoldierImperialBretonM02MaleYoungEager;EncSoldierSonsTemplate;dunKorvanjundImpSoldierDead;EncGuardImperialM01MaleNordCommander;EncGuardImperialM02MaleNordCommander;EncGuardImperialM03MaleNordCommander;EncGuardImperialM04MaleNordCommander;EncGuardImperialM09MaleGuard;EncGuardImperialM05MaleGuard;EncGuardImperialM06MaleGuard;EncGuardImperialM07MaleGuard;EncGuardImperialM08MaleGuard</t>
  </si>
  <si>
    <t>EncSiegeImperialSoldierTemplate;EncGuardImperialTemplate;CWSiegeImperialSoldierOfficer;CWSiegeImperialSoldierHold</t>
  </si>
  <si>
    <t>EncSoldierSonsNordF01FemaleNord</t>
  </si>
  <si>
    <t>00017167</t>
  </si>
  <si>
    <t>EncSoldierSonsNordF02FemaleNord</t>
  </si>
  <si>
    <t>00017168</t>
  </si>
  <si>
    <t>Xing - SG Ginko02</t>
  </si>
  <si>
    <t>Uvi_Wig_Spell_X_Dint_SG_hairginko02</t>
  </si>
  <si>
    <t>EncSoldierSonsNordF03FemaleNord</t>
  </si>
  <si>
    <t>00017169</t>
  </si>
  <si>
    <t>EncSoldierSonsNordM01MaleNord</t>
  </si>
  <si>
    <t>0001716A</t>
  </si>
  <si>
    <t>MQ304LostSoulSons2</t>
  </si>
  <si>
    <t>EncSoldierSonsNordM02MaleNord</t>
  </si>
  <si>
    <t>0001716B</t>
  </si>
  <si>
    <t>Xing - SG hair25</t>
  </si>
  <si>
    <t>Uvi_Wig_Spell_X_Dint_SG_hair25</t>
  </si>
  <si>
    <t>MQ304LostSoulSons3</t>
  </si>
  <si>
    <t>EncSoldierSonsNordM03MaleNord</t>
  </si>
  <si>
    <t>0001716C</t>
  </si>
  <si>
    <t>MQ304LostSoulSons</t>
  </si>
  <si>
    <t>EncSoldierSonsNordM04MaleNord</t>
  </si>
  <si>
    <t>000770AF</t>
  </si>
  <si>
    <t>EncSoldierSonsNordM05MaleNord</t>
  </si>
  <si>
    <t>000770B0</t>
  </si>
  <si>
    <t>Xing - SG Haircoolsims89</t>
  </si>
  <si>
    <t>Uvi_Wig_Spell_X_Dint_SG_haircoolsims89</t>
  </si>
  <si>
    <t>Xing - SG hairpg4385</t>
  </si>
  <si>
    <t>Uvi_Wig_Spell_X_Dint_SG_hairpg4385</t>
  </si>
  <si>
    <t>EncSoldierSonsNordM06MaleNord</t>
  </si>
  <si>
    <t>000770B1</t>
  </si>
  <si>
    <t>00027498</t>
  </si>
  <si>
    <t>Xing - SG Lovelution</t>
  </si>
  <si>
    <t>Uvi_Wig_Spell_X_Dint_SG_hairlovelution</t>
  </si>
  <si>
    <t>EncSoldierSonsNordF01FemaleNord;EncSoldierSonsNordF02FemaleNord;EncSoldierSonsNordF03FemaleNord;EncSoldierSonsNordM01MaleNord;EncSoldierSonsNordM02MaleNord;EncSoldierSonsNordM03MaleNord;dunKorvanjundSonsSoldierDead;EncSoldierSonsNordM04MaleNord;EncSoldierSonsNordM05MaleNord;EncSoldierSonsNordM06MaleNord;EncGuardSonsF01FemaleNord;EncGuardSonsF02FemaleNord;EncGuardSonsF03FemaleNord;EncGuardSonsM01MaleNordCommander;EncGuardSonsM02MaleNordCommander;EncGuardSonsM03MaleNordCommander;EncGuardSonsM04MaleGuard;EncGuardSonsM05MaleGuard;EncGuardSonsM06MaleGuard</t>
  </si>
  <si>
    <t>EncSiegeSonsSoldierTemplate;EncGuardSonsTemplate;CWSiegeSonsSoldierHold</t>
  </si>
  <si>
    <t>EncTGSummerset01Melee1HHighElfM</t>
  </si>
  <si>
    <t>000C5677</t>
  </si>
  <si>
    <t>EncTGSummersetTemplate</t>
  </si>
  <si>
    <t>000C5676</t>
  </si>
  <si>
    <t>Summerset Shadow</t>
  </si>
  <si>
    <t>Xing - SG Misa</t>
  </si>
  <si>
    <t>EncThalmor00MeleeTemplate</t>
  </si>
  <si>
    <t>Uvi_Wig_Spell_X_Dint_SG_Misa</t>
  </si>
  <si>
    <t>0002B124</t>
  </si>
  <si>
    <t>Thalmor Soldier</t>
  </si>
  <si>
    <t>EncThalmor01Melee1HF;EncThalmor01Melee1HFDual;EncThalmor02Melee1HF;ValmirBASE;EncThalmor02Melee1HFShield;EncThalmor02Melee1HFDual;EncThalmor03Melee1HF;EncThalmor03Melee1HFShield;EncThalmor03Melee1HFDual;EncThalmor04Melee1HF;EncThalmor04Melee1HFShield;EncThalmor04Melee1HFDual;EncThalmor05Melee1HF;EncThalmor05Melee1HFShield;EncThalmor05Melee1HFDual</t>
  </si>
  <si>
    <t>EncThalmor01Melee1HM;EncThalmor02Melee1HM;EncThalmor03Melee1HM;EncThalmor04Melee1HM;EncThalmor05Melee1HM;TreasCorpseThalmorMelee1HM;TreasCorpseThalmorM;EncThalmor01Melee1HMDual;EncThalmor02Melee1HMShield;EncThalmor02Melee1HMDual;MQ201PartyGuard2;EncThalmor03Melee1HMShield;EncThalmor03Melee1HMDual;EncThalmor04Melee1HMShield;EncThalmor04Melee1HMDual;EncThalmor05Melee1HMShield;EncThalmor05Melee1HMDual</t>
  </si>
  <si>
    <t>EncThalmor00MissileTemplate</t>
  </si>
  <si>
    <t>000728AC</t>
  </si>
  <si>
    <t>EncThalmor01MissileF;EncThalmor02MissileF;EncThalmor03MissileF;EncThalmor04MissileF;EncThalmor05MissileF</t>
  </si>
  <si>
    <t>Xing - SG Misa2</t>
  </si>
  <si>
    <t>EncThalmor01MissileM;EncThalmor02MissileM;EncThalmor03MissileM;EncThalmor04MissileM;EncThalmor05MissileM</t>
  </si>
  <si>
    <t>EncThalmor00WizardTemplate</t>
  </si>
  <si>
    <t>Uvi_Wig_Spell_X_Dint_SG_Misa2</t>
  </si>
  <si>
    <t>000728AD</t>
  </si>
  <si>
    <t>Thalmor Wizard</t>
  </si>
  <si>
    <t>EncThalmor01MagicF;EncThalmor02MagicF;EncThalmor03MagicF;EncThalmor04MagicF;EncThalmor05MagicF;EncThalmor06MagicF;DLC2SV02Ancarion</t>
  </si>
  <si>
    <t>EncThalmor01MagicM;EncThalmor02MagicM;EncThalmor03MagicM;EncThalmor04MagicM;EncThalmor05MagicM;EncThalmor06MagicM;EncThalmor02MagicBossM;EncThalmor03MagicBossM;EncThalmor04MagicBossM;EncThalmor05MagicBossM;EncThalmor06MagicBossM</t>
  </si>
  <si>
    <t>EncThalmor01MagicF</t>
  </si>
  <si>
    <t>00072885</t>
  </si>
  <si>
    <t>EncThalmor01MagicM</t>
  </si>
  <si>
    <t>0002B125</t>
  </si>
  <si>
    <t>Xing - SG Sidebraids</t>
  </si>
  <si>
    <t>Uvi_Wig_Spell_X_Dint_SG_hairsidebraids</t>
  </si>
  <si>
    <t>EncThalmor01Melee1HF</t>
  </si>
  <si>
    <t>00072883</t>
  </si>
  <si>
    <t>EncThalmor01Melee1HFDual</t>
  </si>
  <si>
    <t>000F960B</t>
  </si>
  <si>
    <t>EncThalmor01Melee1HM</t>
  </si>
  <si>
    <t>Xing - SG Wildsoul</t>
  </si>
  <si>
    <t>0002B126</t>
  </si>
  <si>
    <t>Uvi_Wig_Spell_X_Dint_SG_hairWildsoul</t>
  </si>
  <si>
    <t>EncThalmor02Melee1HF;ValmirBASE;EncThalmor02Melee1HFShield;EncThalmor02Melee1HFDual</t>
  </si>
  <si>
    <t>TreasCorpseThalmorM;EncThalmor01Melee1HMDual</t>
  </si>
  <si>
    <t>EncThalmor01Melee1HMDual</t>
  </si>
  <si>
    <t>000F960A</t>
  </si>
  <si>
    <t>EncThalmor01MissileF</t>
  </si>
  <si>
    <t>00072884</t>
  </si>
  <si>
    <t>EncThalmor01MissileM</t>
  </si>
  <si>
    <t>0002B127</t>
  </si>
  <si>
    <t>EncThalmor02MagicBossM</t>
  </si>
  <si>
    <t>0007D987</t>
  </si>
  <si>
    <t>EncThalmor02MagicM</t>
  </si>
  <si>
    <t>EncThalmor02MagicF</t>
  </si>
  <si>
    <t>00072886</t>
  </si>
  <si>
    <t>000728AE</t>
  </si>
  <si>
    <t>EncThalmor02Melee1HF</t>
  </si>
  <si>
    <t>0007297A</t>
  </si>
  <si>
    <t>EncThalmor02Melee1HFDual</t>
  </si>
  <si>
    <t>000F960E</t>
  </si>
  <si>
    <t>EncThalmor02Melee1HFShield</t>
  </si>
  <si>
    <t>000F95F2</t>
  </si>
  <si>
    <t>EncThalmor02Melee1HM</t>
  </si>
  <si>
    <t>00072AA6</t>
  </si>
  <si>
    <t>EncThalmor02Melee1HMShield;EncThalmor02Melee1HMDual</t>
  </si>
  <si>
    <t>EncThalmor02Melee1HMDual</t>
  </si>
  <si>
    <t>000F960D</t>
  </si>
  <si>
    <t>EncThalmor02Melee1HMShield</t>
  </si>
  <si>
    <t>000F95F1</t>
  </si>
  <si>
    <t>EncThalmor02MissileF</t>
  </si>
  <si>
    <t>00072AA8</t>
  </si>
  <si>
    <t>EncThalmor02MissileM</t>
  </si>
  <si>
    <t>00072AF6</t>
  </si>
  <si>
    <t>0007D988</t>
  </si>
  <si>
    <t>EncThalmor03MagicM</t>
  </si>
  <si>
    <t>EncThalmor03MagicF</t>
  </si>
  <si>
    <t>0007D95F</t>
  </si>
  <si>
    <t>0007D960</t>
  </si>
  <si>
    <t>EncThalmor03MagicF;DLC2SV02Ancarion</t>
  </si>
  <si>
    <t>EncThalmor03Melee1HF</t>
  </si>
  <si>
    <t>0007D961</t>
  </si>
  <si>
    <t>EncThalmor03Melee1HM</t>
  </si>
  <si>
    <t>MQ201PartyGuard</t>
  </si>
  <si>
    <t>EncThalmor03Melee1HFDual</t>
  </si>
  <si>
    <t>000F9610</t>
  </si>
  <si>
    <t>EncThalmor03Melee1HFShield</t>
  </si>
  <si>
    <t>000F95F4</t>
  </si>
  <si>
    <t>0007D962</t>
  </si>
  <si>
    <t>EncThalmor03Melee1HF;EncThalmor03Melee1HFShield;EncThalmor03Melee1HFDual</t>
  </si>
  <si>
    <t>MQ201PartyGuard2;EncThalmor03Melee1HMShield;EncThalmor03Melee1HMDual</t>
  </si>
  <si>
    <t>EncThalmor03Melee1HMDual</t>
  </si>
  <si>
    <t>000F960F</t>
  </si>
  <si>
    <t>EncThalmor03Melee1HMShield</t>
  </si>
  <si>
    <t>000F95F3</t>
  </si>
  <si>
    <t>EncThalmor03MissileF</t>
  </si>
  <si>
    <t>0007D963</t>
  </si>
  <si>
    <t>EncThalmor03MissileM</t>
  </si>
  <si>
    <t>0007D964</t>
  </si>
  <si>
    <t>EncThalmor04MagicBossM</t>
  </si>
  <si>
    <t>0007D989</t>
  </si>
  <si>
    <t>EncThalmor04MagicM</t>
  </si>
  <si>
    <t>EncThalmor04MagicF</t>
  </si>
  <si>
    <t>0007D965</t>
  </si>
  <si>
    <t>0007D966</t>
  </si>
  <si>
    <t>EncThalmor04Melee1HF</t>
  </si>
  <si>
    <t>0007D967</t>
  </si>
  <si>
    <t>EncThalmor04Melee1HM</t>
  </si>
  <si>
    <t>EncThalmor04Melee1HFDual</t>
  </si>
  <si>
    <t>000F9612</t>
  </si>
  <si>
    <t>EncThalmor04Melee1HFShield</t>
  </si>
  <si>
    <t>000F95F6</t>
  </si>
  <si>
    <t>0007D96E</t>
  </si>
  <si>
    <t>EncThalmor04Melee1HF;EncThalmor04Melee1HFShield;EncThalmor04Melee1HFDual</t>
  </si>
  <si>
    <t>EncThalmor04Melee1HMShield;EncThalmor04Melee1HMDual</t>
  </si>
  <si>
    <t>EncThalmor04Melee1HMDual</t>
  </si>
  <si>
    <t>000F9611</t>
  </si>
  <si>
    <t>EncThalmor04Melee1HMShield</t>
  </si>
  <si>
    <t>000F95F5</t>
  </si>
  <si>
    <t>EncThalmor04MissileF</t>
  </si>
  <si>
    <t>0007D968</t>
  </si>
  <si>
    <t>EncThalmor04MissileM</t>
  </si>
  <si>
    <t>0007D969</t>
  </si>
  <si>
    <t>EncThalmor05MagicBossM</t>
  </si>
  <si>
    <t>0007D98A</t>
  </si>
  <si>
    <t>EncThalmor05MagicM</t>
  </si>
  <si>
    <t>EncThalmor05MagicF</t>
  </si>
  <si>
    <t>0007D96A</t>
  </si>
  <si>
    <t>0007D96B</t>
  </si>
  <si>
    <t>EncThalmor05Melee1HF</t>
  </si>
  <si>
    <t>0007D96C</t>
  </si>
  <si>
    <t>EncThalmor05Melee1HM</t>
  </si>
  <si>
    <t>EncThalmor05Melee1HFDual</t>
  </si>
  <si>
    <t>000F9614</t>
  </si>
  <si>
    <t>EncThalmor05Melee1HFShield</t>
  </si>
  <si>
    <t>000F95F8</t>
  </si>
  <si>
    <t>0007D96F</t>
  </si>
  <si>
    <t>EncThalmor05Melee1HF;EncThalmor05Melee1HFShield;EncThalmor05Melee1HFDual</t>
  </si>
  <si>
    <t>EncThalmor05Melee1HMShield;EncThalmor05Melee1HMDual</t>
  </si>
  <si>
    <t>EncThalmor05Melee1HMDual</t>
  </si>
  <si>
    <t>000F9613</t>
  </si>
  <si>
    <t>EncThalmor05Melee1HMShield</t>
  </si>
  <si>
    <t>000F95F7</t>
  </si>
  <si>
    <t>EncThalmor05MissileF</t>
  </si>
  <si>
    <t>0007D96D</t>
  </si>
  <si>
    <t>EncThalmor05MissileM</t>
  </si>
  <si>
    <t>0007D970</t>
  </si>
  <si>
    <t>EncThalmor06MagicBossM</t>
  </si>
  <si>
    <t>0007D98B</t>
  </si>
  <si>
    <t>EncThalmor06MagicM</t>
  </si>
  <si>
    <t>EncThalmor06MagicF</t>
  </si>
  <si>
    <t>0007D971</t>
  </si>
  <si>
    <t>0007D972</t>
  </si>
  <si>
    <t>EncVampire00BretonF</t>
  </si>
  <si>
    <t>00107A9B</t>
  </si>
  <si>
    <t>EncVampire00DarkElfF</t>
  </si>
  <si>
    <t>00107A9C</t>
  </si>
  <si>
    <t>EncVampire00HighElfF</t>
  </si>
  <si>
    <t>00107A9D</t>
  </si>
  <si>
    <t>EncVampire00ImperialF</t>
  </si>
  <si>
    <t>00107A9E</t>
  </si>
  <si>
    <t>EncVampire00NordF</t>
  </si>
  <si>
    <t>00107A9F</t>
  </si>
  <si>
    <t>00032FE7</t>
  </si>
  <si>
    <t>Vampire Fledgling</t>
  </si>
  <si>
    <t>EncVampire00BretonF;EncVampire00DarkElfF;EncVampire00HighElfF;EncVampire00ImperialF;EncVampire00NordF;DLC1EncVampire00TemplateBoss;DLC1EncVampire00NordF;DLC1EncVampire00DarkElfF;DLC1EncVampire00BretonF;EncVampire01BretonF;EncVampire01DarkElfF;EncVampire01HighElfF;EncVampire01ImperialF;EncVampire01NordF;DLC1EncVampire01TemplateBoss;DLC1EncVampire01BretonF;DLC1EncVampire01DarkElfF;DLC1EncVampire01NordF;EncVampire02BretonF;EncVampire02DarkElfF;EncVampire02HighElfF;EncVampire02ImperialF;EncVampire02NordF;DLC1EncVampire02BretonF;DLC1EncVampire02DarkElfF;DLC1EncVampire02NordF;EncVampire03BretonF;EncVampire03DarkElfF;EncVampire03HighElfF;EncVampire03ImperialF;EncVampire03NordF;DLC1EncVampire03BretonF;DLC1EncVampire03DarkElfF;DLC1EncVampire03NordF;EncVampire04BretonF;EncVampire04DarkElfF;EncVampire04HighElfF;EncVampire04ImperialF;EncVampire04NordF;DLC1EncVampire04BretonF;DLC1EncVampire04DarkElfF;DLC1EncVampire04NordF;EncVampire05BretonF;EncVampire05DarkElfF;EncVampire05HighElfF;EncVampire05ImperialF;EncVampire05NordF;DLC1EncVampire05BretonF;DLC1EncVampire05DarkElfF;DLC1EncVampire05NordF;EncVampire06BretonF;EncVampire06DarkElfF;EncVampire06HighElfF;EncVampire06ImperialF;EncVampire06NordF;DLC1EncVampire06BretonF;DLC1EncVampire06DarkElfF;DLC1EncVampire06NordF;DLC1EncVampire07BretonF;DLC1EncVampire07DarkElfF;DLC1EncVampire07HighElfF;DLC1EncVampire07ImperialF;DLC1EncVampire07NordF;DLC1EncVampire07BretonFAlt;DLC1EncVampire07DarkElfFAlt;DLC1EncVampire07NordFAlt;EncVampire02BossBretonM;EncVampire02BossDarkElfM;EncVampire02BossHighElfM;EncVampire02BossNordM;EncVampire02BossImperialM;EncVampire03BossBretonM;EncVampire03BossDarkElfM;EncVampire03BossHighElfM;EncVampire03BossNordM;EncVampire03BossImperialM;EncVampire04BossBretonM;EncVampire04BossDarkElfM;EncVampire04BossHighElfM;EncVampire04BossNordM;EncVampire04BossImperialM;EncVampire05BossBretonM;EncVampire05BossHighElfM;EncVampire05BossDarkElfM;EncVampire05BossNordM;EncVampire05BossImperialM;EncVampire06BossBretonM;EncVampire06BossDarkElfM;EncVampire06BossHighElfM;EncVampire06BossNordM;EncVampire06BossImperialM;DLC1EncVampire07BossBretonM;DLC1EncVampire07BossDarkElfM;DLC1EncVampire07BossHighElfM;DLC1EncVampire07BossImperialM;DLC1EncVampire07BossNordM</t>
  </si>
  <si>
    <t>EncVampire01Template;EncVampire02Template;EncVampire03Template;EncVampire04Template;EncVampire05Template;EncVampire06Template;DLC1EncVampire07Template;EncVampire02TemplateBoss;EncVampire03TemplateBoss;EncVampire04TemplateBoss;EncVampire05TemplateBoss;EncVampire06TemplateBoss;DLC1EncVampire07TemplateBoss</t>
  </si>
  <si>
    <t>0003300E</t>
  </si>
  <si>
    <t>TreasCorpseVampireBretonFemale;dunFellglow_TreasCorpseVampire01</t>
  </si>
  <si>
    <t>EncVampire01DarkElfF</t>
  </si>
  <si>
    <t>0003315A</t>
  </si>
  <si>
    <t>TreasCorpseVampireDarkElfFemale</t>
  </si>
  <si>
    <t>000332C1</t>
  </si>
  <si>
    <t>TreasCorpseVampireHighElfFemale;dunFellglow_TreasCorpseVampire04</t>
  </si>
  <si>
    <t>EncVampire01ImperialF</t>
  </si>
  <si>
    <t>000332C4</t>
  </si>
  <si>
    <t>TreasCorpseVampireImperialFemale</t>
  </si>
  <si>
    <t>EncVampire01NordF</t>
  </si>
  <si>
    <t>00033424</t>
  </si>
  <si>
    <t>TreasCorpseVampireNordFemale</t>
  </si>
  <si>
    <t>00032FE8</t>
  </si>
  <si>
    <t>EncVampire01BretonF;EncVampire01DarkElfF;EncVampire01HighElfF;EncVampire01ImperialF;EncVampire01NordF;DLC1EncVampire01TemplateBoss;DLC1EncVampire01BretonF;DLC1EncVampire01DarkElfF;DLC1EncVampire01NordF</t>
  </si>
  <si>
    <t>EncVampire02BossBretonM</t>
  </si>
  <si>
    <t>0002E1DC</t>
  </si>
  <si>
    <t>EncVampire02TemplateBoss</t>
  </si>
  <si>
    <t>TreasCorpseVampireBretonMale</t>
  </si>
  <si>
    <t>0002E1DD</t>
  </si>
  <si>
    <t>TreasCorpseVampireDarkElfMale;dunFellglow_TreasCorpseVampire02</t>
  </si>
  <si>
    <t>EncVampire02BossHighElfM</t>
  </si>
  <si>
    <t>0002E1E1</t>
  </si>
  <si>
    <t>TreasCorpseVampireHighElfMale</t>
  </si>
  <si>
    <t>0003377B</t>
  </si>
  <si>
    <t>TreasCorpseVampireImperialMale;dunFellglow_TreasCorpseVampire03</t>
  </si>
  <si>
    <t>EncVampire02BossNordM</t>
  </si>
  <si>
    <t>0002E1E2</t>
  </si>
  <si>
    <t>TreasCorpseVampireNordMale</t>
  </si>
  <si>
    <t>EncVampire02BretonF</t>
  </si>
  <si>
    <t>00033853</t>
  </si>
  <si>
    <t>EncVampire02DarkElfF</t>
  </si>
  <si>
    <t>00033854</t>
  </si>
  <si>
    <t>EncVampire02HighElfF</t>
  </si>
  <si>
    <t>00033855</t>
  </si>
  <si>
    <t>EncVampire02ImperialF</t>
  </si>
  <si>
    <t>0003386E</t>
  </si>
  <si>
    <t>EncVampire02NordF</t>
  </si>
  <si>
    <t>0003386F</t>
  </si>
  <si>
    <t>0003384E</t>
  </si>
  <si>
    <t>Blooded Vampire</t>
  </si>
  <si>
    <t>EncVampire02BretonF;EncVampire02DarkElfF;EncVampire02HighElfF;EncVampire02ImperialF;EncVampire02NordF;DLC1EncVampire02BretonF;DLC1EncVampire02DarkElfF;DLC1EncVampire02NordF;EncVampire02BossBretonM;EncVampire02BossDarkElfM;EncVampire02BossHighElfM;EncVampire02BossNordM;EncVampire02BossImperialM</t>
  </si>
  <si>
    <t>0002E098</t>
  </si>
  <si>
    <t>Master Vampire</t>
  </si>
  <si>
    <t>EncVampire02BossBretonM;EncVampire02BossDarkElfM;EncVampire02BossHighElfM;EncVampire02BossNordM;EncVampire02BossImperialM</t>
  </si>
  <si>
    <t>EncVampire03BossBretonM</t>
  </si>
  <si>
    <t>0002E1F1</t>
  </si>
  <si>
    <t>EncVampire03TemplateBoss</t>
  </si>
  <si>
    <t>EncVampire03BossDarkElfM</t>
  </si>
  <si>
    <t>0002E1F8</t>
  </si>
  <si>
    <t>EncVampire03BossHighElfM</t>
  </si>
  <si>
    <t>0002E1F9</t>
  </si>
  <si>
    <t>EncVampire03BossImperialM</t>
  </si>
  <si>
    <t>0003377C</t>
  </si>
  <si>
    <t>EncVampire03BossNordM</t>
  </si>
  <si>
    <t>0002E1FC</t>
  </si>
  <si>
    <t>EncVampire03BretonF</t>
  </si>
  <si>
    <t>00033870</t>
  </si>
  <si>
    <t>EncVampire03DarkElfF</t>
  </si>
  <si>
    <t>00033875</t>
  </si>
  <si>
    <t>EncVampire03HighElfF</t>
  </si>
  <si>
    <t>0003387B</t>
  </si>
  <si>
    <t>EncVampire03ImperialF</t>
  </si>
  <si>
    <t>0003387C</t>
  </si>
  <si>
    <t>EncVampire03NordF</t>
  </si>
  <si>
    <t>0003387D</t>
  </si>
  <si>
    <t>0003384F</t>
  </si>
  <si>
    <t>Vampire Mistwalker</t>
  </si>
  <si>
    <t>EncVampire03BretonF;EncVampire03DarkElfF;EncVampire03HighElfF;EncVampire03ImperialF;EncVampire03NordF;DLC1EncVampire03BretonF;DLC1EncVampire03DarkElfF;DLC1EncVampire03NordF;EncVampire03BossBretonM;EncVampire03BossDarkElfM;EncVampire03BossHighElfM;EncVampire03BossNordM;EncVampire03BossImperialM</t>
  </si>
  <si>
    <t>0002E12A</t>
  </si>
  <si>
    <t>EncVampire03BossBretonM;EncVampire03BossDarkElfM;EncVampire03BossHighElfM;EncVampire03BossNordM;EncVampire03BossImperialM</t>
  </si>
  <si>
    <t>EncVampire04BossBretonM</t>
  </si>
  <si>
    <t>0002E509</t>
  </si>
  <si>
    <t>EncVampire04TemplateBoss</t>
  </si>
  <si>
    <t>EncVampire04BossDarkElfM</t>
  </si>
  <si>
    <t>0002E50A</t>
  </si>
  <si>
    <t>EncVampire04BossHighElfM</t>
  </si>
  <si>
    <t>0002E511</t>
  </si>
  <si>
    <t>EncVampire04BossImperialM</t>
  </si>
  <si>
    <t>00033828</t>
  </si>
  <si>
    <t>EncVampire04BossNordM</t>
  </si>
  <si>
    <t>0002E519</t>
  </si>
  <si>
    <t>EncVampire04BretonF</t>
  </si>
  <si>
    <t>0003387E</t>
  </si>
  <si>
    <t>EncVampire04DarkElfF</t>
  </si>
  <si>
    <t>0003387F</t>
  </si>
  <si>
    <t>EncVampire04HighElfF</t>
  </si>
  <si>
    <t>00033880</t>
  </si>
  <si>
    <t>EncVampire04ImperialF</t>
  </si>
  <si>
    <t>00033881</t>
  </si>
  <si>
    <t>EncVampire04NordF</t>
  </si>
  <si>
    <t>00033882</t>
  </si>
  <si>
    <t>00033850</t>
  </si>
  <si>
    <t>Vampire Nightstalker</t>
  </si>
  <si>
    <t>EncVampire04BretonF;EncVampire04DarkElfF;EncVampire04HighElfF;EncVampire04ImperialF;EncVampire04NordF;DLC1EncVampire04BretonF;DLC1EncVampire04DarkElfF;DLC1EncVampire04NordF;EncVampire04BossBretonM;EncVampire04BossDarkElfM;EncVampire04BossHighElfM;EncVampire04BossNordM;EncVampire04BossImperialM</t>
  </si>
  <si>
    <t>0002E1B1</t>
  </si>
  <si>
    <t>EncVampire04BossBretonM;EncVampire04BossDarkElfM;EncVampire04BossHighElfM;EncVampire04BossNordM;EncVampire04BossImperialM</t>
  </si>
  <si>
    <t>EncVampire05BossBretonM</t>
  </si>
  <si>
    <t>0002EA9B</t>
  </si>
  <si>
    <t>EncVampire05TemplateBoss</t>
  </si>
  <si>
    <t>EncVampire05BossDarkElfM</t>
  </si>
  <si>
    <t>0002EA9D</t>
  </si>
  <si>
    <t>EncVampire05BossHighElfM</t>
  </si>
  <si>
    <t>0002EA9C</t>
  </si>
  <si>
    <t>EncVampire05BossImperialM</t>
  </si>
  <si>
    <t>0003383E</t>
  </si>
  <si>
    <t>EncVampire05BossNordM</t>
  </si>
  <si>
    <t>0002EA9E</t>
  </si>
  <si>
    <t>EncVampire05BretonF</t>
  </si>
  <si>
    <t>00033883</t>
  </si>
  <si>
    <t>EncVampire05DarkElfF</t>
  </si>
  <si>
    <t>00033884</t>
  </si>
  <si>
    <t>EncVampire05HighElfF</t>
  </si>
  <si>
    <t>00033885</t>
  </si>
  <si>
    <t>EncVampire05ImperialF</t>
  </si>
  <si>
    <t>00033886</t>
  </si>
  <si>
    <t>EncVampire05NordF</t>
  </si>
  <si>
    <t>00033887</t>
  </si>
  <si>
    <t>00033851</t>
  </si>
  <si>
    <t>Ancient Vampire</t>
  </si>
  <si>
    <t>EncVampire05BretonF;EncVampire05DarkElfF;EncVampire05HighElfF;EncVampire05ImperialF;EncVampire05NordF;DLC1EncVampire05BretonF;DLC1EncVampire05DarkElfF;DLC1EncVampire05NordF;EncVampire05BossBretonM;EncVampire05BossHighElfM;EncVampire05BossDarkElfM;EncVampire05BossNordM;EncVampire05BossImperialM</t>
  </si>
  <si>
    <t>0002E1B8</t>
  </si>
  <si>
    <t>EncVampire05BossBretonM;EncVampire05BossHighElfM;EncVampire05BossDarkElfM;EncVampire05BossNordM;EncVampire05BossImperialM</t>
  </si>
  <si>
    <t>EncVampire06BossBretonM</t>
  </si>
  <si>
    <t>0002EABE</t>
  </si>
  <si>
    <t>EncVampire06TemplateBoss</t>
  </si>
  <si>
    <t>EncVampire06BossDarkElfM</t>
  </si>
  <si>
    <t>0002EABF</t>
  </si>
  <si>
    <t>EncVampire06BossHighElfM</t>
  </si>
  <si>
    <t>0002EAC0</t>
  </si>
  <si>
    <t>EncVampire06BossImperialM</t>
  </si>
  <si>
    <t>0003383F</t>
  </si>
  <si>
    <t>EncVampire06BossNordM</t>
  </si>
  <si>
    <t>0002EAC1</t>
  </si>
  <si>
    <t>EncVampire06BretonF</t>
  </si>
  <si>
    <t>00033888</t>
  </si>
  <si>
    <t>EncVampire06DarkElfF</t>
  </si>
  <si>
    <t>00033929</t>
  </si>
  <si>
    <t>EncVampire06HighElfF</t>
  </si>
  <si>
    <t>0003392D</t>
  </si>
  <si>
    <t>EncVampire06ImperialF</t>
  </si>
  <si>
    <t>0003392E</t>
  </si>
  <si>
    <t>EncVampire06NordF</t>
  </si>
  <si>
    <t>0003392F</t>
  </si>
  <si>
    <t>00033852</t>
  </si>
  <si>
    <t>Volkihar Vampire</t>
  </si>
  <si>
    <t>EncVampire06BretonF;EncVampire06DarkElfF;EncVampire06HighElfF;EncVampire06ImperialF;EncVampire06NordF;DLC1EncVampire06BretonF;DLC1EncVampire06DarkElfF;DLC1EncVampire06NordF;EncVampire06BossBretonM;EncVampire06BossDarkElfM;EncVampire06BossHighElfM;EncVampire06BossNordM;EncVampire06BossImperialM</t>
  </si>
  <si>
    <t>0002E1BF</t>
  </si>
  <si>
    <t>Volkihar Master Vampire</t>
  </si>
  <si>
    <t>EncVampire06BossBretonM;EncVampire06BossDarkElfM;EncVampire06BossHighElfM;EncVampire06BossNordM;EncVampire06BossImperialM</t>
  </si>
  <si>
    <t>EncVigilantOfStendarr00Template</t>
  </si>
  <si>
    <t>000BFB54</t>
  </si>
  <si>
    <t>Vigilant of Stendarr</t>
  </si>
  <si>
    <t>EncVigilantOfStendarr01DarkElfF;EncVigilantOfStendarr01NordF;EncVigilantOfStendarr01NordM01;EncVigilantOfStendarr01RedguardF;EncVigilantOfStendarr01NordM02;EncVigilantOfStendarr01NordM03;EncVigilantOfStendarr01NordM04;DLC1HunterBaseIntroVigilant1;DLC1HunterBaseIntroVigilant2</t>
  </si>
  <si>
    <t>TreasCorpseVigilantOfStendarrMale;EncVigilantOfStendarr01MeleeTemplate</t>
  </si>
  <si>
    <t>EncVigilantOfStendarr01DarkElfF</t>
  </si>
  <si>
    <t>0010C44E</t>
  </si>
  <si>
    <t>EncVigilantOfStendarr02DarkElfF;EncVigilantOfStendarr03DarkElfF;EncVigilantOfStendarr04DarkElfF;EncVigilantOfStendarr05DarkElfF</t>
  </si>
  <si>
    <t>0010C44C</t>
  </si>
  <si>
    <t>EncVigilantOfStendarr01NordF</t>
  </si>
  <si>
    <t>0010C453</t>
  </si>
  <si>
    <t>EncVigilantOfStendarr02NordF;EncVigilantOfStendarr03NordF;EncVigilantOfStendarr04NordF;EncVigilantOfStendarr05NordF;TreasCorpseVigilantOfStendarrFemale</t>
  </si>
  <si>
    <t>EncVigilantOfStendarr01NordM01</t>
  </si>
  <si>
    <t>0010C454</t>
  </si>
  <si>
    <t>EncVigilantOfStendarr02NordM01;EncVigilantOfStendarr03NordM01;EncVigilantOfStendarr04NordM01;EncVigilantOfStendarr05NordM01</t>
  </si>
  <si>
    <t>EncVigilantOfStendarr01NordM02</t>
  </si>
  <si>
    <t>0010C456</t>
  </si>
  <si>
    <t>EncVigilantOfStendarr02NordM02;EncVigilantOfStendarr03NordM02;EncVigilantOfStendarr04NordM02;EncVigilantOfStendarr05NordM02;TreasCorpseVigilantOfStendarrMale02;DLC1VigilantAdalvald</t>
  </si>
  <si>
    <t>EncVigilantOfStendarr01NordM03</t>
  </si>
  <si>
    <t>0010C457</t>
  </si>
  <si>
    <t>EncVigilantOfStendarr03NordM03;EncVigilantOfStendarr02NordM03;EncVigilantOfStendarr04NordM03;EncVigilantOfStendarr05NordM03</t>
  </si>
  <si>
    <t>EncVigilantOfStendarr01NordM04</t>
  </si>
  <si>
    <t>0010C458</t>
  </si>
  <si>
    <t>EncVigilantOfStendarr02NordM04;EncVigilantOfStendarr03NordM04;EncVigilantOfStendarr04NordM04;EncVigilantOfStendarr05NordM04</t>
  </si>
  <si>
    <t>EncVigilantOfStendarr01RedguardF</t>
  </si>
  <si>
    <t>0010C455</t>
  </si>
  <si>
    <t>EncVigilantOfStendarr02RedguardF;EncVigilantOfStendarr03RedguardF;EncVigilantOfStendarr04RedguardF;EncVigilantOfStendarr05RedguardF;TreasCorpseVigilantOfStendarrFemale02</t>
  </si>
  <si>
    <t>EncVigilantOfStendarr02DarkElfF</t>
  </si>
  <si>
    <t>0010C46F</t>
  </si>
  <si>
    <t>EncVigilantOfStendarr02NordF</t>
  </si>
  <si>
    <t>0010C470</t>
  </si>
  <si>
    <t>EncVigilantOfStendarr02NordM01</t>
  </si>
  <si>
    <t>0010C471</t>
  </si>
  <si>
    <t>0010C472</t>
  </si>
  <si>
    <t>EncVigilantOfStendarr02NordM03</t>
  </si>
  <si>
    <t>0010C474</t>
  </si>
  <si>
    <t>EncVigilantOfStendarr02NordM04</t>
  </si>
  <si>
    <t>0010C475</t>
  </si>
  <si>
    <t>EncVigilantOfStendarr02RedguardF</t>
  </si>
  <si>
    <t>0010C476</t>
  </si>
  <si>
    <t>EncVigilantOfStendarr03DarkElfF</t>
  </si>
  <si>
    <t>0010C477</t>
  </si>
  <si>
    <t>EncVigilantOfStendarr03NordF</t>
  </si>
  <si>
    <t>0010C478</t>
  </si>
  <si>
    <t>EncVigilantOfStendarr03NordM01</t>
  </si>
  <si>
    <t>0010C479</t>
  </si>
  <si>
    <t>EncVigilantOfStendarr03NordM02</t>
  </si>
  <si>
    <t>0010C47A</t>
  </si>
  <si>
    <t>EncVigilantOfStendarr03NordM03</t>
  </si>
  <si>
    <t>0010C473</t>
  </si>
  <si>
    <t>EncVigilantOfStendarr03NordM04</t>
  </si>
  <si>
    <t>0010C47B</t>
  </si>
  <si>
    <t>EncVigilantOfStendarr03RedguardF</t>
  </si>
  <si>
    <t>0010C47C</t>
  </si>
  <si>
    <t>EncVigilantOfStendarr04DarkElfF</t>
  </si>
  <si>
    <t>0010C47D</t>
  </si>
  <si>
    <t>EncVigilantOfStendarr04NordF</t>
  </si>
  <si>
    <t>0010C47E</t>
  </si>
  <si>
    <t>EncVigilantOfStendarr04NordM01</t>
  </si>
  <si>
    <t>0010C47F</t>
  </si>
  <si>
    <t>EncVigilantOfStendarr04NordM02</t>
  </si>
  <si>
    <t>0010C480</t>
  </si>
  <si>
    <t>EncVigilantOfStendarr04NordM03</t>
  </si>
  <si>
    <t>0010C481</t>
  </si>
  <si>
    <t>EncVigilantOfStendarr04NordM04</t>
  </si>
  <si>
    <t>0010C482</t>
  </si>
  <si>
    <t>EncVigilantOfStendarr04RedguardF</t>
  </si>
  <si>
    <t>0010C483</t>
  </si>
  <si>
    <t>EncVigilantOfStendarr05DarkElfF</t>
  </si>
  <si>
    <t>0010C48A</t>
  </si>
  <si>
    <t>EncVigilantOfStendarr05NordF</t>
  </si>
  <si>
    <t>0010C484</t>
  </si>
  <si>
    <t>EncVigilantOfStendarr05NordM01</t>
  </si>
  <si>
    <t>0010C485</t>
  </si>
  <si>
    <t>EncVigilantOfStendarr05NordM02</t>
  </si>
  <si>
    <t>0010C486</t>
  </si>
  <si>
    <t>EncVigilantOfStendarr05NordM03</t>
  </si>
  <si>
    <t>0010C487</t>
  </si>
  <si>
    <t>EncVigilantOfStendarr05NordM04</t>
  </si>
  <si>
    <t>0010C488</t>
  </si>
  <si>
    <t>EncVigilantOfStendarr05RedguardF</t>
  </si>
  <si>
    <t>0010C489</t>
  </si>
  <si>
    <t>EncWarlock00Template</t>
  </si>
  <si>
    <t>00044CCC</t>
  </si>
  <si>
    <t>EncWarlock01TemplateFire;EncWarlock01TemplateIce;EncWarlock01TemplateStorm;EncWarlock02TemplateFire;EncWarlock02TemplateIce;EncWarlock02TemplateStorm;EncWarlock03TemplateFire;EncWarlock03TemplateIce;EncWarlock03TemplateStorm;EncWarlock04TemplateFire;EncWarlock04TemplateIce;EncWarlock04TemplateStorm;EncWarlock05TemplateFire;EncWarlock05TemplateIce;EncWarlock05TemplateStorm;EncWarlock06TemplateFire;EncWarlock06TemplateIce;EncWarlock06TemplateStorm;EncWarlock01TemplateNecro;EncWarlock02TemplateNecro;EncWarlock03TemplateNecro;EncWarlock04TemplateNecro;EncWarlock05TemplateNecro;EncWarlock06TemplateNecro;EncWarlock01TemplateConjurer;EncWarlock02TemplateConjurer;EncWarlock03TemplateConjurer;EncWarlock04TemplateConjurer;EncWarlock05TemplateConjurer;EncWarlock06TemplateConjurer;WIChangeLocation04Student;EncWarlock07TemplateConjurer;EncWarlock07TemplateFire;EncWarlock07TemplateIce;EncWarlock07TemplateNecro;EncWarlock07TemplateStorm</t>
  </si>
  <si>
    <t>EncWarlock01TemplateConjurer</t>
  </si>
  <si>
    <t>0006D22E</t>
  </si>
  <si>
    <t>Novice Conjurer</t>
  </si>
  <si>
    <t>EncWarlockAtro01BretonF;EncWarlockAtro01BretonM;EncWarlockAtro01DarkElfF;EncWarlockAtro01DarkElfM;EncWarlockAtro01ImperialF;EncWarlockAtro01HighElfM;EncWarlockAtro01ImperialM;EncWarlockAtro01HighElfF</t>
  </si>
  <si>
    <t>EncWarlock01TemplateFire</t>
  </si>
  <si>
    <t>00044CD7</t>
  </si>
  <si>
    <t>Novice Fire Mage</t>
  </si>
  <si>
    <t>EncWarlockFire01BretonM;EncWarlockFire01BretonF;EncWarlockFire01DarkElfF;EncWarlockFire01DarkElfM;EncWarlockFire01HighElfF;EncWarlockFire01HighElfM;EncWarlockFire01ImperialF;EncWarlockFire01ImperialM</t>
  </si>
  <si>
    <t>EncWarlock01TemplateIce</t>
  </si>
  <si>
    <t>00044CD8</t>
  </si>
  <si>
    <t>Novice Ice Mage</t>
  </si>
  <si>
    <t>EncWarlockIce01BretonF;EncWarlockIce01BretonM;EncWarlockIce01HighElfF;EncWarlockIce01HighElfM;EncWarlockIce01ImperialF;EncWarlockIce01ImperialM;EncWarlockIce01NordF;EncWarlockIce01NordM</t>
  </si>
  <si>
    <t>000548FE</t>
  </si>
  <si>
    <t>EncWarlockNecro01BretonF;EncWarlockNecro01BretonM;EncWarlockNecro01DarkElfF;EncWarlockNecro01DarkElfM;EncWarlockNecro01HighElfF;EncWarlockNecro01HighElfM;EncWarlockNecro01ImperialF;EncWarlockNecro01ImperialM;dunPOIChickenNecromander</t>
  </si>
  <si>
    <t>EncWarlock01TemplateStorm</t>
  </si>
  <si>
    <t>00044CD9</t>
  </si>
  <si>
    <t>Novice Storm Mage</t>
  </si>
  <si>
    <t>EncWarlockStorm01BretonF;EncWarlockStorm01BretonM;EncWarlockStorm01DarkElfF;EncWarlockStorm01DarkElfM;EncWarlockStorm01HighElfF;EncWarlockStorm01HighElfM;EncWarlockStorm01ImperialF;EncWarlockStorm01ImperialM</t>
  </si>
  <si>
    <t>EncWarlock02TemplateBossConjurer</t>
  </si>
  <si>
    <t>000E0FBE</t>
  </si>
  <si>
    <t>Apprentice Conjurer</t>
  </si>
  <si>
    <t>EncWarlock02TemplateConjurer</t>
  </si>
  <si>
    <t>EncWarlockAtro02BossBretonF;EncWarlockAtro02BossBretonM;EncWarlockAtro02BossHighElfF;EncWarlockAtro02BossHighElfM</t>
  </si>
  <si>
    <t>EncWarlock02TemplateBossFire</t>
  </si>
  <si>
    <t>000E0FBF</t>
  </si>
  <si>
    <t>Apprentice Fire Mage</t>
  </si>
  <si>
    <t>EncWarlockFire02BossDarkElfF;EncWarlockFire02BossDarkElfM;EncWarlockFire02BossHighElfF;EncWarlockFire02BossHighElfM</t>
  </si>
  <si>
    <t>EncWarlock02TemplateBossIce</t>
  </si>
  <si>
    <t>000E0FC0</t>
  </si>
  <si>
    <t>Apprentice Ice Mage</t>
  </si>
  <si>
    <t>EncWarlockIce02BossNordF;EncWarlockIce02BossNordM;EncWarlockIce02BossHighElfF;EncWarlockIce02BossHighElfM</t>
  </si>
  <si>
    <t>EncWarlock02TemplateBossNecro</t>
  </si>
  <si>
    <t>000E0FC1</t>
  </si>
  <si>
    <t>Apprentice Necromancer</t>
  </si>
  <si>
    <t>EncWarlock02TemplateNecro</t>
  </si>
  <si>
    <t>EncWarlockNecro02BossBretonF;EncWarlockNecro02BossBretonM;EncWarlockNecro02BossHighElfF;EncWarlockNecro02BossHighElfM</t>
  </si>
  <si>
    <t>EncWarlock02TemplateBossStorm</t>
  </si>
  <si>
    <t>000E0FC2</t>
  </si>
  <si>
    <t>Apprentice Storm Mage</t>
  </si>
  <si>
    <t>EncWarlock02TemplateStorm</t>
  </si>
  <si>
    <t>EncWarlockStorm02BossBretonF;EncWarlockStorm02BossBretonM;EncWarlockStorm02BossHighElfF;EncWarlockStorm02BossHighElfM</t>
  </si>
  <si>
    <t>0006D22F</t>
  </si>
  <si>
    <t>EncWarlockAtro02BretonF;EncWarlockAtro02BretonM;EncWarlockAtro02DarkElfF;EncWarlockAtro02DarkElfM;EncWarlockAtro02HighElfF;EncWarlockAtro02HighElfM;EncWarlockAtro02ImperialF;EncWarlockAtro02ImperialM;EncWarlock02TemplateBossConjurer;EncWarlock03TemplateBossConjurer</t>
  </si>
  <si>
    <t>00045C5F</t>
  </si>
  <si>
    <t>EncWarlockFire02BretonF;EncWarlockFire02BretonM;EncWarlockFire02DarkElfF;EncWarlockFire02DarkElfM;EncWarlockFire02HighElfF;EncWarlockFire02HighElfM;EncWarlockFire02ImperialF;EncWarlockFire02ImperialM;CWSiegeImperialWizard;EncWarlock02TemplateBossFire</t>
  </si>
  <si>
    <t>00045C60</t>
  </si>
  <si>
    <t>CWSiegeSonsWizardInvul;EncWarlockIce02BretonF;EncWarlockIce02BretonM;EncWarlockIce02HighElfF;EncWarlockIce02HighElfM;EncWarlockIce02ImperialF;EncWarlockIce02ImperialM;EncWarlockIce02NordF;EncWarlockIce02NordM;CWSiegeSonsWizard;EncWarlock02TemplateBossIce</t>
  </si>
  <si>
    <t>000548FF</t>
  </si>
  <si>
    <t>EncWarlockNecro02BretonF;EncWarlockNecro02BretonM;EncWarlockNecro02DarkElfF;EncWarlockNecro02DarkElfM;EncWarlockNecro02HighElfF;EncWarlockNecro02HighElfM;EncWarlockNecro02ImperialF;EncWarlockNecro02ImperialM;EncWarlock02TemplateBossNecro</t>
  </si>
  <si>
    <t>00045C61</t>
  </si>
  <si>
    <t>EncWarlockStorm02BretonF;EncWarlockStorm02BretonM;EncWarlockStorm02HighElfF;EncWarlockStorm02HighElfM;EncWarlockStorm02ImperialF;EncWarlockStorm02ImperialM;EncWarlockStorm02DarkElfF;EncWarlockStorm02DarkElfM;EncWarlock02TemplateBossStorm</t>
  </si>
  <si>
    <t>EncWarlock03TemplateBossConjurer</t>
  </si>
  <si>
    <t>000E0FC3</t>
  </si>
  <si>
    <t>Conjurer Adept</t>
  </si>
  <si>
    <t>EncWarlockAtro03BossBretonF;EncWarlockAtro03BossBretonM;EncWarlockAtro03BossHighElfF;EncWarlockAtro03BossHighElfM</t>
  </si>
  <si>
    <t>EncWarlock03TemplateBossFire</t>
  </si>
  <si>
    <t>000E0FC4</t>
  </si>
  <si>
    <t>Fire Mage Adept</t>
  </si>
  <si>
    <t>EncWarlock03TemplateFire</t>
  </si>
  <si>
    <t>EncWarlockFire03BossDarkElfF;EncWarlockFire03BossDarkElfM;EncWarlockFire03BossHighElfF;EncWarlockFire03BossHighElfM</t>
  </si>
  <si>
    <t>EncWarlock03TemplateBossIce</t>
  </si>
  <si>
    <t>000E0FC5</t>
  </si>
  <si>
    <t>Ice Mage Adept</t>
  </si>
  <si>
    <t>EncWarlock03TemplateIce</t>
  </si>
  <si>
    <t>EncWarlockIce03BossHighElfF;EncWarlockIce03BossHighElfM;EncWarlockIce03BossNordF;EncWarlockIce03BossNordM</t>
  </si>
  <si>
    <t>EncWarlock03TemplateBossNecro</t>
  </si>
  <si>
    <t>000E0FC6</t>
  </si>
  <si>
    <t>Necromancer Adept</t>
  </si>
  <si>
    <t>EncWarlock03TemplateNecro</t>
  </si>
  <si>
    <t>EncWarlockNecro03BossBretonF;EncWarlockNecro03BossBretonM;EncWarlockNecro03BossHighElfF;EncWarlockNecro03BossHighElfM</t>
  </si>
  <si>
    <t>EncWarlock03TemplateBossStorm</t>
  </si>
  <si>
    <t>000E0FC7</t>
  </si>
  <si>
    <t>Storm Mage Adept</t>
  </si>
  <si>
    <t>EncWarlock03TemplateStorm</t>
  </si>
  <si>
    <t>EncWarlockStorm03BossBretonF;EncWarlockStorm03BossBretonM;EncWarlockStorm03BossHighElfF;EncWarlockStorm03BossHighElfM</t>
  </si>
  <si>
    <t>EncWarlock03TemplateConjurer</t>
  </si>
  <si>
    <t>0006D230</t>
  </si>
  <si>
    <t>EncWarlockAtro03BretonF;EncWarlockAtro03BretonM;EncWarlockAtro03DarkElfF;EncWarlockAtro03DarkElfM;EncWarlockAtro03HighElfF;EncWarlockAtro03HighElfM;EncWarlockAtro03ImperialF;EncWarlockAtro03ImperialM</t>
  </si>
  <si>
    <t>00045C7A</t>
  </si>
  <si>
    <t>EncWarlockFire03BretonF;EncWarlockFire03BretonM;EncWarlockFire03DarkElfF;EncWarlockFire03DarkElfM;EncWarlockFire03HighElfF;EncWarlockFire03HighElfM;EncWarlockFire03ImperialF;EncWarlockFire03ImperialM;EncWarlock03TemplateBossFire</t>
  </si>
  <si>
    <t>00045C7B</t>
  </si>
  <si>
    <t>EncWarlockIce03BretonF;EncWarlockIce03BretonM;EncWarlockIce03HighElfF;EncWarlockIce03HighElfM;EncWarlockIce03ImperialF;EncWarlockIce03ImperialM;EncWarlockIce03NordF;EncWarlockIce03NordM;EncWarlock03TemplateBossIce</t>
  </si>
  <si>
    <t>000551AC</t>
  </si>
  <si>
    <t>EncWarlockNecro03BretonF;EncWarlockNecro03BretonM;EncWarlockNecro03DarkElfF;EncWarlockNecro03DarkElfM;EncWarlockNecro03HighElfF;EncWarlockNecro03HighElfM;EncWarlockNecro03ImperialF;EncWarlockNecro03ImperialM;EncWarlock03TemplateBossNecro</t>
  </si>
  <si>
    <t>00045C7C</t>
  </si>
  <si>
    <t>EncWarlockStorm03BretonF;EncWarlockStorm03BretonM;EncWarlockStorm03HighElfF;EncWarlockStorm03DarkElfF;EncWarlockStorm03DarkElfM;EncWarlockStorm03HighElfM;EncWarlockStorm03ImperialF;EncWarlockStorm03ImperialM;EncWarlock03TemplateBossStorm</t>
  </si>
  <si>
    <t>EncWarlock04TemplateBossConjurer</t>
  </si>
  <si>
    <t>000E0FC8</t>
  </si>
  <si>
    <t>Conjurer</t>
  </si>
  <si>
    <t>EncWarlock04TemplateConjurer</t>
  </si>
  <si>
    <t>EncWarlockAtro04BossBretonF;EncWarlockAtro04BossBretonM;EncWarlockAtro04BossHighElfF;EncWarlockAtro04BossHighElfM</t>
  </si>
  <si>
    <t>EncWarlock04TemplateBossFire</t>
  </si>
  <si>
    <t>000E0FC9</t>
  </si>
  <si>
    <t>Fire Mage</t>
  </si>
  <si>
    <t>EncWarlock04TemplateFire</t>
  </si>
  <si>
    <t>EncWarlockFire04BossDarkElfF;EncWarlockFire04BossDarkElfM;EncWarlockFire04BossHighElfF;EncWarlockFire04BossHighElfM</t>
  </si>
  <si>
    <t>EncWarlock04TemplateBossIce</t>
  </si>
  <si>
    <t>000E0FCA</t>
  </si>
  <si>
    <t>Ice Mage</t>
  </si>
  <si>
    <t>EncWarlock04TemplateIce</t>
  </si>
  <si>
    <t>EncWarlockIce04BossHighElfF;EncWarlockIce04BossHighElfM;EncWarlockIce04BossNordF;EncWarlockIce04BossNordM</t>
  </si>
  <si>
    <t>EncWarlock04TemplateBossNecro</t>
  </si>
  <si>
    <t>000E0FCB</t>
  </si>
  <si>
    <t>Necromage</t>
  </si>
  <si>
    <t>EncWarlock04TemplateNecro</t>
  </si>
  <si>
    <t>EncWarlockNecro04BossBretonF;EncWarlockNecro04BossBretonM;EncWarlockNecro04BossHighElfF;EncWarlockNecro04BossHighElfM</t>
  </si>
  <si>
    <t>EncWarlock04TemplateBossStorm</t>
  </si>
  <si>
    <t>000E0FCC</t>
  </si>
  <si>
    <t>Storm Mage</t>
  </si>
  <si>
    <t>EncWarlock04TemplateStorm</t>
  </si>
  <si>
    <t>EncWarlockStorm04BossBretonF;EncWarlockStorm04BossBretonM;EncWarlockStorm04BossHighElfF;EncWarlockStorm04BossHighElfM</t>
  </si>
  <si>
    <t>0006D231</t>
  </si>
  <si>
    <t>EncWarlockAtro04BretonF;EncWarlockAtro04BretonM;EncWarlockAtro04DarkElfF;EncWarlockAtro04DarkElfM;EncWarlockAtro04HighElfF;EncWarlockAtro04HighElfM;EncWarlockAtro04ImperialM;EncWarlockAtro04ImperialF;EncWarlock04TemplateBossConjurer</t>
  </si>
  <si>
    <t>00045CA0</t>
  </si>
  <si>
    <t>EncWarlockFire04BretonF;EncWarlockFire04BretonM;EncWarlockFire04DarkElfF;EncWarlockFire04DarkElfM;EncWarlockFire04HighElfF;EncWarlockFire04HighElfM;EncWarlockFire04ImperialF;EncWarlockFire04ImperialM;EncWarlock04TemplateBossFire</t>
  </si>
  <si>
    <t>00045CA1</t>
  </si>
  <si>
    <t>EncWarlockIce04BretonF;EncWarlockIce04BretonM;EncWarlockIce04HighElfF;EncWarlockIce04HighElfM;EncWarlockIce04ImperialF;EncWarlockIce04ImperialM;EncWarlockIce04NordF;EncWarlockIce04NordM;EncWarlock04TemplateBossIce</t>
  </si>
  <si>
    <t>000551AD</t>
  </si>
  <si>
    <t>EncWarlockNecro04BretonF;EncWarlockNecro04BretonM;EncWarlockNecro04DarkElfF;EncWarlockNecro04DarkElfM;EncWarlockNecro04HighElfF;EncWarlockNecro04HighElfM;EncWarlockNecro04ImperialF;EncWarlockNecro04ImperialM;EncWarlock04TemplateBossNecro</t>
  </si>
  <si>
    <t>00045CA2</t>
  </si>
  <si>
    <t>EncWarlockStorm04BretonF;EncWarlockStorm04BretonM;EncWarlockStorm04DarkElfF;EncWarlockStorm04DarkElfM;EncWarlockStorm04HighElfF;EncWarlockStorm04HighElfM;EncWarlockStorm04ImperialF;EncWarlockStorm04ImperialM;EncWarlock04TemplateBossStorm</t>
  </si>
  <si>
    <t>EncWarlock05TemplateBossConjurer</t>
  </si>
  <si>
    <t>000E0FCD</t>
  </si>
  <si>
    <t>Ascendant Conjurer</t>
  </si>
  <si>
    <t>EncWarlock05TemplateConjurer</t>
  </si>
  <si>
    <t>EncWarlockAtro05BossBretonF;EncWarlockAtro05BossBretonM;EncWarlockAtro05BossHighElfF;EncWarlockAtro05BossHighElfM</t>
  </si>
  <si>
    <t>EncWarlock05TemplateBossFire</t>
  </si>
  <si>
    <t>000E0FCE</t>
  </si>
  <si>
    <t>Fire Wizard</t>
  </si>
  <si>
    <t>EncWarlock05TemplateFire</t>
  </si>
  <si>
    <t>EncWarlockFire05BossDarkElfF;EncWarlockFire05BossDarkElfM;EncWarlockFire05BossHighElfF;EncWarlockFire05BossHighElfM</t>
  </si>
  <si>
    <t>EncWarlock05TemplateBossIce</t>
  </si>
  <si>
    <t>000E0FCF</t>
  </si>
  <si>
    <t>Ice Wizard</t>
  </si>
  <si>
    <t>EncWarlock05TemplateIce</t>
  </si>
  <si>
    <t>EncWarlockIce05BossHighElfF;EncWarlockIce05BossHighElfM;EncWarlockIce05BossNordF;EncWarlockIce05BossNordM</t>
  </si>
  <si>
    <t>EncWarlock05TemplateBossNecro</t>
  </si>
  <si>
    <t>000E0FD0</t>
  </si>
  <si>
    <t>Ascendant Necromancer</t>
  </si>
  <si>
    <t>EncWarlock05TemplateNecro</t>
  </si>
  <si>
    <t>EncWarlockNecro05BossBretonF;EncWarlockNecro05BossBretonM;EncWarlockNecro05BossHighElfF;EncWarlockNecro05BossHighElfM</t>
  </si>
  <si>
    <t>EncWarlock05TemplateBossStorm</t>
  </si>
  <si>
    <t>000E0FD1</t>
  </si>
  <si>
    <t>Storm Wizard</t>
  </si>
  <si>
    <t>EncWarlock05TemplateStorm</t>
  </si>
  <si>
    <t>EncWarlockStorm05BossBretonF;EncWarlockStorm05BossBretonM;EncWarlockStorm05BossHighElfF;EncWarlockStorm05BossHighElfM</t>
  </si>
  <si>
    <t>0006D232</t>
  </si>
  <si>
    <t>EncWarlockAtro05BretonF;EncWarlockAtro05BretonM;EncWarlockAtro05DarkElfF;EncWarlockAtro05DarkElfM;EncWarlockAtro05HighElfF;EncWarlockAtro05HighElfM;EncWarlockAtro05ImperialF;EncWarlockAtro05ImperialM;EncWarlock05TemplateBossConjurer</t>
  </si>
  <si>
    <t>00045CBB</t>
  </si>
  <si>
    <t>EncWarlockFire05BretonF;EncWarlockFire05BretonM;EncWarlockFire05DarkElfF;EncWarlockFire05HighElfF;EncWarlockFire05HighElfM;EncWarlockFire05ImperialF;EncWarlockFire05ImperialM;EncWarlockFire05DarkElfM;EncWarlock05TemplateBossFire</t>
  </si>
  <si>
    <t>00045CBC</t>
  </si>
  <si>
    <t>EncWarlockIce05BretonF;EncWarlockIce05BretonM;EncWarlockIce05HighElfF;EncWarlockIce05HighElfM;EncWarlockIce05ImperialF;EncWarlockIce05NordF;EncWarlockIce05NordM;EncWarlockIce05ImperialM;EncWarlock05TemplateBossIce</t>
  </si>
  <si>
    <t>000551AE</t>
  </si>
  <si>
    <t>EncWarlockNecro05BretonF;EncWarlockNecro05BretonM;EncWarlockNecro05DarkElfF;EncWarlockNecro05DarkElfM;EncWarlockNecro05HighElfF;EncWarlockNecro05HighElfM;EncWarlockNecro05ImperialF;EncWarlockNecro05ImperialM;EncWarlock05TemplateBossNecro</t>
  </si>
  <si>
    <t>00045CBD</t>
  </si>
  <si>
    <t>EncWarlockStorm05BretonF;EncWarlockStorm05BretonM;EncWarlockStorm05DarkElfF;EncWarlockStorm05DarkElfM;EncWarlockStorm05HighElfF;EncWarlockStorm05HighElfM;EncWarlockStorm05ImperialF;EncWarlockStorm05ImperialM;EncWarlock05TemplateBossStorm</t>
  </si>
  <si>
    <t>EncWarlock06TemplateBossConjurer</t>
  </si>
  <si>
    <t>000E0FD3</t>
  </si>
  <si>
    <t>Master Conjurer</t>
  </si>
  <si>
    <t>EncWarlock06TemplateConjurer</t>
  </si>
  <si>
    <t>EncWarlockAtro06BossBretonF;EncWarlockAtro06BossBretonM;EncWarlockAtro06BossHighElfF;EncWarlockAtro06BossHighElfM</t>
  </si>
  <si>
    <t>EncWarlock06TemplateBossFire</t>
  </si>
  <si>
    <t>000E0FD2</t>
  </si>
  <si>
    <t>Pyromancer</t>
  </si>
  <si>
    <t>EncWarlock06TemplateFire</t>
  </si>
  <si>
    <t>EncWarlockFire06BossDarkElfF;EncWarlockFire06BossDarkElfM;EncWarlockFire06BossHighElfF;EncWarlockFire06BossHighElfM</t>
  </si>
  <si>
    <t>EncWarlock06TemplateBossIce</t>
  </si>
  <si>
    <t>000E0FD4</t>
  </si>
  <si>
    <t>Cryomancer</t>
  </si>
  <si>
    <t>EncWarlock06TemplateIce</t>
  </si>
  <si>
    <t>EncWarlockIce06BossHighElfF;EncWarlockIce06BossHighElfM;EncWarlockIce06BossNordF;EncWarlockIce06BossNordM</t>
  </si>
  <si>
    <t>EncWarlock06TemplateBossNecro</t>
  </si>
  <si>
    <t>000E0FD5</t>
  </si>
  <si>
    <t>Master Necromancer</t>
  </si>
  <si>
    <t>EncWarlock06TemplateNecro</t>
  </si>
  <si>
    <t>EncWarlockNecro06BossBretonF;EncWarlockNecro06BossBretonM;EncWarlockNecro06BossHighElfF;EncWarlockNecro06BossHighElfM</t>
  </si>
  <si>
    <t>EncWarlock06TemplateBossStorm</t>
  </si>
  <si>
    <t>000E0FD6</t>
  </si>
  <si>
    <t>Electromancer</t>
  </si>
  <si>
    <t>EncWarlock06TemplateStorm</t>
  </si>
  <si>
    <t>EncWarlockStorm06BossBretonF;EncWarlockStorm06BossBretonM;EncWarlockStorm06BossHighElfF;EncWarlockStorm06BossHighElfM</t>
  </si>
  <si>
    <t>0006D233</t>
  </si>
  <si>
    <t>EncWarlockAtro06BretonF;EncWarlockAtro06BretonM;EncWarlockAtro06DarkElfF;EncWarlockAtro06DarkElfM;EncWarlockAtro06HighElfF;EncWarlockAtro06HighElfM;EncWarlockAtro06ImperialF;EncWarlock06TemplateBossConjurer</t>
  </si>
  <si>
    <t>00045CBE</t>
  </si>
  <si>
    <t>EncWarlockFire06BretonF;EncWarlockFire06BretonM;EncWarlockFire06DarkElfF;EncWarlockFire06DarkElfM;EncWarlockFire06HighElfF;EncWarlockFire06HighElfM;EncWarlockFire06ImperialF;EncWarlockFire06ImperialM;EncWarlockAtro06ImperialM;EncWarlock06TemplateBossFire</t>
  </si>
  <si>
    <t>00045CBF</t>
  </si>
  <si>
    <t>EncWarlockIce06BretonF;EncWarlockIce06BretonM;EncWarlockIce06HighElfF;EncWarlockIce06HighElfM;EncWarlockIce06ImperialF;EncWarlockIce06ImperialM;EncWarlockIce06NordF;EncWarlockIce06NordM;EncWarlock06TemplateBossIce</t>
  </si>
  <si>
    <t>000551AF</t>
  </si>
  <si>
    <t>EncWarlockNecro06BretonF;EncWarlockNecro06BretonM;EncWarlockNecro06DarkElfF;EncWarlockNecro06DarkElfM;EncWarlockNecro06HighElfF;EncWarlockNecro06HighElfM;EncWarlockNecro06ImperialF;EncWarlockNecro06ImperialM;EncWarlock06TemplateBossNecro</t>
  </si>
  <si>
    <t>00045CC0</t>
  </si>
  <si>
    <t>EncWarlockStorm06BretonF;EncWarlockStorm06BretonM;EncWarlockStorm06DarkElfF;EncWarlockStorm06DarkElfM;EncWarlockStorm06HighElfF;EncWarlockStorm06HighElfM;EncWarlockStorm06ImperialF;EncWarlockStorm06ImperialM;EncWarlock06TemplateBossStorm</t>
  </si>
  <si>
    <t>EncWarlock07TemplateBossConjurer</t>
  </si>
  <si>
    <t>001091AD</t>
  </si>
  <si>
    <t>Arch Conjurer</t>
  </si>
  <si>
    <t>EncWarlock07TemplateConjurer</t>
  </si>
  <si>
    <t>EncWarlockAtro07BossBretonF;EncWarlockAtro07BossHighElfM</t>
  </si>
  <si>
    <t>EncWarlock07TemplateBossFire</t>
  </si>
  <si>
    <t>001091AE</t>
  </si>
  <si>
    <t>Arch Pyromancer</t>
  </si>
  <si>
    <t>EncWarlock07TemplateFire</t>
  </si>
  <si>
    <t>EncWarlockFire07BossHighElfM;EncWarlockFire07BossDarkElfF</t>
  </si>
  <si>
    <t>EncWarlock07TemplateBossIce</t>
  </si>
  <si>
    <t>001091AF</t>
  </si>
  <si>
    <t>Arch Cryomancer</t>
  </si>
  <si>
    <t>EncWarlock07TemplateIce</t>
  </si>
  <si>
    <t>EncWarlockIce07BossHighElfM;EncWarlockIce07BossNordF</t>
  </si>
  <si>
    <t>EncWarlock07TemplateBossNecro</t>
  </si>
  <si>
    <t>001091B0</t>
  </si>
  <si>
    <t>Arch Necromancer</t>
  </si>
  <si>
    <t>EncWarlock07TemplateNecro</t>
  </si>
  <si>
    <t>EncWarlockNecro07BossHighElfM;EncWarlockNecro07BossBretonF</t>
  </si>
  <si>
    <t>EncWarlock07TemplateBossStorm</t>
  </si>
  <si>
    <t>001091B1</t>
  </si>
  <si>
    <t>Arch Electromancer</t>
  </si>
  <si>
    <t>EncWarlock07TemplateStorm</t>
  </si>
  <si>
    <t>EncWarlockStorm07BossHighElfM;EncWarlockStorm07BossBretonF</t>
  </si>
  <si>
    <t>001091A8</t>
  </si>
  <si>
    <t>EncWarlock07TemplateBossConjurer;EncWarlockAtro07HighElfM;EncWarlockAtro07BretonF</t>
  </si>
  <si>
    <t>001091A9</t>
  </si>
  <si>
    <t>EncWarlock07TemplateBossFire;EncWarlockFire07HighElfM;EncWarlockFire07BretonF</t>
  </si>
  <si>
    <t>001091AA</t>
  </si>
  <si>
    <t>EncWarlock07TemplateBossIce;EncWarlockIce07HighElfM;EncWarlockIce07BretonF</t>
  </si>
  <si>
    <t>001091AB</t>
  </si>
  <si>
    <t>EncWarlock07TemplateBossNecro;EncWarlockNecro07HighElfM;EncWarlockNecro07BretonF</t>
  </si>
  <si>
    <t>001091AC</t>
  </si>
  <si>
    <t>EncWarlock07TemplateBossStorm;EncWarlockStorm07HighElfM;EncWarlockStorm07BretonF</t>
  </si>
  <si>
    <t>0006D234</t>
  </si>
  <si>
    <t>TreasCorpseWarlockBretonFemale</t>
  </si>
  <si>
    <t>0006D235</t>
  </si>
  <si>
    <t>TreasCorpseWarlockBretonMale;dunNchuandStaubs;dunNchuandStromm;dunNchuandErj;dunNchuandKrag</t>
  </si>
  <si>
    <t>EncWarlockAtro01DarkElfF</t>
  </si>
  <si>
    <t>0006D236</t>
  </si>
  <si>
    <t>TreasCorpseWarlockDarkElfFemale</t>
  </si>
  <si>
    <t>EncWarlockAtro01DarkElfM</t>
  </si>
  <si>
    <t>0006D237</t>
  </si>
  <si>
    <t>TreasCorpseWarlockDarkElfMale;TreasCorpseAlchemist;TreasCorpseWarlockDarkElfMaleCOPY0000;dunFolgunthurDaynas;dunChillwindFalmerPrisoner05;DLC2KagrumezCorpse</t>
  </si>
  <si>
    <t>EncWarlockAtro01HighElfF</t>
  </si>
  <si>
    <t>00081ED3</t>
  </si>
  <si>
    <t>EncWarlockAtro01HighElfM</t>
  </si>
  <si>
    <t>0006D239</t>
  </si>
  <si>
    <t>TreasCorpseWarlockSkeletal</t>
  </si>
  <si>
    <t>TreasCorpseWarlockHighElfMale</t>
  </si>
  <si>
    <t>EncWarlockAtro01ImperialF</t>
  </si>
  <si>
    <t>0006D238</t>
  </si>
  <si>
    <t>TreasCorpseWarlockImperialFemale</t>
  </si>
  <si>
    <t>EncWarlockAtro01ImperialM</t>
  </si>
  <si>
    <t>0006D23A</t>
  </si>
  <si>
    <t>TreasCorpseWarlockImperialMale</t>
  </si>
  <si>
    <t>EncWarlockAtro02BossBretonF</t>
  </si>
  <si>
    <t>000E0FE4</t>
  </si>
  <si>
    <t>EncWarlockAtro02BossBretonM</t>
  </si>
  <si>
    <t>000E0FE5</t>
  </si>
  <si>
    <t>EncWarlockAtro02BossHighElfF</t>
  </si>
  <si>
    <t>000E0FE6</t>
  </si>
  <si>
    <t>EncWarlockAtro02BossHighElfM</t>
  </si>
  <si>
    <t>000E0FE7</t>
  </si>
  <si>
    <t>EncWarlockAtro02BretonF</t>
  </si>
  <si>
    <t>0006D23B</t>
  </si>
  <si>
    <t>EncWarlockAtro02BretonM</t>
  </si>
  <si>
    <t>0006D23C</t>
  </si>
  <si>
    <t>EncWarlockAtro02DarkElfF</t>
  </si>
  <si>
    <t>0006D23D</t>
  </si>
  <si>
    <t>EncWarlockAtro02DarkElfM</t>
  </si>
  <si>
    <t>0006D23E</t>
  </si>
  <si>
    <t>EncWarlockAtro02HighElfF</t>
  </si>
  <si>
    <t>0006D23F</t>
  </si>
  <si>
    <t>EncWarlockAtro02HighElfM</t>
  </si>
  <si>
    <t>0006D240</t>
  </si>
  <si>
    <t>EncWarlockAtro02ImperialF</t>
  </si>
  <si>
    <t>0006D241</t>
  </si>
  <si>
    <t>EncWarlockAtro02ImperialM</t>
  </si>
  <si>
    <t>0006D242</t>
  </si>
  <si>
    <t>EncWarlockAtro03BossBretonF</t>
  </si>
  <si>
    <t>000E0FE8</t>
  </si>
  <si>
    <t>EncWarlockAtro03BossBretonM</t>
  </si>
  <si>
    <t>000E0FE9</t>
  </si>
  <si>
    <t>EncWarlockAtro03BossHighElfF</t>
  </si>
  <si>
    <t>000E0FEA</t>
  </si>
  <si>
    <t>EncWarlockAtro03BossHighElfM</t>
  </si>
  <si>
    <t>000E0FEB</t>
  </si>
  <si>
    <t>EncWarlockAtro03BretonF</t>
  </si>
  <si>
    <t>0006D243</t>
  </si>
  <si>
    <t>EncWarlockAtro03BretonM</t>
  </si>
  <si>
    <t>0006D244</t>
  </si>
  <si>
    <t>EncWarlockAtro03DarkElfF</t>
  </si>
  <si>
    <t>0006D245</t>
  </si>
  <si>
    <t>EncWarlockAtro03DarkElfM</t>
  </si>
  <si>
    <t>0006D246</t>
  </si>
  <si>
    <t>EncWarlockAtro03HighElfF</t>
  </si>
  <si>
    <t>0006D247</t>
  </si>
  <si>
    <t>EncWarlockAtro03HighElfM</t>
  </si>
  <si>
    <t>0006D248</t>
  </si>
  <si>
    <t>EncWarlockAtro03ImperialF</t>
  </si>
  <si>
    <t>0006D249</t>
  </si>
  <si>
    <t>EncWarlockAtro03ImperialM</t>
  </si>
  <si>
    <t>0006D24A</t>
  </si>
  <si>
    <t>EncWarlockAtro04BossBretonF</t>
  </si>
  <si>
    <t>000E0FEC</t>
  </si>
  <si>
    <t>EncWarlockAtro04BossBretonM</t>
  </si>
  <si>
    <t>000E0FED</t>
  </si>
  <si>
    <t>EncWarlockAtro04BossHighElfF</t>
  </si>
  <si>
    <t>000E0FEE</t>
  </si>
  <si>
    <t>EncWarlockAtro04BossHighElfM</t>
  </si>
  <si>
    <t>000E0FEF</t>
  </si>
  <si>
    <t>EncWarlockAtro04BretonF</t>
  </si>
  <si>
    <t>0006D24B</t>
  </si>
  <si>
    <t>EncWarlockAtro04BretonM</t>
  </si>
  <si>
    <t>0006D24C</t>
  </si>
  <si>
    <t>EncWarlockAtro04DarkElfF</t>
  </si>
  <si>
    <t>0006D24D</t>
  </si>
  <si>
    <t>EncWarlockAtro04DarkElfM</t>
  </si>
  <si>
    <t>0006D24E</t>
  </si>
  <si>
    <t>EncWarlockAtro04HighElfF</t>
  </si>
  <si>
    <t>0006D24F</t>
  </si>
  <si>
    <t>EncWarlockAtro04HighElfM</t>
  </si>
  <si>
    <t>0006D250</t>
  </si>
  <si>
    <t>EncWarlockAtro04ImperialF</t>
  </si>
  <si>
    <t>0006D252</t>
  </si>
  <si>
    <t>EncWarlockAtro04ImperialM</t>
  </si>
  <si>
    <t>0006D251</t>
  </si>
  <si>
    <t>EncWarlockAtro05BossBretonF</t>
  </si>
  <si>
    <t>000E0FF0</t>
  </si>
  <si>
    <t>EncWarlockAtro05BossBretonM</t>
  </si>
  <si>
    <t>000E0FF1</t>
  </si>
  <si>
    <t>EncWarlockAtro05BossHighElfF</t>
  </si>
  <si>
    <t>000E0FF2</t>
  </si>
  <si>
    <t>EncWarlockAtro05BossHighElfM</t>
  </si>
  <si>
    <t>000E0FF3</t>
  </si>
  <si>
    <t>EncWarlockAtro05BretonF</t>
  </si>
  <si>
    <t>0006D253</t>
  </si>
  <si>
    <t>EncWarlockAtro05BretonM</t>
  </si>
  <si>
    <t>0006D254</t>
  </si>
  <si>
    <t>EncWarlockAtro05DarkElfF</t>
  </si>
  <si>
    <t>0006D255</t>
  </si>
  <si>
    <t>EncWarlockAtro05DarkElfM</t>
  </si>
  <si>
    <t>0006D256</t>
  </si>
  <si>
    <t>EncWarlockAtro05HighElfF</t>
  </si>
  <si>
    <t>0006D257</t>
  </si>
  <si>
    <t>EncWarlockAtro05HighElfM</t>
  </si>
  <si>
    <t>0006D258</t>
  </si>
  <si>
    <t>EncWarlockAtro05ImperialF</t>
  </si>
  <si>
    <t>0006D259</t>
  </si>
  <si>
    <t>EncWarlockAtro05ImperialM</t>
  </si>
  <si>
    <t>0006D25A</t>
  </si>
  <si>
    <t>EncWarlockAtro06BossBretonF</t>
  </si>
  <si>
    <t>000E0FF4</t>
  </si>
  <si>
    <t>000E0FF5</t>
  </si>
  <si>
    <t>EncWarlockAtro06BossHighElfF</t>
  </si>
  <si>
    <t>000E0FF6</t>
  </si>
  <si>
    <t>EncWarlockAtro06BossHighElfM</t>
  </si>
  <si>
    <t>000E0FF7</t>
  </si>
  <si>
    <t>EncWarlockAtro06BretonF</t>
  </si>
  <si>
    <t>0006D25B</t>
  </si>
  <si>
    <t>EncWarlockAtro06BretonM</t>
  </si>
  <si>
    <t>0006D25C</t>
  </si>
  <si>
    <t>EncWarlockAtro06DarkElfF</t>
  </si>
  <si>
    <t>0006D25D</t>
  </si>
  <si>
    <t>EncWarlockAtro06DarkElfM</t>
  </si>
  <si>
    <t>0006D25E</t>
  </si>
  <si>
    <t>EncWarlockAtro06HighElfF</t>
  </si>
  <si>
    <t>0006D25F</t>
  </si>
  <si>
    <t>EncWarlockAtro06HighElfM</t>
  </si>
  <si>
    <t>0006D260</t>
  </si>
  <si>
    <t>EncWarlockAtro06ImperialF</t>
  </si>
  <si>
    <t>0006D261</t>
  </si>
  <si>
    <t>EncWarlockAtro06ImperialM</t>
  </si>
  <si>
    <t>0006D262</t>
  </si>
  <si>
    <t>EncWarlockAtro07BossBretonF</t>
  </si>
  <si>
    <t>001091B7</t>
  </si>
  <si>
    <t>EncWarlockAtro07BossHighElfM</t>
  </si>
  <si>
    <t>001091BD</t>
  </si>
  <si>
    <t>EncWarlockAtro07BretonF</t>
  </si>
  <si>
    <t>001091B8</t>
  </si>
  <si>
    <t>EncWarlockAtro07HighElfM</t>
  </si>
  <si>
    <t>001091B2</t>
  </si>
  <si>
    <t>EncWarlockFire01BretonF</t>
  </si>
  <si>
    <t>00044CDC</t>
  </si>
  <si>
    <t>EncWarlockFire01BretonM</t>
  </si>
  <si>
    <t>00044CDA</t>
  </si>
  <si>
    <t>EncWarlockFire01DarkElfF</t>
  </si>
  <si>
    <t>00044CDF</t>
  </si>
  <si>
    <t>EncWarlockFire01DarkElfM</t>
  </si>
  <si>
    <t>00044CE1</t>
  </si>
  <si>
    <t>EncWarlockFire01HighElfF</t>
  </si>
  <si>
    <t>00044CE3</t>
  </si>
  <si>
    <t>EncWarlockFire01HighElfM</t>
  </si>
  <si>
    <t>00044CE5</t>
  </si>
  <si>
    <t>EncWarlockFire01ImperialF</t>
  </si>
  <si>
    <t>00044CEA</t>
  </si>
  <si>
    <t>EncWarlockFire01ImperialM</t>
  </si>
  <si>
    <t>00044CEB</t>
  </si>
  <si>
    <t>EncWarlockFire02BossDarkElfF</t>
  </si>
  <si>
    <t>000E0FFF</t>
  </si>
  <si>
    <t>EncWarlockFire02BossDarkElfM</t>
  </si>
  <si>
    <t>000E1000</t>
  </si>
  <si>
    <t>EncWarlockFire02BossHighElfF</t>
  </si>
  <si>
    <t>000E1001</t>
  </si>
  <si>
    <t>EncWarlockFire02BossHighElfM</t>
  </si>
  <si>
    <t>000E1002</t>
  </si>
  <si>
    <t>EncWarlockFire02BretonF</t>
  </si>
  <si>
    <t>00045C62</t>
  </si>
  <si>
    <t>EncWarlockFire02BretonM</t>
  </si>
  <si>
    <t>00045C63</t>
  </si>
  <si>
    <t>EncWarlockFire02DarkElfF</t>
  </si>
  <si>
    <t>00045C64</t>
  </si>
  <si>
    <t>EncWarlockFire02DarkElfM</t>
  </si>
  <si>
    <t>00045C65</t>
  </si>
  <si>
    <t>EncWarlockFire02HighElfF</t>
  </si>
  <si>
    <t>00045C66</t>
  </si>
  <si>
    <t>EncWarlockFire02HighElfM</t>
  </si>
  <si>
    <t>00045C67</t>
  </si>
  <si>
    <t>EncWarlockFire02ImperialF</t>
  </si>
  <si>
    <t>00045C68</t>
  </si>
  <si>
    <t>EncWarlockFire02ImperialM</t>
  </si>
  <si>
    <t>00045C69</t>
  </si>
  <si>
    <t>EncWarlockFire03BossDarkElfF</t>
  </si>
  <si>
    <t>000E1003</t>
  </si>
  <si>
    <t>EncWarlockFire03BossDarkElfM</t>
  </si>
  <si>
    <t>000E1004</t>
  </si>
  <si>
    <t>EncWarlockFire03BossHighElfF</t>
  </si>
  <si>
    <t>000E1005</t>
  </si>
  <si>
    <t>EncWarlockFire03BossHighElfM</t>
  </si>
  <si>
    <t>000E1006</t>
  </si>
  <si>
    <t>EncWarlockFire03BretonF</t>
  </si>
  <si>
    <t>00045C7D</t>
  </si>
  <si>
    <t>EncWarlockFire03BretonM</t>
  </si>
  <si>
    <t>00045C7E</t>
  </si>
  <si>
    <t>EncWarlockFire03DarkElfF</t>
  </si>
  <si>
    <t>00045C7F</t>
  </si>
  <si>
    <t>EncWarlockFire03DarkElfM</t>
  </si>
  <si>
    <t>00045C80</t>
  </si>
  <si>
    <t>EncWarlockFire03HighElfF</t>
  </si>
  <si>
    <t>00045C81</t>
  </si>
  <si>
    <t>EncWarlockFire03HighElfM</t>
  </si>
  <si>
    <t>00045C82</t>
  </si>
  <si>
    <t>EncWarlockFire03ImperialF</t>
  </si>
  <si>
    <t>00045C83</t>
  </si>
  <si>
    <t>EncWarlockFire03ImperialM</t>
  </si>
  <si>
    <t>00045C84</t>
  </si>
  <si>
    <t>EncWarlockFire04BossDarkElfF</t>
  </si>
  <si>
    <t>000E1007</t>
  </si>
  <si>
    <t>EncWarlockFire04BossDarkElfM</t>
  </si>
  <si>
    <t>000E1008</t>
  </si>
  <si>
    <t>EncWarlockFire04BossHighElfF</t>
  </si>
  <si>
    <t>000E1009</t>
  </si>
  <si>
    <t>EncWarlockFire04BossHighElfM</t>
  </si>
  <si>
    <t>000E100A</t>
  </si>
  <si>
    <t>EncWarlockFire04BretonF</t>
  </si>
  <si>
    <t>00045CA3</t>
  </si>
  <si>
    <t>EncWarlockFire04BretonM</t>
  </si>
  <si>
    <t>00045CA4</t>
  </si>
  <si>
    <t>EncWarlockFire04DarkElfF</t>
  </si>
  <si>
    <t>00045CA5</t>
  </si>
  <si>
    <t>EncWarlockFire04DarkElfM</t>
  </si>
  <si>
    <t>00045CA6</t>
  </si>
  <si>
    <t>EncWarlockFire04HighElfF</t>
  </si>
  <si>
    <t>00045CA7</t>
  </si>
  <si>
    <t>EncWarlockFire04HighElfM</t>
  </si>
  <si>
    <t>00045CA8</t>
  </si>
  <si>
    <t>EncWarlockFire04ImperialF</t>
  </si>
  <si>
    <t>00045CA9</t>
  </si>
  <si>
    <t>EncWarlockFire04ImperialM</t>
  </si>
  <si>
    <t>00045CAA</t>
  </si>
  <si>
    <t>EncWarlockFire05BossDarkElfF</t>
  </si>
  <si>
    <t>000E100B</t>
  </si>
  <si>
    <t>EncWarlockFire05BossDarkElfM</t>
  </si>
  <si>
    <t>000E100C</t>
  </si>
  <si>
    <t>EncWarlockFire05BossHighElfF</t>
  </si>
  <si>
    <t>000E100D</t>
  </si>
  <si>
    <t>EncWarlockFire05BossHighElfM</t>
  </si>
  <si>
    <t>000E100E</t>
  </si>
  <si>
    <t>EncWarlockFire05BretonF</t>
  </si>
  <si>
    <t>00045CC1</t>
  </si>
  <si>
    <t>EncWarlockFire05BretonM</t>
  </si>
  <si>
    <t>00045CC2</t>
  </si>
  <si>
    <t>EncWarlockFire05DarkElfF</t>
  </si>
  <si>
    <t>00045CC3</t>
  </si>
  <si>
    <t>EncWarlockFire05DarkElfM</t>
  </si>
  <si>
    <t>00045CCB</t>
  </si>
  <si>
    <t>EncWarlockFire05HighElfF</t>
  </si>
  <si>
    <t>00045CC4</t>
  </si>
  <si>
    <t>EncWarlockFire05HighElfM</t>
  </si>
  <si>
    <t>00045CC5</t>
  </si>
  <si>
    <t>EncWarlockFire05ImperialF</t>
  </si>
  <si>
    <t>00045CC6</t>
  </si>
  <si>
    <t>EncWarlockFire05ImperialM</t>
  </si>
  <si>
    <t>00045CC7</t>
  </si>
  <si>
    <t>EncWarlockFire06BossDarkElfF</t>
  </si>
  <si>
    <t>000E100F</t>
  </si>
  <si>
    <t>EncWarlockFire06BossDarkElfM</t>
  </si>
  <si>
    <t>000E1010</t>
  </si>
  <si>
    <t>EncWarlockFire06BossHighElfF</t>
  </si>
  <si>
    <t>000E1011</t>
  </si>
  <si>
    <t>EncWarlockFire06BossHighElfM</t>
  </si>
  <si>
    <t>000E1012</t>
  </si>
  <si>
    <t>EncWarlockFire06BretonF</t>
  </si>
  <si>
    <t>00045CC8</t>
  </si>
  <si>
    <t>EncWarlockFire06BretonM</t>
  </si>
  <si>
    <t>00045CC9</t>
  </si>
  <si>
    <t>EncWarlockFire06DarkElfF</t>
  </si>
  <si>
    <t>00045CCA</t>
  </si>
  <si>
    <t>EncWarlockFire06DarkElfM</t>
  </si>
  <si>
    <t>00045CCC</t>
  </si>
  <si>
    <t>EncWarlockFire06HighElfF</t>
  </si>
  <si>
    <t>00045CCD</t>
  </si>
  <si>
    <t>EncWarlockFire06HighElfM</t>
  </si>
  <si>
    <t>00045CCE</t>
  </si>
  <si>
    <t>EncWarlockFire06ImperialF</t>
  </si>
  <si>
    <t>00045CCF</t>
  </si>
  <si>
    <t>EncWarlockFire06ImperialM</t>
  </si>
  <si>
    <t>00045CD0</t>
  </si>
  <si>
    <t>EncWarlockFire07BossDarkElfF</t>
  </si>
  <si>
    <t>001091BF</t>
  </si>
  <si>
    <t>EncWarlockFire07BossHighElfM</t>
  </si>
  <si>
    <t>001091BE</t>
  </si>
  <si>
    <t>EncWarlockFire07BretonF</t>
  </si>
  <si>
    <t>001091B9</t>
  </si>
  <si>
    <t>EncWarlockFire07HighElfM</t>
  </si>
  <si>
    <t>001091B3</t>
  </si>
  <si>
    <t>EncWarlockIce01BretonF</t>
  </si>
  <si>
    <t>00045C51</t>
  </si>
  <si>
    <t>EncWarlockIce01BretonM</t>
  </si>
  <si>
    <t>00045C52</t>
  </si>
  <si>
    <t>EncWarlockIce01HighElfF</t>
  </si>
  <si>
    <t>00045C53</t>
  </si>
  <si>
    <t>EncWarlockIce01HighElfM</t>
  </si>
  <si>
    <t>00045C54</t>
  </si>
  <si>
    <t>EncWarlockIce01ImperialF</t>
  </si>
  <si>
    <t>00045C55</t>
  </si>
  <si>
    <t>EncWarlockIce01ImperialM</t>
  </si>
  <si>
    <t>00045C56</t>
  </si>
  <si>
    <t>EncWarlockIce01NordF</t>
  </si>
  <si>
    <t>00045C75</t>
  </si>
  <si>
    <t>EncWarlockIce01NordM</t>
  </si>
  <si>
    <t>00045C76</t>
  </si>
  <si>
    <t>EncWarlockIce02BossHighElfF</t>
  </si>
  <si>
    <t>000E101C</t>
  </si>
  <si>
    <t>EncWarlockIce02BossHighElfM</t>
  </si>
  <si>
    <t>000E101D</t>
  </si>
  <si>
    <t>EncWarlockIce02BossNordF</t>
  </si>
  <si>
    <t>000E1019</t>
  </si>
  <si>
    <t>EncWarlockIce02BossNordM</t>
  </si>
  <si>
    <t>000E101A</t>
  </si>
  <si>
    <t>EncWarlockIce02BretonF</t>
  </si>
  <si>
    <t>00045C6A</t>
  </si>
  <si>
    <t>EncWarlockIce02BretonM</t>
  </si>
  <si>
    <t>00045C6B</t>
  </si>
  <si>
    <t>EncWarlockIce02HighElfF</t>
  </si>
  <si>
    <t>00045C6C</t>
  </si>
  <si>
    <t>EncWarlockIce02HighElfM</t>
  </si>
  <si>
    <t>00045C6D</t>
  </si>
  <si>
    <t>EncWarlockIce02ImperialF</t>
  </si>
  <si>
    <t>00045C6E</t>
  </si>
  <si>
    <t>00045C6F</t>
  </si>
  <si>
    <t>EncWarlockIce02NordF</t>
  </si>
  <si>
    <t>00045C77</t>
  </si>
  <si>
    <t>EncWarlockIce02NordM</t>
  </si>
  <si>
    <t>00045C78</t>
  </si>
  <si>
    <t>EncWarlockIce03BossHighElfF</t>
  </si>
  <si>
    <t>000E101B</t>
  </si>
  <si>
    <t>EncWarlockIce03BossHighElfM</t>
  </si>
  <si>
    <t>000E101E</t>
  </si>
  <si>
    <t>EncWarlockIce03BossNordF</t>
  </si>
  <si>
    <t>000E101F</t>
  </si>
  <si>
    <t>EncWarlockIce03BossNordM</t>
  </si>
  <si>
    <t>000E1020</t>
  </si>
  <si>
    <t>EncWarlockIce03BretonF</t>
  </si>
  <si>
    <t>00045C85</t>
  </si>
  <si>
    <t>EncWarlockIce03BretonM</t>
  </si>
  <si>
    <t>00045C86</t>
  </si>
  <si>
    <t>EncWarlockIce03HighElfF</t>
  </si>
  <si>
    <t>00045C87</t>
  </si>
  <si>
    <t>EncWarlockIce03HighElfM</t>
  </si>
  <si>
    <t>00045C88</t>
  </si>
  <si>
    <t>EncWarlockIce03ImperialF</t>
  </si>
  <si>
    <t>00045C89</t>
  </si>
  <si>
    <t>EncWarlockIce03ImperialM</t>
  </si>
  <si>
    <t>00045C8A</t>
  </si>
  <si>
    <t>EncWarlockIce03NordF</t>
  </si>
  <si>
    <t>00045C8B</t>
  </si>
  <si>
    <t>EncWarlockIce03NordM</t>
  </si>
  <si>
    <t>00045C8C</t>
  </si>
  <si>
    <t>EncWarlockIce04BossHighElfF</t>
  </si>
  <si>
    <t>000E1021</t>
  </si>
  <si>
    <t>EncWarlockIce04BossHighElfM</t>
  </si>
  <si>
    <t>000E1022</t>
  </si>
  <si>
    <t>EncWarlockIce04BossNordF</t>
  </si>
  <si>
    <t>000E1023</t>
  </si>
  <si>
    <t>EncWarlockIce04BossNordM</t>
  </si>
  <si>
    <t>000E1024</t>
  </si>
  <si>
    <t>EncWarlockIce04BretonF</t>
  </si>
  <si>
    <t>00045CAB</t>
  </si>
  <si>
    <t>EncWarlockIce04BretonM</t>
  </si>
  <si>
    <t>00045CAC</t>
  </si>
  <si>
    <t>EncWarlockIce04HighElfF</t>
  </si>
  <si>
    <t>00045CAD</t>
  </si>
  <si>
    <t>EncWarlockIce04HighElfM</t>
  </si>
  <si>
    <t>00045CAE</t>
  </si>
  <si>
    <t>EncWarlockIce04ImperialF</t>
  </si>
  <si>
    <t>00045CAF</t>
  </si>
  <si>
    <t>EncWarlockIce04ImperialM</t>
  </si>
  <si>
    <t>00045CB0</t>
  </si>
  <si>
    <t>EncWarlockIce04NordF</t>
  </si>
  <si>
    <t>00045CB1</t>
  </si>
  <si>
    <t>EncWarlockIce04NordM</t>
  </si>
  <si>
    <t>00045CB2</t>
  </si>
  <si>
    <t>EncWarlockIce05BossHighElfF</t>
  </si>
  <si>
    <t>000E1025</t>
  </si>
  <si>
    <t>EncWarlockIce05BossHighElfM</t>
  </si>
  <si>
    <t>000E1026</t>
  </si>
  <si>
    <t>EncWarlockIce05BossNordF</t>
  </si>
  <si>
    <t>000E1027</t>
  </si>
  <si>
    <t>EncWarlockIce05BossNordM</t>
  </si>
  <si>
    <t>000E1028</t>
  </si>
  <si>
    <t>EncWarlockIce05BretonF</t>
  </si>
  <si>
    <t>00045CD1</t>
  </si>
  <si>
    <t>EncWarlockIce05BretonM</t>
  </si>
  <si>
    <t>00045CD2</t>
  </si>
  <si>
    <t>EncWarlockIce05HighElfF</t>
  </si>
  <si>
    <t>00045CD3</t>
  </si>
  <si>
    <t>EncWarlockIce05HighElfM</t>
  </si>
  <si>
    <t>00045CD4</t>
  </si>
  <si>
    <t>EncWarlockIce05ImperialF</t>
  </si>
  <si>
    <t>00045CD5</t>
  </si>
  <si>
    <t>EncWarlockIce05ImperialM</t>
  </si>
  <si>
    <t>00045CD8</t>
  </si>
  <si>
    <t>EncWarlockIce05NordF</t>
  </si>
  <si>
    <t>00045CD6</t>
  </si>
  <si>
    <t>EncWarlockIce05NordM</t>
  </si>
  <si>
    <t>00045CD7</t>
  </si>
  <si>
    <t>EncWarlockIce06BossHighElfF</t>
  </si>
  <si>
    <t>000E1029</t>
  </si>
  <si>
    <t>EncWarlockIce06BossHighElfM</t>
  </si>
  <si>
    <t>000E102A</t>
  </si>
  <si>
    <t>EncWarlockIce06BossNordF</t>
  </si>
  <si>
    <t>000E102B</t>
  </si>
  <si>
    <t>EncWarlockIce06BossNordM</t>
  </si>
  <si>
    <t>000E102C</t>
  </si>
  <si>
    <t>EncWarlockIce06BretonF</t>
  </si>
  <si>
    <t>00045CD9</t>
  </si>
  <si>
    <t>EncWarlockIce06BretonM</t>
  </si>
  <si>
    <t>00045CDA</t>
  </si>
  <si>
    <t>EncWarlockIce06HighElfF</t>
  </si>
  <si>
    <t>00045CDB</t>
  </si>
  <si>
    <t>EncWarlockIce06HighElfM</t>
  </si>
  <si>
    <t>00045CDC</t>
  </si>
  <si>
    <t>EncWarlockIce06ImperialF</t>
  </si>
  <si>
    <t>00045CDD</t>
  </si>
  <si>
    <t>EncWarlockIce06ImperialM</t>
  </si>
  <si>
    <t>00045CDE</t>
  </si>
  <si>
    <t>EncWarlockIce06NordF</t>
  </si>
  <si>
    <t>00045CDF</t>
  </si>
  <si>
    <t>EncWarlockIce06NordM</t>
  </si>
  <si>
    <t>00045CE0</t>
  </si>
  <si>
    <t>EncWarlockIce07BossHighElfM</t>
  </si>
  <si>
    <t>001091C0</t>
  </si>
  <si>
    <t>EncWarlockIce07BossNordF</t>
  </si>
  <si>
    <t>001091C1</t>
  </si>
  <si>
    <t>EncWarlockIce07BretonF</t>
  </si>
  <si>
    <t>001091BA</t>
  </si>
  <si>
    <t>EncWarlockIce07HighElfM</t>
  </si>
  <si>
    <t>001091B4</t>
  </si>
  <si>
    <t>EncWarlockNecro01BretonF</t>
  </si>
  <si>
    <t>000551B0</t>
  </si>
  <si>
    <t>EncWarlockNecro01BretonM</t>
  </si>
  <si>
    <t>000551B1</t>
  </si>
  <si>
    <t>EncWarlockNecro01DarkElfF</t>
  </si>
  <si>
    <t>000551B2</t>
  </si>
  <si>
    <t>EncWarlockNecro01DarkElfM</t>
  </si>
  <si>
    <t>000551B3</t>
  </si>
  <si>
    <t>EncWarlockNecro01HighElfF</t>
  </si>
  <si>
    <t>000551B4</t>
  </si>
  <si>
    <t>EncWarlockNecro01HighElfM</t>
  </si>
  <si>
    <t>000551B5</t>
  </si>
  <si>
    <t>EncWarlockNecro01ImperialF</t>
  </si>
  <si>
    <t>000551B6</t>
  </si>
  <si>
    <t>EncWarlockNecro01ImperialM</t>
  </si>
  <si>
    <t>000551B7</t>
  </si>
  <si>
    <t>EncWarlockNecro02BossBretonF</t>
  </si>
  <si>
    <t>000E1035</t>
  </si>
  <si>
    <t>EncWarlockNecro02BossBretonM</t>
  </si>
  <si>
    <t>000E1036</t>
  </si>
  <si>
    <t>EncWarlockNecro02BossHighElfF</t>
  </si>
  <si>
    <t>000E1037</t>
  </si>
  <si>
    <t>EncWarlockNecro02BossHighElfM</t>
  </si>
  <si>
    <t>000E1049</t>
  </si>
  <si>
    <t>EncWarlockNecro02BretonF</t>
  </si>
  <si>
    <t>000551B8</t>
  </si>
  <si>
    <t>EncWarlockNecro02BretonM</t>
  </si>
  <si>
    <t>000551B9</t>
  </si>
  <si>
    <t>EncWarlockNecro02DarkElfF</t>
  </si>
  <si>
    <t>000551BA</t>
  </si>
  <si>
    <t>EncWarlockNecro02DarkElfM</t>
  </si>
  <si>
    <t>000551BB</t>
  </si>
  <si>
    <t>EncWarlockNecro02HighElfF</t>
  </si>
  <si>
    <t>000551BC</t>
  </si>
  <si>
    <t>EncWarlockNecro02HighElfM</t>
  </si>
  <si>
    <t>000551BD</t>
  </si>
  <si>
    <t>EncWarlockNecro02ImperialF</t>
  </si>
  <si>
    <t>000551BE</t>
  </si>
  <si>
    <t>EncWarlockNecro02ImperialM</t>
  </si>
  <si>
    <t>000551BF</t>
  </si>
  <si>
    <t>EncWarlockNecro03BossBretonF</t>
  </si>
  <si>
    <t>000E1039</t>
  </si>
  <si>
    <t>EncWarlockNecro03BossBretonM</t>
  </si>
  <si>
    <t>000E103A</t>
  </si>
  <si>
    <t>EncWarlockNecro03BossHighElfF</t>
  </si>
  <si>
    <t>000E103B</t>
  </si>
  <si>
    <t>EncWarlockNecro03BossHighElfM</t>
  </si>
  <si>
    <t>000E103C</t>
  </si>
  <si>
    <t>EncWarlockNecro03BretonF</t>
  </si>
  <si>
    <t>000551C0</t>
  </si>
  <si>
    <t>EncWarlockNecro03BretonM</t>
  </si>
  <si>
    <t>000551C1</t>
  </si>
  <si>
    <t>EncWarlockNecro03DarkElfF</t>
  </si>
  <si>
    <t>000551C2</t>
  </si>
  <si>
    <t>EncWarlockNecro03DarkElfM</t>
  </si>
  <si>
    <t>000551C3</t>
  </si>
  <si>
    <t>EncWarlockNecro03HighElfF</t>
  </si>
  <si>
    <t>000551C4</t>
  </si>
  <si>
    <t>EncWarlockNecro03HighElfM</t>
  </si>
  <si>
    <t>000551C5</t>
  </si>
  <si>
    <t>EncWarlockNecro03ImperialF</t>
  </si>
  <si>
    <t>000551C6</t>
  </si>
  <si>
    <t>EncWarlockNecro03ImperialM</t>
  </si>
  <si>
    <t>000551C7</t>
  </si>
  <si>
    <t>EncWarlockNecro04BossBretonF</t>
  </si>
  <si>
    <t>000E103D</t>
  </si>
  <si>
    <t>EncWarlockNecro04BossBretonM</t>
  </si>
  <si>
    <t>000E103E</t>
  </si>
  <si>
    <t>EncWarlockNecro04BossHighElfF</t>
  </si>
  <si>
    <t>000E103F</t>
  </si>
  <si>
    <t>EncWarlockNecro04BossHighElfM</t>
  </si>
  <si>
    <t>000E1040</t>
  </si>
  <si>
    <t>EncWarlockNecro04BretonF</t>
  </si>
  <si>
    <t>000551C8</t>
  </si>
  <si>
    <t>EncWarlockNecro04BretonM</t>
  </si>
  <si>
    <t>000551C9</t>
  </si>
  <si>
    <t>EncWarlockNecro04DarkElfF</t>
  </si>
  <si>
    <t>000551CA</t>
  </si>
  <si>
    <t>EncWarlockNecro04DarkElfM</t>
  </si>
  <si>
    <t>000551CB</t>
  </si>
  <si>
    <t>EncWarlockNecro04HighElfF</t>
  </si>
  <si>
    <t>000551CC</t>
  </si>
  <si>
    <t>EncWarlockNecro04HighElfM</t>
  </si>
  <si>
    <t>000551CD</t>
  </si>
  <si>
    <t>EncWarlockNecro04ImperialF</t>
  </si>
  <si>
    <t>000551CE</t>
  </si>
  <si>
    <t>EncWarlockNecro04ImperialM</t>
  </si>
  <si>
    <t>000551CF</t>
  </si>
  <si>
    <t>EncWarlockNecro05BossBretonF</t>
  </si>
  <si>
    <t>000E1041</t>
  </si>
  <si>
    <t>EncWarlockNecro05BossBretonM</t>
  </si>
  <si>
    <t>000E1042</t>
  </si>
  <si>
    <t>EncWarlockNecro05BossHighElfF</t>
  </si>
  <si>
    <t>000E1043</t>
  </si>
  <si>
    <t>EncWarlockNecro05BossHighElfM</t>
  </si>
  <si>
    <t>000E1044</t>
  </si>
  <si>
    <t>EncWarlockNecro05BretonF</t>
  </si>
  <si>
    <t>000551D0</t>
  </si>
  <si>
    <t>EncWarlockNecro05BretonM</t>
  </si>
  <si>
    <t>000551D1</t>
  </si>
  <si>
    <t>EncWarlockNecro05DarkElfF</t>
  </si>
  <si>
    <t>000551D2</t>
  </si>
  <si>
    <t>EncWarlockNecro05DarkElfM</t>
  </si>
  <si>
    <t>000551D3</t>
  </si>
  <si>
    <t>EncWarlockNecro05HighElfF</t>
  </si>
  <si>
    <t>000551D4</t>
  </si>
  <si>
    <t>EncWarlockNecro05HighElfM</t>
  </si>
  <si>
    <t>000551D5</t>
  </si>
  <si>
    <t>EncWarlockNecro05ImperialF</t>
  </si>
  <si>
    <t>000551D6</t>
  </si>
  <si>
    <t>EncWarlockNecro05ImperialM</t>
  </si>
  <si>
    <t>000551D7</t>
  </si>
  <si>
    <t>EncWarlockNecro06BossBretonF</t>
  </si>
  <si>
    <t>000E1045</t>
  </si>
  <si>
    <t>EncWarlockNecro06BossBretonM</t>
  </si>
  <si>
    <t>000E1046</t>
  </si>
  <si>
    <t>000E1047</t>
  </si>
  <si>
    <t>EncWarlockNecro06BossHighElfM</t>
  </si>
  <si>
    <t>000E1048</t>
  </si>
  <si>
    <t>EncWarlockNecro06BretonF</t>
  </si>
  <si>
    <t>000551D8</t>
  </si>
  <si>
    <t>EncWarlockNecro06BretonM</t>
  </si>
  <si>
    <t>000551D9</t>
  </si>
  <si>
    <t>EncWarlockNecro06DarkElfF</t>
  </si>
  <si>
    <t>000551DA</t>
  </si>
  <si>
    <t>EncWarlockNecro06DarkElfM</t>
  </si>
  <si>
    <t>000551DB</t>
  </si>
  <si>
    <t>EncWarlockNecro06HighElfF</t>
  </si>
  <si>
    <t>000551DC</t>
  </si>
  <si>
    <t>EncWarlockNecro06HighElfM</t>
  </si>
  <si>
    <t>000551DD</t>
  </si>
  <si>
    <t>EncWarlockNecro06ImperialF</t>
  </si>
  <si>
    <t>000551DE</t>
  </si>
  <si>
    <t>EncWarlockNecro06ImperialM</t>
  </si>
  <si>
    <t>000551DF</t>
  </si>
  <si>
    <t>EncWarlockNecro07BossBretonF</t>
  </si>
  <si>
    <t>001091C3</t>
  </si>
  <si>
    <t>EncWarlockNecro07BossHighElfM</t>
  </si>
  <si>
    <t>001091C2</t>
  </si>
  <si>
    <t>EncWarlockNecro07BretonF</t>
  </si>
  <si>
    <t>001091BB</t>
  </si>
  <si>
    <t>EncWarlockNecro07HighElfM</t>
  </si>
  <si>
    <t>001091B5</t>
  </si>
  <si>
    <t>EncWarlockStorm01BretonF</t>
  </si>
  <si>
    <t>00045C57</t>
  </si>
  <si>
    <t>EncWarlockStorm01BretonM</t>
  </si>
  <si>
    <t>00045C58</t>
  </si>
  <si>
    <t>EncWarlockStorm01DarkElfF</t>
  </si>
  <si>
    <t>00045C59</t>
  </si>
  <si>
    <t>EncWarlockStorm01DarkElfM</t>
  </si>
  <si>
    <t>00045C5A</t>
  </si>
  <si>
    <t>EncWarlockStorm01HighElfF</t>
  </si>
  <si>
    <t>00045C5B</t>
  </si>
  <si>
    <t>EncWarlockStorm01HighElfM</t>
  </si>
  <si>
    <t>00045C5C</t>
  </si>
  <si>
    <t>EncWarlockStorm01ImperialF</t>
  </si>
  <si>
    <t>00045C5D</t>
  </si>
  <si>
    <t>EncWarlockStorm01ImperialM</t>
  </si>
  <si>
    <t>00045C5E</t>
  </si>
  <si>
    <t>EncWarlockStorm02BossBretonF</t>
  </si>
  <si>
    <t>000E1051</t>
  </si>
  <si>
    <t>EncWarlockStorm02BossBretonM</t>
  </si>
  <si>
    <t>000E1052</t>
  </si>
  <si>
    <t>EncWarlockStorm02BossHighElfF</t>
  </si>
  <si>
    <t>000E1053</t>
  </si>
  <si>
    <t>EncWarlockStorm02BossHighElfM</t>
  </si>
  <si>
    <t>000E1054</t>
  </si>
  <si>
    <t>EncWarlockStorm02BretonF</t>
  </si>
  <si>
    <t>00045C70</t>
  </si>
  <si>
    <t>EncWarlockStorm02BretonM</t>
  </si>
  <si>
    <t>00045C71</t>
  </si>
  <si>
    <t>EncWarlockStorm02DarkElfF</t>
  </si>
  <si>
    <t>00045C90</t>
  </si>
  <si>
    <t>EncWarlockStorm02DarkElfM</t>
  </si>
  <si>
    <t>00045C91</t>
  </si>
  <si>
    <t>EncWarlockStorm02HighElfF</t>
  </si>
  <si>
    <t>00045C72</t>
  </si>
  <si>
    <t>EncWarlockStorm02HighElfM</t>
  </si>
  <si>
    <t>00045C73</t>
  </si>
  <si>
    <t>EncWarlockStorm02ImperialF</t>
  </si>
  <si>
    <t>00045C74</t>
  </si>
  <si>
    <t>EncWarlockStorm02ImperialM</t>
  </si>
  <si>
    <t>00045C79</t>
  </si>
  <si>
    <t>EncWarlockStorm03BossBretonF</t>
  </si>
  <si>
    <t>000E1055</t>
  </si>
  <si>
    <t>EncWarlockStorm03BossBretonM</t>
  </si>
  <si>
    <t>000E1056</t>
  </si>
  <si>
    <t>EncWarlockStorm03BossHighElfF</t>
  </si>
  <si>
    <t>000E1057</t>
  </si>
  <si>
    <t>EncWarlockStorm03BossHighElfM</t>
  </si>
  <si>
    <t>000E1058</t>
  </si>
  <si>
    <t>EncWarlockStorm03BretonF</t>
  </si>
  <si>
    <t>00045C8D</t>
  </si>
  <si>
    <t>EncWarlockStorm03BretonM</t>
  </si>
  <si>
    <t>00045C8E</t>
  </si>
  <si>
    <t>EncWarlockStorm03DarkElfF</t>
  </si>
  <si>
    <t>00045C92</t>
  </si>
  <si>
    <t>EncWarlockStorm03DarkElfM</t>
  </si>
  <si>
    <t>00045C93</t>
  </si>
  <si>
    <t>EncWarlockStorm03HighElfF</t>
  </si>
  <si>
    <t>00045C8F</t>
  </si>
  <si>
    <t>EncWarlockStorm03HighElfM</t>
  </si>
  <si>
    <t>00045C94</t>
  </si>
  <si>
    <t>EncWarlockStorm03ImperialF</t>
  </si>
  <si>
    <t>00045C95</t>
  </si>
  <si>
    <t>EncWarlockStorm03ImperialM</t>
  </si>
  <si>
    <t>00045C96</t>
  </si>
  <si>
    <t>EncWarlockStorm04BossBretonF</t>
  </si>
  <si>
    <t>000E1059</t>
  </si>
  <si>
    <t>EncWarlockStorm04BossBretonM</t>
  </si>
  <si>
    <t>000E105A</t>
  </si>
  <si>
    <t>EncWarlockStorm04BossHighElfF</t>
  </si>
  <si>
    <t>000E105B</t>
  </si>
  <si>
    <t>EncWarlockStorm04BossHighElfM</t>
  </si>
  <si>
    <t>000E105C</t>
  </si>
  <si>
    <t>EncWarlockStorm04BretonF</t>
  </si>
  <si>
    <t>00045CB3</t>
  </si>
  <si>
    <t>EncWarlockStorm04BretonM</t>
  </si>
  <si>
    <t>00045CB4</t>
  </si>
  <si>
    <t>EncWarlockStorm04DarkElfF</t>
  </si>
  <si>
    <t>00045CB5</t>
  </si>
  <si>
    <t>EncWarlockStorm04DarkElfM</t>
  </si>
  <si>
    <t>00045CB6</t>
  </si>
  <si>
    <t>EncWarlockStorm04HighElfF</t>
  </si>
  <si>
    <t>00045CB7</t>
  </si>
  <si>
    <t>EncWarlockStorm04HighElfM</t>
  </si>
  <si>
    <t>00045CB8</t>
  </si>
  <si>
    <t>EncWarlockStorm04ImperialF</t>
  </si>
  <si>
    <t>00045CB9</t>
  </si>
  <si>
    <t>EncWarlockStorm04ImperialM</t>
  </si>
  <si>
    <t>00045CBA</t>
  </si>
  <si>
    <t>EncWarlockStorm05BossBretonF</t>
  </si>
  <si>
    <t>000E105D</t>
  </si>
  <si>
    <t>EncWarlockStorm05BossBretonM</t>
  </si>
  <si>
    <t>000E105E</t>
  </si>
  <si>
    <t>EncWarlockStorm05BossHighElfF</t>
  </si>
  <si>
    <t>000E105F</t>
  </si>
  <si>
    <t>EncWarlockStorm05BossHighElfM</t>
  </si>
  <si>
    <t>000E1060</t>
  </si>
  <si>
    <t>EncWarlockStorm05BretonF</t>
  </si>
  <si>
    <t>00045CE1</t>
  </si>
  <si>
    <t>EncWarlockStorm05BretonM</t>
  </si>
  <si>
    <t>00045CE2</t>
  </si>
  <si>
    <t>EncWarlockStorm05DarkElfF</t>
  </si>
  <si>
    <t>00045CE3</t>
  </si>
  <si>
    <t>EncWarlockStorm05DarkElfM</t>
  </si>
  <si>
    <t>00045CE4</t>
  </si>
  <si>
    <t>EncWarlockStorm05HighElfF</t>
  </si>
  <si>
    <t>00045CE5</t>
  </si>
  <si>
    <t>EncWarlockStorm05HighElfM</t>
  </si>
  <si>
    <t>00045CE6</t>
  </si>
  <si>
    <t>EncWarlockStorm05ImperialF</t>
  </si>
  <si>
    <t>00045CE7</t>
  </si>
  <si>
    <t>EncWarlockStorm05ImperialM</t>
  </si>
  <si>
    <t>00045CE8</t>
  </si>
  <si>
    <t>EncWarlockStorm06BossBretonF</t>
  </si>
  <si>
    <t>000E1061</t>
  </si>
  <si>
    <t>EncWarlockStorm06BossBretonM</t>
  </si>
  <si>
    <t>000E1062</t>
  </si>
  <si>
    <t>EncWarlockStorm06BossHighElfF</t>
  </si>
  <si>
    <t>000E1063</t>
  </si>
  <si>
    <t>EncWarlockStorm06BossHighElfM</t>
  </si>
  <si>
    <t>000E1064</t>
  </si>
  <si>
    <t>EncWarlockStorm06BretonF</t>
  </si>
  <si>
    <t>00045CE9</t>
  </si>
  <si>
    <t>EncWarlockStorm06BretonM</t>
  </si>
  <si>
    <t>00045CEA</t>
  </si>
  <si>
    <t>EncWarlockStorm06DarkElfF</t>
  </si>
  <si>
    <t>00045CEB</t>
  </si>
  <si>
    <t>EncWarlockStorm06DarkElfM</t>
  </si>
  <si>
    <t>00045CEC</t>
  </si>
  <si>
    <t>EncWarlockStorm06HighElfF</t>
  </si>
  <si>
    <t>00045CED</t>
  </si>
  <si>
    <t>EncWarlockStorm06HighElfM</t>
  </si>
  <si>
    <t>00045CEE</t>
  </si>
  <si>
    <t>EncWarlockStorm06ImperialF</t>
  </si>
  <si>
    <t>00045CEF</t>
  </si>
  <si>
    <t>EncWarlockStorm06ImperialM</t>
  </si>
  <si>
    <t>00045CF0</t>
  </si>
  <si>
    <t>EncWarlockStorm07BossBretonF</t>
  </si>
  <si>
    <t>001091C5</t>
  </si>
  <si>
    <t>EncWarlockStorm07BossHighElfM</t>
  </si>
  <si>
    <t>001091C4</t>
  </si>
  <si>
    <t>EncWarlockStorm07BretonF</t>
  </si>
  <si>
    <t>001091BC</t>
  </si>
  <si>
    <t>EncWarlockStorm07HighElfM</t>
  </si>
  <si>
    <t>001091B6</t>
  </si>
  <si>
    <t>00074F74</t>
  </si>
  <si>
    <t>Witch</t>
  </si>
  <si>
    <t>EncWitchFire01BretonF;EncWitchFire01DarkElfF;EncWitchFire01HighElfF;EncWitchFire01ImperialF;dunHagsEndSacrifice</t>
  </si>
  <si>
    <t>EncWitch01TemplateIce</t>
  </si>
  <si>
    <t>00074F75</t>
  </si>
  <si>
    <t>EncWitchIce01BretonF;EncWitchIce01HighElfF;EncWitchIce01ImperialF;EncWitchIce01NordF</t>
  </si>
  <si>
    <t>EncWitch01TemplateStorm</t>
  </si>
  <si>
    <t>00074F76</t>
  </si>
  <si>
    <t>EncWitchStorm01BretonF;EncWitchStorm01DarkElfF;EncWitchStorm01HighElfF;EncWitchStorm01ImperialF</t>
  </si>
  <si>
    <t>EncWitch02TemplateFire</t>
  </si>
  <si>
    <t>00074F83</t>
  </si>
  <si>
    <t>Hag</t>
  </si>
  <si>
    <t>EncWitchFire02BretonF;EncWitchFire02DarkElfF;EncWitchFire02HighElfF;EncWitchFire02ImperialF</t>
  </si>
  <si>
    <t>EncWitch02TemplateIce</t>
  </si>
  <si>
    <t>00074F84</t>
  </si>
  <si>
    <t>EncWitchIce02BretonF;EncWitchIce02HighElfF;EncWitchIce02ImperialF;EncWitchIce02NordF</t>
  </si>
  <si>
    <t>EncWitch02TemplateStorm</t>
  </si>
  <si>
    <t>00074F85</t>
  </si>
  <si>
    <t>EncWitchStorm02BretonF;EncWitchStorm02DarkElfF;EncWitchStorm02HighElfF;EncWitchStorm02ImperialF</t>
  </si>
  <si>
    <t>EncWitchFire01BretonF</t>
  </si>
  <si>
    <t>00074F77</t>
  </si>
  <si>
    <t>00074F78</t>
  </si>
  <si>
    <t>EncWitchFire01HighElfF</t>
  </si>
  <si>
    <t>00074F79</t>
  </si>
  <si>
    <t>EncWitchFire01ImperialF</t>
  </si>
  <si>
    <t>00074F7A</t>
  </si>
  <si>
    <t>EncWitchFire02BretonF</t>
  </si>
  <si>
    <t>00074F86</t>
  </si>
  <si>
    <t>EncWitchFire02DarkElfF</t>
  </si>
  <si>
    <t>00074F87</t>
  </si>
  <si>
    <t>EncWitchFire02HighElfF</t>
  </si>
  <si>
    <t>00074F88</t>
  </si>
  <si>
    <t>EncWitchFire02ImperialF</t>
  </si>
  <si>
    <t>00074F89</t>
  </si>
  <si>
    <t>EncWitchIce01BretonF</t>
  </si>
  <si>
    <t>00074F7B</t>
  </si>
  <si>
    <t>EncWitchIce01HighElfF</t>
  </si>
  <si>
    <t>00074F7C</t>
  </si>
  <si>
    <t>EncWitchIce01ImperialF</t>
  </si>
  <si>
    <t>00074F7D</t>
  </si>
  <si>
    <t>EncWitchIce01NordF</t>
  </si>
  <si>
    <t>00074F7E</t>
  </si>
  <si>
    <t>EncWitchIce02BretonF</t>
  </si>
  <si>
    <t>00074F8A</t>
  </si>
  <si>
    <t>EncWitchIce02HighElfF</t>
  </si>
  <si>
    <t>00074F8B</t>
  </si>
  <si>
    <t>EncWitchIce02ImperialF</t>
  </si>
  <si>
    <t>00074F8C</t>
  </si>
  <si>
    <t>EncWitchIce02NordF</t>
  </si>
  <si>
    <t>00074F8D</t>
  </si>
  <si>
    <t>EncWitchStorm01BretonF</t>
  </si>
  <si>
    <t>00074F7F</t>
  </si>
  <si>
    <t>EncWitchStorm01DarkElfF</t>
  </si>
  <si>
    <t>00074F80</t>
  </si>
  <si>
    <t>EncWitchStorm01HighElfF</t>
  </si>
  <si>
    <t>00074F81</t>
  </si>
  <si>
    <t>EncWitchStorm01ImperialF</t>
  </si>
  <si>
    <t>00074F82</t>
  </si>
  <si>
    <t>EncWitchStorm02BretonF</t>
  </si>
  <si>
    <t>00074F8E</t>
  </si>
  <si>
    <t>EncWitchStorm02DarkElfF</t>
  </si>
  <si>
    <t>00074F8F</t>
  </si>
  <si>
    <t>EncWitchStorm02HighElfF</t>
  </si>
  <si>
    <t>00074F90</t>
  </si>
  <si>
    <t>EncWitchStorm02ImperialF</t>
  </si>
  <si>
    <t>00074F91</t>
  </si>
  <si>
    <t>Endarie</t>
  </si>
  <si>
    <t>0001326F</t>
  </si>
  <si>
    <t>Endon</t>
  </si>
  <si>
    <t>00013395</t>
  </si>
  <si>
    <t>Enmon</t>
  </si>
  <si>
    <t>00013B6C</t>
  </si>
  <si>
    <t>Ennis</t>
  </si>
  <si>
    <t>0001B3B5</t>
  </si>
  <si>
    <t>Ennoc</t>
  </si>
  <si>
    <t>00013396</t>
  </si>
  <si>
    <t>EnnodiusPapius</t>
  </si>
  <si>
    <t>0001360C</t>
  </si>
  <si>
    <t>Ennodius Papius</t>
  </si>
  <si>
    <t>Enthir</t>
  </si>
  <si>
    <t>0001C19C</t>
  </si>
  <si>
    <t>Eola</t>
  </si>
  <si>
    <t>0001990F</t>
  </si>
  <si>
    <t>EorlundGrayMane</t>
  </si>
  <si>
    <t>00013B9D</t>
  </si>
  <si>
    <t>Eorlund Gray-Mane</t>
  </si>
  <si>
    <t>Erandur</t>
  </si>
  <si>
    <t>0002427D</t>
  </si>
  <si>
    <t>Erdi</t>
  </si>
  <si>
    <t>00013271</t>
  </si>
  <si>
    <t>Erik</t>
  </si>
  <si>
    <t>000350A7</t>
  </si>
  <si>
    <t>Erikur</t>
  </si>
  <si>
    <t>00013272</t>
  </si>
  <si>
    <t>Erith</t>
  </si>
  <si>
    <t>000133AB</t>
  </si>
  <si>
    <t>Esbern</t>
  </si>
  <si>
    <t>00013358</t>
  </si>
  <si>
    <t>Estormo</t>
  </si>
  <si>
    <t>00034D97</t>
  </si>
  <si>
    <t>EtienneRarnis</t>
  </si>
  <si>
    <t>0003A1D3</t>
  </si>
  <si>
    <t>Etienne Rarnis</t>
  </si>
  <si>
    <t>EvetteSan</t>
  </si>
  <si>
    <t>00013273</t>
  </si>
  <si>
    <t>Evette San</t>
  </si>
  <si>
    <t>00013B77</t>
  </si>
  <si>
    <t>Faendal</t>
  </si>
  <si>
    <t>00013480</t>
  </si>
  <si>
    <t>Faida</t>
  </si>
  <si>
    <t>00019A28</t>
  </si>
  <si>
    <t>Faleen</t>
  </si>
  <si>
    <t>00013397</t>
  </si>
  <si>
    <t>Falion</t>
  </si>
  <si>
    <t>000135E9</t>
  </si>
  <si>
    <t>FalkFirebeard</t>
  </si>
  <si>
    <t>00013274</t>
  </si>
  <si>
    <t>Falk Firebeard</t>
  </si>
  <si>
    <t>Faralda</t>
  </si>
  <si>
    <t>0001C197</t>
  </si>
  <si>
    <t>FarengarSecretFire</t>
  </si>
  <si>
    <t>00013BBB</t>
  </si>
  <si>
    <t>Farengar Secret-Fire</t>
  </si>
  <si>
    <t>Farkas</t>
  </si>
  <si>
    <t>0001A692</t>
  </si>
  <si>
    <t>FarylAtheron</t>
  </si>
  <si>
    <t>00014131</t>
  </si>
  <si>
    <t>Faryl Atheron</t>
  </si>
  <si>
    <t>Fastred</t>
  </si>
  <si>
    <t>000136BF</t>
  </si>
  <si>
    <t>FelldirTheOld</t>
  </si>
  <si>
    <t>00044237</t>
  </si>
  <si>
    <t>Felldir the Old</t>
  </si>
  <si>
    <t>SummonFelldir;MQ206Felldir</t>
  </si>
  <si>
    <t>FestusKrex</t>
  </si>
  <si>
    <t>0001BDB2</t>
  </si>
  <si>
    <t>Festus Krex</t>
  </si>
  <si>
    <t>FestusKrexDead</t>
  </si>
  <si>
    <t>000E0D6F</t>
  </si>
  <si>
    <t>FFHM01LeifnarrTreasCorpse</t>
  </si>
  <si>
    <t>000E3EAD</t>
  </si>
  <si>
    <t>Fianna</t>
  </si>
  <si>
    <t>000D16DD</t>
  </si>
  <si>
    <t>Fihada</t>
  </si>
  <si>
    <t>00013275</t>
  </si>
  <si>
    <t>Filnjar</t>
  </si>
  <si>
    <t>000136C3</t>
  </si>
  <si>
    <t>Fjotra</t>
  </si>
  <si>
    <t>0001E82C</t>
  </si>
  <si>
    <t>Frabbi</t>
  </si>
  <si>
    <t>00013398</t>
  </si>
  <si>
    <t>FraliaGrayMane</t>
  </si>
  <si>
    <t>00013B9C</t>
  </si>
  <si>
    <t>Fralia Gray-Mane</t>
  </si>
  <si>
    <t>Francois</t>
  </si>
  <si>
    <t>00013359</t>
  </si>
  <si>
    <t>Francois Beaufort</t>
  </si>
  <si>
    <t>FreeformOldHroldanBGhost</t>
  </si>
  <si>
    <t>000681A2</t>
  </si>
  <si>
    <t>Ghost of Old Hroldan</t>
  </si>
  <si>
    <t>Freir</t>
  </si>
  <si>
    <t>00013277</t>
  </si>
  <si>
    <t>Frida</t>
  </si>
  <si>
    <t>00013614</t>
  </si>
  <si>
    <t>Fridrika</t>
  </si>
  <si>
    <t>00013278</t>
  </si>
  <si>
    <t>Frodnar</t>
  </si>
  <si>
    <t>0001347E</t>
  </si>
  <si>
    <t>FromDeepestFathoms</t>
  </si>
  <si>
    <t>0001335A</t>
  </si>
  <si>
    <t>From-Deepest-Fathoms</t>
  </si>
  <si>
    <t>FromDeepestFathomsVision</t>
  </si>
  <si>
    <t>00056553</t>
  </si>
  <si>
    <t>Frothar</t>
  </si>
  <si>
    <t>0001434C</t>
  </si>
  <si>
    <t>Fruki</t>
  </si>
  <si>
    <t>00013615</t>
  </si>
  <si>
    <t>Fultheim</t>
  </si>
  <si>
    <t>000DA68A</t>
  </si>
  <si>
    <t>Gabriella</t>
  </si>
  <si>
    <t>0001BDB8</t>
  </si>
  <si>
    <t>GabriellaDead</t>
  </si>
  <si>
    <t>0002FB1A</t>
  </si>
  <si>
    <t>GadbaGroLargash</t>
  </si>
  <si>
    <t>0001B09A</t>
  </si>
  <si>
    <t>Gadba gro-Largash</t>
  </si>
  <si>
    <t>Gadnor</t>
  </si>
  <si>
    <t>0002EB58</t>
  </si>
  <si>
    <t>TreasCorpseBanditWoodElfMale</t>
  </si>
  <si>
    <t>GaiusMaro</t>
  </si>
  <si>
    <t>00044050</t>
  </si>
  <si>
    <t>Gaius Maro</t>
  </si>
  <si>
    <t>Gallus</t>
  </si>
  <si>
    <t>0001BB5D</t>
  </si>
  <si>
    <t>Galmar</t>
  </si>
  <si>
    <t>00014128</t>
  </si>
  <si>
    <t>MQ304Galmar</t>
  </si>
  <si>
    <t>GannaUriel</t>
  </si>
  <si>
    <t>0001365D</t>
  </si>
  <si>
    <t>Ganna Uriel</t>
  </si>
  <si>
    <t>Garakh</t>
  </si>
  <si>
    <t>00019E1C</t>
  </si>
  <si>
    <t>Garthar</t>
  </si>
  <si>
    <t>000B03A3</t>
  </si>
  <si>
    <t>Garvey</t>
  </si>
  <si>
    <t>000D6703</t>
  </si>
  <si>
    <t>GatgroShargakh</t>
  </si>
  <si>
    <t>000199B7</t>
  </si>
  <si>
    <t>Gat gro-Shargakh</t>
  </si>
  <si>
    <t>GavrosPlinius</t>
  </si>
  <si>
    <t>00034CB8</t>
  </si>
  <si>
    <t>Gavros Plinius</t>
  </si>
  <si>
    <t>Geimund</t>
  </si>
  <si>
    <t>0001327D</t>
  </si>
  <si>
    <t>Gelebros</t>
  </si>
  <si>
    <t>0003983E</t>
  </si>
  <si>
    <t>GemmaUriel</t>
  </si>
  <si>
    <t>00014040</t>
  </si>
  <si>
    <t>Gemma Uriel</t>
  </si>
  <si>
    <t>GeneralTullius</t>
  </si>
  <si>
    <t>0001327E</t>
  </si>
  <si>
    <t>Gerda</t>
  </si>
  <si>
    <t>000C247E</t>
  </si>
  <si>
    <t>Gerdur</t>
  </si>
  <si>
    <t>0001347C</t>
  </si>
  <si>
    <t>GesturRockbreaker</t>
  </si>
  <si>
    <t>00013603</t>
  </si>
  <si>
    <t>Gestur Rockbreaker</t>
  </si>
  <si>
    <t>Ghak</t>
  </si>
  <si>
    <t>000C78C2</t>
  </si>
  <si>
    <t>Ghamorz</t>
  </si>
  <si>
    <t>000C78CC</t>
  </si>
  <si>
    <t>Gharol</t>
  </si>
  <si>
    <t>00013B7C</t>
  </si>
  <si>
    <t>Ghorbash</t>
  </si>
  <si>
    <t>00013B81</t>
  </si>
  <si>
    <t>Ghorbash the Iron Hand</t>
  </si>
  <si>
    <t>GhorzaGraBagol</t>
  </si>
  <si>
    <t>0001339A</t>
  </si>
  <si>
    <t>Ghorza gra-Bagol</t>
  </si>
  <si>
    <t>Gianna</t>
  </si>
  <si>
    <t>0004BCC3</t>
  </si>
  <si>
    <t>Gilfre</t>
  </si>
  <si>
    <t>0001367A</t>
  </si>
  <si>
    <t>GiraudGemane</t>
  </si>
  <si>
    <t>00013281</t>
  </si>
  <si>
    <t>Giraud Gemane</t>
  </si>
  <si>
    <t>Gisli</t>
  </si>
  <si>
    <t>00013282</t>
  </si>
  <si>
    <t>Gissur</t>
  </si>
  <si>
    <t>00039F23</t>
  </si>
  <si>
    <t>Gjak</t>
  </si>
  <si>
    <t>000876DA</t>
  </si>
  <si>
    <t>Gloth</t>
  </si>
  <si>
    <t>00028DD6</t>
  </si>
  <si>
    <t>Golldir</t>
  </si>
  <si>
    <t>00019FE8</t>
  </si>
  <si>
    <t>Gorm</t>
  </si>
  <si>
    <t>000135EA</t>
  </si>
  <si>
    <t>GormlaithGoldenHilt</t>
  </si>
  <si>
    <t>00044236</t>
  </si>
  <si>
    <t>Gormlaith Golden-Hilt</t>
  </si>
  <si>
    <t>SummonGormlaith;MQ206Gormlaith</t>
  </si>
  <si>
    <t>Gralnach</t>
  </si>
  <si>
    <t>00019C01</t>
  </si>
  <si>
    <t>Grelka</t>
  </si>
  <si>
    <t>000136C5</t>
  </si>
  <si>
    <t>Grelod</t>
  </si>
  <si>
    <t>0001335E</t>
  </si>
  <si>
    <t>Grelod the Kind</t>
  </si>
  <si>
    <t>HairFemaleElder02</t>
  </si>
  <si>
    <t>Greta</t>
  </si>
  <si>
    <t>00013283</t>
  </si>
  <si>
    <t>Grimvar</t>
  </si>
  <si>
    <t>00014133</t>
  </si>
  <si>
    <t>Grimvar Cruel-Sea</t>
  </si>
  <si>
    <t>Grisvar</t>
  </si>
  <si>
    <t>0001339B</t>
  </si>
  <si>
    <t>Grisvar the Unlucky</t>
  </si>
  <si>
    <t>GrogmarGroBurzag</t>
  </si>
  <si>
    <t>000136C6</t>
  </si>
  <si>
    <t>Grogmar gro-Burzag</t>
  </si>
  <si>
    <t>Grosta</t>
  </si>
  <si>
    <t>00019C00</t>
  </si>
  <si>
    <t>Grushnag</t>
  </si>
  <si>
    <t>0001B1CD</t>
  </si>
  <si>
    <t>GuardMarkarthImperialMuseum</t>
  </si>
  <si>
    <t>000537F2</t>
  </si>
  <si>
    <t>Markarth City Guard</t>
  </si>
  <si>
    <t>LvlGuardImperial</t>
  </si>
  <si>
    <t>GuardRiftenGateImpNorthStartup</t>
  </si>
  <si>
    <t>000EA154</t>
  </si>
  <si>
    <t>GuardRiftenImperialBase</t>
  </si>
  <si>
    <t>GuardRiftenGateImpSouthStartup</t>
  </si>
  <si>
    <t>000EA155</t>
  </si>
  <si>
    <t>GuardRiftenGateImpWestStartup</t>
  </si>
  <si>
    <t>000EA156</t>
  </si>
  <si>
    <t>GuardRiftenGateNorthStartup</t>
  </si>
  <si>
    <t>000E66F6</t>
  </si>
  <si>
    <t>GuardRiftenSonsBase</t>
  </si>
  <si>
    <t>GuardRiftenGateSouthStartup</t>
  </si>
  <si>
    <t>000E66F8</t>
  </si>
  <si>
    <t>GuardRiftenGateWestStartup</t>
  </si>
  <si>
    <t>000E66F7</t>
  </si>
  <si>
    <t>GuardRiverwoodImperial02</t>
  </si>
  <si>
    <t>000274AC</t>
  </si>
  <si>
    <t>GuardWhiterunImperialTemplate</t>
  </si>
  <si>
    <t>GuardSolitudeImperialDayMaleGuard</t>
  </si>
  <si>
    <t>000F684E</t>
  </si>
  <si>
    <t>GuardSolitudeImperialBase</t>
  </si>
  <si>
    <t>GuardSolitudeImperialTrainingBow</t>
  </si>
  <si>
    <t>000B4C4F</t>
  </si>
  <si>
    <t>GuardSolitudeImperialWarroom</t>
  </si>
  <si>
    <t>000199F8</t>
  </si>
  <si>
    <t>GuardSolitudeImperialWarroomNight</t>
  </si>
  <si>
    <t>GuardSolitudeSonsTrainingBow</t>
  </si>
  <si>
    <t>00108AA8</t>
  </si>
  <si>
    <t>GuardSolitudeSonsBase</t>
  </si>
  <si>
    <t>GuardWhiterunImperialGate</t>
  </si>
  <si>
    <t>000D1985</t>
  </si>
  <si>
    <t>GuardWhiterunImperialGate2</t>
  </si>
  <si>
    <t>000D8F09</t>
  </si>
  <si>
    <t>GuardWhiterunSonsGate</t>
  </si>
  <si>
    <t>000E0D77</t>
  </si>
  <si>
    <t>GuardWhiterunSonsTemplate</t>
  </si>
  <si>
    <t>GuardWindhelmSonsGateDocks</t>
  </si>
  <si>
    <t>0003EECF</t>
  </si>
  <si>
    <t>LvlGuardSons</t>
  </si>
  <si>
    <t>GuardWindhelmSonsGateMain</t>
  </si>
  <si>
    <t>0003EF2C</t>
  </si>
  <si>
    <t>GuardWindhelmSons</t>
  </si>
  <si>
    <t>GuardWindhelmSonsWarroom</t>
  </si>
  <si>
    <t>00055A2B</t>
  </si>
  <si>
    <t>Gul</t>
  </si>
  <si>
    <t>000C78CA</t>
  </si>
  <si>
    <t>HairFemaleOrc13</t>
  </si>
  <si>
    <t>Gularzob</t>
  </si>
  <si>
    <t>00019E20</t>
  </si>
  <si>
    <t>GulumEi</t>
  </si>
  <si>
    <t>00013284</t>
  </si>
  <si>
    <t>Gulum-Ei</t>
  </si>
  <si>
    <t>Gunding</t>
  </si>
  <si>
    <t>000AE77B</t>
  </si>
  <si>
    <t>GunnarStoneEye</t>
  </si>
  <si>
    <t>00013643</t>
  </si>
  <si>
    <t>Gunnar Stone-Eye</t>
  </si>
  <si>
    <t>Guthrum</t>
  </si>
  <si>
    <t>00013285</t>
  </si>
  <si>
    <t>Gwendolyn</t>
  </si>
  <si>
    <t>0002C930</t>
  </si>
  <si>
    <t>Gwilin</t>
  </si>
  <si>
    <t>000658D4</t>
  </si>
  <si>
    <t>Hadring</t>
  </si>
  <si>
    <t>00013627</t>
  </si>
  <si>
    <t>Hadvar</t>
  </si>
  <si>
    <t>0002BF9F</t>
  </si>
  <si>
    <t>Haelga</t>
  </si>
  <si>
    <t>0001335F</t>
  </si>
  <si>
    <t>Hafjorg</t>
  </si>
  <si>
    <t>00013360</t>
  </si>
  <si>
    <t>HakonOneEye</t>
  </si>
  <si>
    <t>00044238</t>
  </si>
  <si>
    <t>Hakon One-Eye</t>
  </si>
  <si>
    <t>SummonHakon;MQ206Hakon</t>
  </si>
  <si>
    <t>Hamal</t>
  </si>
  <si>
    <t>0001E765</t>
  </si>
  <si>
    <t>00013642</t>
  </si>
  <si>
    <t>Haran</t>
  </si>
  <si>
    <t>0001C184</t>
  </si>
  <si>
    <t>Harrald</t>
  </si>
  <si>
    <t>00013361</t>
  </si>
  <si>
    <t>Hathrasil</t>
  </si>
  <si>
    <t>0001339C</t>
  </si>
  <si>
    <t>Hefid</t>
  </si>
  <si>
    <t>0009400E</t>
  </si>
  <si>
    <t>Hefid the Deaf</t>
  </si>
  <si>
    <t>Heimskr</t>
  </si>
  <si>
    <t>00013BAC</t>
  </si>
  <si>
    <t>Heimvar</t>
  </si>
  <si>
    <t>00013286</t>
  </si>
  <si>
    <t>Helgird</t>
  </si>
  <si>
    <t>00014124</t>
  </si>
  <si>
    <t>HairFemaleElder01</t>
  </si>
  <si>
    <t>Helvard</t>
  </si>
  <si>
    <t>00013657</t>
  </si>
  <si>
    <t>Hemming</t>
  </si>
  <si>
    <t>00013362</t>
  </si>
  <si>
    <t>Hemming Black-Briar</t>
  </si>
  <si>
    <t>HerluinLothaire</t>
  </si>
  <si>
    <t>00029DAE</t>
  </si>
  <si>
    <t>Herluin Lothaire</t>
  </si>
  <si>
    <t>Hermir</t>
  </si>
  <si>
    <t>0001412D</t>
  </si>
  <si>
    <t>Hermir Strong-Heart</t>
  </si>
  <si>
    <t>Hern</t>
  </si>
  <si>
    <t>0001367B</t>
  </si>
  <si>
    <t>Hert</t>
  </si>
  <si>
    <t>0001367C</t>
  </si>
  <si>
    <t>Hewnon</t>
  </si>
  <si>
    <t>00095FD5</t>
  </si>
  <si>
    <t>Hewnon Black-Skeever</t>
  </si>
  <si>
    <t>HHpilgrim01</t>
  </si>
  <si>
    <t>000BC079</t>
  </si>
  <si>
    <t>HHPilgrim02</t>
  </si>
  <si>
    <t>000BC07C</t>
  </si>
  <si>
    <t>Karita</t>
  </si>
  <si>
    <t>HighElfFemalePreset01</t>
  </si>
  <si>
    <t>00079BED</t>
  </si>
  <si>
    <t>HighElfFemalePreset02</t>
  </si>
  <si>
    <t>00079BEC</t>
  </si>
  <si>
    <t>HighElfFemalePreset03</t>
  </si>
  <si>
    <t>00079BEB</t>
  </si>
  <si>
    <t>HighElfFemalePreset04</t>
  </si>
  <si>
    <t>00079BE6</t>
  </si>
  <si>
    <t>HighElfFemalePreset05</t>
  </si>
  <si>
    <t>00099D5E</t>
  </si>
  <si>
    <t>HighElfFemalePreset06</t>
  </si>
  <si>
    <t>0010AB76</t>
  </si>
  <si>
    <t>HighElfFemalePreset07</t>
  </si>
  <si>
    <t>0010AB77</t>
  </si>
  <si>
    <t>HighElfFemalePreset08</t>
  </si>
  <si>
    <t>0010AB78</t>
  </si>
  <si>
    <t>HighElfFemalePreset09</t>
  </si>
  <si>
    <t>0010AB79</t>
  </si>
  <si>
    <t>HighElfFemalePreset10</t>
  </si>
  <si>
    <t>0010AB7A</t>
  </si>
  <si>
    <t>HighElfMalePreset01</t>
  </si>
  <si>
    <t>0005EF9C</t>
  </si>
  <si>
    <t>HighElfMalePreset02</t>
  </si>
  <si>
    <t>00079C96</t>
  </si>
  <si>
    <t>HighElfMalePreset03</t>
  </si>
  <si>
    <t>00079C54</t>
  </si>
  <si>
    <t>HighElfMalePreset04</t>
  </si>
  <si>
    <t>00079BEE</t>
  </si>
  <si>
    <t>HighElfMalePreset05</t>
  </si>
  <si>
    <t>00099D5D</t>
  </si>
  <si>
    <t>HighElfMalePreset06</t>
  </si>
  <si>
    <t>0010AB7B</t>
  </si>
  <si>
    <t>HighElfMalePreset07</t>
  </si>
  <si>
    <t>0010AB7C</t>
  </si>
  <si>
    <t>HighElfMalePreset08</t>
  </si>
  <si>
    <t>0010AB7D</t>
  </si>
  <si>
    <t>HighElfMalePreset09</t>
  </si>
  <si>
    <t>0010AB7E</t>
  </si>
  <si>
    <t>HighElfMalePreset10</t>
  </si>
  <si>
    <t>0010AB7F</t>
  </si>
  <si>
    <t>Hilde</t>
  </si>
  <si>
    <t>00035533</t>
  </si>
  <si>
    <t>Hillevi</t>
  </si>
  <si>
    <t>0001411F</t>
  </si>
  <si>
    <t>Hillevi Cruel-Sea</t>
  </si>
  <si>
    <t>HirelingBelrand</t>
  </si>
  <si>
    <t>000B9981</t>
  </si>
  <si>
    <t>Belrand</t>
  </si>
  <si>
    <t>HirelingErikTheSlayer</t>
  </si>
  <si>
    <t>00065657</t>
  </si>
  <si>
    <t>Erik the Slayer</t>
  </si>
  <si>
    <t>HirelingJenassa</t>
  </si>
  <si>
    <t>000B9982</t>
  </si>
  <si>
    <t>Jenassa</t>
  </si>
  <si>
    <t>HirelingMarcurio</t>
  </si>
  <si>
    <t>000B9980</t>
  </si>
  <si>
    <t>Marcurio</t>
  </si>
  <si>
    <t>HirelingStenvar</t>
  </si>
  <si>
    <t>000B9983</t>
  </si>
  <si>
    <t>Stenvar</t>
  </si>
  <si>
    <t>HirelingVorstag</t>
  </si>
  <si>
    <t>000B997F</t>
  </si>
  <si>
    <t>Vorstag</t>
  </si>
  <si>
    <t>Hjorunn</t>
  </si>
  <si>
    <t>00013287</t>
  </si>
  <si>
    <t>Hod</t>
  </si>
  <si>
    <t>0001347D</t>
  </si>
  <si>
    <t>Hofgrir</t>
  </si>
  <si>
    <t>00013351</t>
  </si>
  <si>
    <t>Hofgrir Horse-Crusher</t>
  </si>
  <si>
    <t>HogniRedArm</t>
  </si>
  <si>
    <t>000284AC</t>
  </si>
  <si>
    <t>Hogni Red-Arm</t>
  </si>
  <si>
    <t>Horgeir</t>
  </si>
  <si>
    <t>00019A1D</t>
  </si>
  <si>
    <t>HorikHalfhand</t>
  </si>
  <si>
    <t>0001A6B9</t>
  </si>
  <si>
    <t>Horik Halfhand</t>
  </si>
  <si>
    <t>Horm</t>
  </si>
  <si>
    <t>00013288</t>
  </si>
  <si>
    <t>HousecarlMarkarth</t>
  </si>
  <si>
    <t>000A2C8C</t>
  </si>
  <si>
    <t>Argis the Bulwark</t>
  </si>
  <si>
    <t>HousecarlRiften</t>
  </si>
  <si>
    <t>000A2C91</t>
  </si>
  <si>
    <t>Iona</t>
  </si>
  <si>
    <t>HousecarlSolitude</t>
  </si>
  <si>
    <t>000A2C8F</t>
  </si>
  <si>
    <t>Jordis the Sword-Maiden</t>
  </si>
  <si>
    <t>HousecarlWhiterun</t>
  </si>
  <si>
    <t>000A2C8E</t>
  </si>
  <si>
    <t>Lydia</t>
  </si>
  <si>
    <t>HousecarlWindhelm</t>
  </si>
  <si>
    <t>000A2C90</t>
  </si>
  <si>
    <t>Calder</t>
  </si>
  <si>
    <t>Hrefna</t>
  </si>
  <si>
    <t>00013668</t>
  </si>
  <si>
    <t>Hreinn</t>
  </si>
  <si>
    <t>0001339D</t>
  </si>
  <si>
    <t>Hroar</t>
  </si>
  <si>
    <t>00013363</t>
  </si>
  <si>
    <t>Hroggar</t>
  </si>
  <si>
    <t>000135F0</t>
  </si>
  <si>
    <t>Hroki</t>
  </si>
  <si>
    <t>0001339E</t>
  </si>
  <si>
    <t>Hrongar</t>
  </si>
  <si>
    <t>00013BBC</t>
  </si>
  <si>
    <t>Huki</t>
  </si>
  <si>
    <t>00014143</t>
  </si>
  <si>
    <t>Huki Seven-Swords</t>
  </si>
  <si>
    <t>Hulda</t>
  </si>
  <si>
    <t>00013BA3</t>
  </si>
  <si>
    <t>Iddra</t>
  </si>
  <si>
    <t>00013662</t>
  </si>
  <si>
    <t>IdesaSadri</t>
  </si>
  <si>
    <t>0001411B</t>
  </si>
  <si>
    <t>Idesa Sadri</t>
  </si>
  <si>
    <t>IdgrodRavencrone</t>
  </si>
  <si>
    <t>000135EB</t>
  </si>
  <si>
    <t>Idgrod Ravencrone</t>
  </si>
  <si>
    <t>IdgrodTheYounger</t>
  </si>
  <si>
    <t>000135EC</t>
  </si>
  <si>
    <t>Idgrod the Younger</t>
  </si>
  <si>
    <t>IdolafBattleBorn</t>
  </si>
  <si>
    <t>00013BB2</t>
  </si>
  <si>
    <t>Idolaf Battle-Born</t>
  </si>
  <si>
    <t>Igmund</t>
  </si>
  <si>
    <t>0001339F</t>
  </si>
  <si>
    <t>Ildene</t>
  </si>
  <si>
    <t>000133A0</t>
  </si>
  <si>
    <t>Nana Ildene</t>
  </si>
  <si>
    <t>Illdi</t>
  </si>
  <si>
    <t>00013289</t>
  </si>
  <si>
    <t>Imedhnain</t>
  </si>
  <si>
    <t>000133A1</t>
  </si>
  <si>
    <t>ImperialFemalePreset01</t>
  </si>
  <si>
    <t>00079F66</t>
  </si>
  <si>
    <t>ImperialFemalePreset02</t>
  </si>
  <si>
    <t>00079F57</t>
  </si>
  <si>
    <t>ImperialFemalePreset03</t>
  </si>
  <si>
    <t>00079F56</t>
  </si>
  <si>
    <t>ImperialFemalePreset04</t>
  </si>
  <si>
    <t>00079F55</t>
  </si>
  <si>
    <t>ImperialFemalePreset05</t>
  </si>
  <si>
    <t>00099D4F</t>
  </si>
  <si>
    <t>ImperialFemalePreset06</t>
  </si>
  <si>
    <t>0010AB80</t>
  </si>
  <si>
    <t>ImperialFemalePreset07</t>
  </si>
  <si>
    <t>0010AB81</t>
  </si>
  <si>
    <t>ImperialFemalePreset08</t>
  </si>
  <si>
    <t>0010AB82</t>
  </si>
  <si>
    <t>ImperialFemalePreset09</t>
  </si>
  <si>
    <t>0010AB83</t>
  </si>
  <si>
    <t>ImperialFemalePreset10</t>
  </si>
  <si>
    <t>0010AB84</t>
  </si>
  <si>
    <t>ImperialMalePreset01</t>
  </si>
  <si>
    <t>00026921</t>
  </si>
  <si>
    <t>ImperialMalePreset02</t>
  </si>
  <si>
    <t>00026927</t>
  </si>
  <si>
    <t>ImperialMalePreset03</t>
  </si>
  <si>
    <t>0002694E</t>
  </si>
  <si>
    <t>ImperialMalePreset04</t>
  </si>
  <si>
    <t>00026954</t>
  </si>
  <si>
    <t>ImperialMalePreset05</t>
  </si>
  <si>
    <t>00099D21</t>
  </si>
  <si>
    <t>ImperialMalePreset06</t>
  </si>
  <si>
    <t>0010AB85</t>
  </si>
  <si>
    <t>ImperialMalePreset07</t>
  </si>
  <si>
    <t>0010AB86</t>
  </si>
  <si>
    <t>ImperialMalePreset08</t>
  </si>
  <si>
    <t>0010AB87</t>
  </si>
  <si>
    <t>ImperialMalePreset09</t>
  </si>
  <si>
    <t>0010AB88</t>
  </si>
  <si>
    <t>ImperialMalePreset10</t>
  </si>
  <si>
    <t>0010AB89</t>
  </si>
  <si>
    <t>IndaraCaerellia</t>
  </si>
  <si>
    <t>0001364F</t>
  </si>
  <si>
    <t>Indara Caerellia</t>
  </si>
  <si>
    <t>Indaryn</t>
  </si>
  <si>
    <t>00013370</t>
  </si>
  <si>
    <t>IngeSixFingers</t>
  </si>
  <si>
    <t>0001328A</t>
  </si>
  <si>
    <t>Inge Six Fingers</t>
  </si>
  <si>
    <t>Ingrid</t>
  </si>
  <si>
    <t>0001363F</t>
  </si>
  <si>
    <t>Ingun</t>
  </si>
  <si>
    <t>00013364</t>
  </si>
  <si>
    <t>Ingun Black-Briar</t>
  </si>
  <si>
    <t>InvisibleNPC</t>
  </si>
  <si>
    <t>00071E6B</t>
  </si>
  <si>
    <t>Ghost Axe</t>
  </si>
  <si>
    <t>Irgnir</t>
  </si>
  <si>
    <t>00013617</t>
  </si>
  <si>
    <t>Irileth</t>
  </si>
  <si>
    <t>00013BB8</t>
  </si>
  <si>
    <t>IrnskarIronhand</t>
  </si>
  <si>
    <t>0001328B</t>
  </si>
  <si>
    <t>Irnskar Ironhand</t>
  </si>
  <si>
    <t>IsabelleRolaine</t>
  </si>
  <si>
    <t>00039840</t>
  </si>
  <si>
    <t>Isabelle Rolaine</t>
  </si>
  <si>
    <t>Jala</t>
  </si>
  <si>
    <t>0001328C</t>
  </si>
  <si>
    <t>JareeRa</t>
  </si>
  <si>
    <t>0001328D</t>
  </si>
  <si>
    <t>Jaree-Ra</t>
  </si>
  <si>
    <t>Jawanan</t>
  </si>
  <si>
    <t>0001328E</t>
  </si>
  <si>
    <t>Jdatharr</t>
  </si>
  <si>
    <t>0004D12B</t>
  </si>
  <si>
    <t>J'datharr</t>
  </si>
  <si>
    <t>Jervar</t>
  </si>
  <si>
    <t>0001A69D</t>
  </si>
  <si>
    <t>Jesper</t>
  </si>
  <si>
    <t>00013604</t>
  </si>
  <si>
    <t>Jod</t>
  </si>
  <si>
    <t>00013618</t>
  </si>
  <si>
    <t>Jofthor</t>
  </si>
  <si>
    <t>000136BD</t>
  </si>
  <si>
    <t>000AF38A</t>
  </si>
  <si>
    <t>JonBattleBorn</t>
  </si>
  <si>
    <t>00013BB1</t>
  </si>
  <si>
    <t>Jon Battle-Born</t>
  </si>
  <si>
    <t>Jonna</t>
  </si>
  <si>
    <t>000135ED</t>
  </si>
  <si>
    <t>Jora</t>
  </si>
  <si>
    <t>00014120</t>
  </si>
  <si>
    <t>Jorgen</t>
  </si>
  <si>
    <t>000138B6</t>
  </si>
  <si>
    <t>Joric</t>
  </si>
  <si>
    <t>000135EE</t>
  </si>
  <si>
    <t>Jorleif</t>
  </si>
  <si>
    <t>00014135</t>
  </si>
  <si>
    <t>Jorn</t>
  </si>
  <si>
    <t>0001328F</t>
  </si>
  <si>
    <t>JouaneManette</t>
  </si>
  <si>
    <t>000136B3</t>
  </si>
  <si>
    <t>Jouane Manette</t>
  </si>
  <si>
    <t>JulienneLylvieve</t>
  </si>
  <si>
    <t>00026F0F</t>
  </si>
  <si>
    <t>Julienne Lylvieve</t>
  </si>
  <si>
    <t>Jzargo</t>
  </si>
  <si>
    <t>0001C195</t>
  </si>
  <si>
    <t>J'zargo</t>
  </si>
  <si>
    <t>0001361A</t>
  </si>
  <si>
    <t>Karl</t>
  </si>
  <si>
    <t>00013619</t>
  </si>
  <si>
    <t>Karliah</t>
  </si>
  <si>
    <t>0001B07F</t>
  </si>
  <si>
    <t>Katla</t>
  </si>
  <si>
    <t>00013290</t>
  </si>
  <si>
    <t>Kayd</t>
  </si>
  <si>
    <t>00013292</t>
  </si>
  <si>
    <t>Keerava</t>
  </si>
  <si>
    <t>00013365</t>
  </si>
  <si>
    <t>Kerah</t>
  </si>
  <si>
    <t>000133A2</t>
  </si>
  <si>
    <t>KhajiitFemalePreset01</t>
  </si>
  <si>
    <t>000EE856</t>
  </si>
  <si>
    <t>KhajiitFemalePreset02</t>
  </si>
  <si>
    <t>000EE85D</t>
  </si>
  <si>
    <t>KhajiitFemalePreset03</t>
  </si>
  <si>
    <t>000EE85E</t>
  </si>
  <si>
    <t>HairKhajiitFemale09</t>
  </si>
  <si>
    <t>KhajiitFemalePreset04</t>
  </si>
  <si>
    <t>000EE85F</t>
  </si>
  <si>
    <t>KhajiitFemalePreset05</t>
  </si>
  <si>
    <t>000EE860</t>
  </si>
  <si>
    <t>KhajiitFemalePreset06</t>
  </si>
  <si>
    <t>0010D3C6</t>
  </si>
  <si>
    <t>KhajiitFemalePreset07</t>
  </si>
  <si>
    <t>0010D3C7</t>
  </si>
  <si>
    <t>KhajiitFemalePreset08</t>
  </si>
  <si>
    <t>0010D3C8</t>
  </si>
  <si>
    <t>HairKhajiitFemale07</t>
  </si>
  <si>
    <t>KhajiitFemalePreset09</t>
  </si>
  <si>
    <t>0010D3C9</t>
  </si>
  <si>
    <t>KhajiitFemalePreset10</t>
  </si>
  <si>
    <t>0010D3CA</t>
  </si>
  <si>
    <t>KhajiitMalePreset01</t>
  </si>
  <si>
    <t>00043E59</t>
  </si>
  <si>
    <t>KhajiitMalePreset02</t>
  </si>
  <si>
    <t>00043E5A</t>
  </si>
  <si>
    <t>KhajiitMalePreset03</t>
  </si>
  <si>
    <t>000EE84E</t>
  </si>
  <si>
    <t>KhajiitMalePreset04</t>
  </si>
  <si>
    <t>000EE853</t>
  </si>
  <si>
    <t>KhajiitMalePreset05</t>
  </si>
  <si>
    <t>000EE854</t>
  </si>
  <si>
    <t>KhajiitMalePreset06</t>
  </si>
  <si>
    <t>0010D3CB</t>
  </si>
  <si>
    <t>KhajiitMalePreset07</t>
  </si>
  <si>
    <t>0010D3CC</t>
  </si>
  <si>
    <t>KhajiitMalePreset08</t>
  </si>
  <si>
    <t>0010D3CD</t>
  </si>
  <si>
    <t>KhajiitMalePreset09</t>
  </si>
  <si>
    <t>0010D3CE</t>
  </si>
  <si>
    <t>KhajiitMalePreset10</t>
  </si>
  <si>
    <t>0010D3CF</t>
  </si>
  <si>
    <t>KharagGroShurkul</t>
  </si>
  <si>
    <t>00013291</t>
  </si>
  <si>
    <t>Kharag gro-Shurkul</t>
  </si>
  <si>
    <t>Kharjo</t>
  </si>
  <si>
    <t>0001B1D2</t>
  </si>
  <si>
    <t>Khayla</t>
  </si>
  <si>
    <t>0001B1D9</t>
  </si>
  <si>
    <t>Kjar</t>
  </si>
  <si>
    <t>00013293</t>
  </si>
  <si>
    <t>Kjeld</t>
  </si>
  <si>
    <t>00013663</t>
  </si>
  <si>
    <t>KjeldtheYounger</t>
  </si>
  <si>
    <t>00013661</t>
  </si>
  <si>
    <t>Kjeld the Younger</t>
  </si>
  <si>
    <t>Kleppr</t>
  </si>
  <si>
    <t>000133A3</t>
  </si>
  <si>
    <t>Klimmek</t>
  </si>
  <si>
    <t>000136C2</t>
  </si>
  <si>
    <t>Knjakr</t>
  </si>
  <si>
    <t>00094000</t>
  </si>
  <si>
    <t>Knud</t>
  </si>
  <si>
    <t>00013294</t>
  </si>
  <si>
    <t>0001A68E</t>
  </si>
  <si>
    <t>Kodlak Whitemane</t>
  </si>
  <si>
    <t>C06KodlaksGhost;MQ304Kodlak;C04DeadKodlak;C06DeadKodlak</t>
  </si>
  <si>
    <t>Kodrir</t>
  </si>
  <si>
    <t>0001360D</t>
  </si>
  <si>
    <t>Korir</t>
  </si>
  <si>
    <t>0001C188</t>
  </si>
  <si>
    <t>Kraldar</t>
  </si>
  <si>
    <t>0001C180</t>
  </si>
  <si>
    <t>Kust</t>
  </si>
  <si>
    <t>0001364C</t>
  </si>
  <si>
    <t>Laila</t>
  </si>
  <si>
    <t>00013366</t>
  </si>
  <si>
    <t>Laila Law-Giver</t>
  </si>
  <si>
    <t>Lami</t>
  </si>
  <si>
    <t>000135EF</t>
  </si>
  <si>
    <t>Larak</t>
  </si>
  <si>
    <t>00019951</t>
  </si>
  <si>
    <t>Chief Larak</t>
  </si>
  <si>
    <t>LarsBattleBorn</t>
  </si>
  <si>
    <t>00013BAF</t>
  </si>
  <si>
    <t>Lars Battle-Born</t>
  </si>
  <si>
    <t>LashGraDushnikh</t>
  </si>
  <si>
    <t>00013B6E</t>
  </si>
  <si>
    <t>Lash gra-Dushnikh</t>
  </si>
  <si>
    <t>Leifur</t>
  </si>
  <si>
    <t>00013610</t>
  </si>
  <si>
    <t>LeifWayfinder</t>
  </si>
  <si>
    <t>00013296</t>
  </si>
  <si>
    <t>Captain Wayfinder</t>
  </si>
  <si>
    <t>Leigelf</t>
  </si>
  <si>
    <t>0001361B</t>
  </si>
  <si>
    <t>Lemkil</t>
  </si>
  <si>
    <t>000136B8</t>
  </si>
  <si>
    <t>LeonaraArius</t>
  </si>
  <si>
    <t>00037E04</t>
  </si>
  <si>
    <t>Leonara Arius</t>
  </si>
  <si>
    <t>LeontiusSalvius</t>
  </si>
  <si>
    <t>00013B76</t>
  </si>
  <si>
    <t>Leontius Salvius</t>
  </si>
  <si>
    <t>0001E956</t>
  </si>
  <si>
    <t>LillithMaidenLoom</t>
  </si>
  <si>
    <t>00013BC0</t>
  </si>
  <si>
    <t>Lillith Maiden-Loom</t>
  </si>
  <si>
    <t>Linwe</t>
  </si>
  <si>
    <t>0007D679</t>
  </si>
  <si>
    <t>Lisbet</t>
  </si>
  <si>
    <t>000133A5</t>
  </si>
  <si>
    <t>Lisette</t>
  </si>
  <si>
    <t>00013297</t>
  </si>
  <si>
    <t>Lob</t>
  </si>
  <si>
    <t>00019E1E</t>
  </si>
  <si>
    <t>Lod</t>
  </si>
  <si>
    <t>00013650</t>
  </si>
  <si>
    <t>Lodvar</t>
  </si>
  <si>
    <t>00019A22</t>
  </si>
  <si>
    <t>Logrolf</t>
  </si>
  <si>
    <t>000133A6</t>
  </si>
  <si>
    <t>Logrolf the Willful</t>
  </si>
  <si>
    <t>LondNorthstrider</t>
  </si>
  <si>
    <t>0001361C</t>
  </si>
  <si>
    <t>Lond</t>
  </si>
  <si>
    <t>Lortheim</t>
  </si>
  <si>
    <t>00014145</t>
  </si>
  <si>
    <t>LouisLetrush</t>
  </si>
  <si>
    <t>00013368</t>
  </si>
  <si>
    <t>Louis Letrush</t>
  </si>
  <si>
    <t>Luaffyn</t>
  </si>
  <si>
    <t>00047CAD</t>
  </si>
  <si>
    <t>LucanValerius</t>
  </si>
  <si>
    <t>0001347A</t>
  </si>
  <si>
    <t>Lucan Valerius</t>
  </si>
  <si>
    <t>Lurbuk</t>
  </si>
  <si>
    <t>0001AA63</t>
  </si>
  <si>
    <t>000D93A2</t>
  </si>
  <si>
    <t>000B1F96</t>
  </si>
  <si>
    <t>DunYsgramorsTomb_LvlGhostMelee1HMale;dunHalldirs_LvlBanditGhostMelee1H;dunHalldirs_LvlBanditGhostMelee1HAmbush</t>
  </si>
  <si>
    <t>000D93A3</t>
  </si>
  <si>
    <t>000B1F97</t>
  </si>
  <si>
    <t>LvlBanditGhostMeleeBerserkerFemale</t>
  </si>
  <si>
    <t>000D93A4</t>
  </si>
  <si>
    <t>000B1F98</t>
  </si>
  <si>
    <t>dunHalldirs_LvlBanditGhostMeleeBerserker;dunHalldirs_LvlBanditGhostMeleeBerserkerAmbush</t>
  </si>
  <si>
    <t>LvlBanditGhostMeleeTankFemale</t>
  </si>
  <si>
    <t>000D93A5</t>
  </si>
  <si>
    <t>000B1F99</t>
  </si>
  <si>
    <t>dunHalldirs_LvlBanditGhostMeleeTank;dunHalldirs_LvlBanditGhostMeleeTankAmbush</t>
  </si>
  <si>
    <t>000D93A6</t>
  </si>
  <si>
    <t>000B1F9A</t>
  </si>
  <si>
    <t>DunYsgramorsTomb_LvlGhostMissileMale;dunHalldirs_LvlBanditGhostMissile;dunHalldirs_LvlBanditGhostMissileAmbushHoldPos256;dunHalldirs_LvlBanditGhostMissileAmbush</t>
  </si>
  <si>
    <t>LvlBanditGhostWizardFemale</t>
  </si>
  <si>
    <t>000D93A7</t>
  </si>
  <si>
    <t>000B1F9B</t>
  </si>
  <si>
    <t>LvlFalkreathHoldGuardImperialVoiceTypeMaleGuard</t>
  </si>
  <si>
    <t>000EC6E7</t>
  </si>
  <si>
    <t>GuardFalkreathImperial</t>
  </si>
  <si>
    <t>000CA449</t>
  </si>
  <si>
    <t>LvlWarlockNecroAmbushDarkElfM</t>
  </si>
  <si>
    <t>000CAEF5</t>
  </si>
  <si>
    <t>000713DD</t>
  </si>
  <si>
    <t>DLC01SoulCairnSoulNecromancerFemale;DLC01SoulCairnSoulMageFemale;DLC01SoulCairnSoulMageFemale02;DLC01SoulCairnSoulMageFemale03</t>
  </si>
  <si>
    <t>000235FD</t>
  </si>
  <si>
    <t>dunSouthfringeBoss;DLC01SoulCairnSoulNecromancerMale;DLC01SoulCairnSoulMageMale;DLC01SoulCairnSoulMageMale02;DLC01SoulCairnSoulMageMale03</t>
  </si>
  <si>
    <t>Lynly</t>
  </si>
  <si>
    <t>000136BC</t>
  </si>
  <si>
    <t>Lynly Star-Sung</t>
  </si>
  <si>
    <t>Madanach</t>
  </si>
  <si>
    <t>000133A7</t>
  </si>
  <si>
    <t>Madena</t>
  </si>
  <si>
    <t>0001361D</t>
  </si>
  <si>
    <t>Madesi</t>
  </si>
  <si>
    <t>0001B072</t>
  </si>
  <si>
    <t>HairArgonianMale10</t>
  </si>
  <si>
    <t>Madran</t>
  </si>
  <si>
    <t>0001B1D1</t>
  </si>
  <si>
    <t>Ma'dran</t>
  </si>
  <si>
    <t>Mahk</t>
  </si>
  <si>
    <t>000C78BE</t>
  </si>
  <si>
    <t>MaiqTheLiar</t>
  </si>
  <si>
    <t>000954BF</t>
  </si>
  <si>
    <t>M'aiq the Liar</t>
  </si>
  <si>
    <t>Majhad</t>
  </si>
  <si>
    <t>0001B1D5</t>
  </si>
  <si>
    <t>Ma'jhad</t>
  </si>
  <si>
    <t>Malacath</t>
  </si>
  <si>
    <t>00019E16</t>
  </si>
  <si>
    <t>Malborn</t>
  </si>
  <si>
    <t>00036194</t>
  </si>
  <si>
    <t>MallusMaccius</t>
  </si>
  <si>
    <t>0002BA8E</t>
  </si>
  <si>
    <t>Mallus Maccius</t>
  </si>
  <si>
    <t>MalthyrElenil</t>
  </si>
  <si>
    <t>0001414E</t>
  </si>
  <si>
    <t>Malthyr Elenil</t>
  </si>
  <si>
    <t>MalurSeloth</t>
  </si>
  <si>
    <t>0001C182</t>
  </si>
  <si>
    <t>Malur Seloth</t>
  </si>
  <si>
    <t>Maramal</t>
  </si>
  <si>
    <t>0001335B</t>
  </si>
  <si>
    <t>Marandrujo</t>
  </si>
  <si>
    <t>0001B1D7</t>
  </si>
  <si>
    <t>Ma'randru-jo</t>
  </si>
  <si>
    <t>Marise</t>
  </si>
  <si>
    <t>00013369</t>
  </si>
  <si>
    <t>Marise Aravel</t>
  </si>
  <si>
    <t>Mathies</t>
  </si>
  <si>
    <t>0001364E</t>
  </si>
  <si>
    <t>Matlara</t>
  </si>
  <si>
    <t>00013640</t>
  </si>
  <si>
    <t>Mauhulakh</t>
  </si>
  <si>
    <t>0001B075</t>
  </si>
  <si>
    <t>Chief Mauhulakh</t>
  </si>
  <si>
    <t>Maul</t>
  </si>
  <si>
    <t>000371D6</t>
  </si>
  <si>
    <t>Maven</t>
  </si>
  <si>
    <t>0001336A</t>
  </si>
  <si>
    <t>Maven Black-Briar</t>
  </si>
  <si>
    <t>Mazaka</t>
  </si>
  <si>
    <t>00013298</t>
  </si>
  <si>
    <t>Ma'zaka</t>
  </si>
  <si>
    <t>Melaran</t>
  </si>
  <si>
    <t>00013299</t>
  </si>
  <si>
    <t>Mena</t>
  </si>
  <si>
    <t>00013B6D</t>
  </si>
  <si>
    <t>MercerFrey</t>
  </si>
  <si>
    <t>0001B07C</t>
  </si>
  <si>
    <t>Mercer Frey</t>
  </si>
  <si>
    <t>MG02Miner01</t>
  </si>
  <si>
    <t>00103532</t>
  </si>
  <si>
    <t>Saarthal Miner</t>
  </si>
  <si>
    <t>MG02Miner02</t>
  </si>
  <si>
    <t>00103533</t>
  </si>
  <si>
    <t>MG02Miner03</t>
  </si>
  <si>
    <t>00103534</t>
  </si>
  <si>
    <t>MG02Miner04</t>
  </si>
  <si>
    <t>00103535</t>
  </si>
  <si>
    <t>MG02Miner05</t>
  </si>
  <si>
    <t>00103536</t>
  </si>
  <si>
    <t>MG02Miner06</t>
  </si>
  <si>
    <t>00103537</t>
  </si>
  <si>
    <t>MG02Nerien</t>
  </si>
  <si>
    <t>000A4E85</t>
  </si>
  <si>
    <t>Nerien</t>
  </si>
  <si>
    <t>MG04Augur</t>
  </si>
  <si>
    <t>0002BCE8</t>
  </si>
  <si>
    <t>Augur of Dunlain</t>
  </si>
  <si>
    <t>MG05Messenger</t>
  </si>
  <si>
    <t>00017ED7</t>
  </si>
  <si>
    <t>Dremora Messenger</t>
  </si>
  <si>
    <t>MG07AtmahGhost</t>
  </si>
  <si>
    <t>000B8786</t>
  </si>
  <si>
    <t>Atmah</t>
  </si>
  <si>
    <t>MG07ElvaliGhost</t>
  </si>
  <si>
    <t>000B878B</t>
  </si>
  <si>
    <t>Elvali Veren</t>
  </si>
  <si>
    <t>MG07GirduinGhost</t>
  </si>
  <si>
    <t>000B878A</t>
  </si>
  <si>
    <t>Girduin</t>
  </si>
  <si>
    <t>MG07HafnarGhost</t>
  </si>
  <si>
    <t>000B8785</t>
  </si>
  <si>
    <t>Hafnar Ice-Fist</t>
  </si>
  <si>
    <t>MG07LabyrinthianThrall01</t>
  </si>
  <si>
    <t>000F737C</t>
  </si>
  <si>
    <t>Enthralled Wizard</t>
  </si>
  <si>
    <t>MG07LabyrinthianThrall02</t>
  </si>
  <si>
    <t>000F7385</t>
  </si>
  <si>
    <t>MG07TakesGhost</t>
  </si>
  <si>
    <t>000B878C</t>
  </si>
  <si>
    <t>Takes-In-Light</t>
  </si>
  <si>
    <t>HairArgonianFemale06</t>
  </si>
  <si>
    <t>MG07Thrall01</t>
  </si>
  <si>
    <t>000F4926</t>
  </si>
  <si>
    <t>MGArnielSummon</t>
  </si>
  <si>
    <t>0006A152</t>
  </si>
  <si>
    <t>Arniel's Shade</t>
  </si>
  <si>
    <t>MGRA04Courier</t>
  </si>
  <si>
    <t>0006A11A</t>
  </si>
  <si>
    <t>Courier</t>
  </si>
  <si>
    <t>MGRejoinWizard</t>
  </si>
  <si>
    <t>0005AE91</t>
  </si>
  <si>
    <t>Insane College Wizard</t>
  </si>
  <si>
    <t>MichelLylvieve</t>
  </si>
  <si>
    <t>00019A2E</t>
  </si>
  <si>
    <t>Michel Lylvieve</t>
  </si>
  <si>
    <t>MiddenVelehk</t>
  </si>
  <si>
    <t>00075C7F</t>
  </si>
  <si>
    <t>Velehk Sain</t>
  </si>
  <si>
    <t>Mikael</t>
  </si>
  <si>
    <t>0001A670</t>
  </si>
  <si>
    <t>MilaValentia</t>
  </si>
  <si>
    <t>00013BAD</t>
  </si>
  <si>
    <t>Mila Valentia</t>
  </si>
  <si>
    <t>MinetteVinius</t>
  </si>
  <si>
    <t>0001329B</t>
  </si>
  <si>
    <t>Minette Vinius</t>
  </si>
  <si>
    <t>0001C1A0</t>
  </si>
  <si>
    <t>Mirabelle Ervine</t>
  </si>
  <si>
    <t>MithorpaNasyal</t>
  </si>
  <si>
    <t>0001A6AF</t>
  </si>
  <si>
    <t>Mithorpa Nasyal</t>
  </si>
  <si>
    <t>Mjoll</t>
  </si>
  <si>
    <t>0001336B</t>
  </si>
  <si>
    <t>Mjoll the Lioness</t>
  </si>
  <si>
    <t>Mogdurz</t>
  </si>
  <si>
    <t>000C78DF</t>
  </si>
  <si>
    <t>Molgrom</t>
  </si>
  <si>
    <t>0001336C</t>
  </si>
  <si>
    <t>Molgrom Twice-Killed</t>
  </si>
  <si>
    <t>Morven</t>
  </si>
  <si>
    <t>000D6719</t>
  </si>
  <si>
    <t>MothgroBagol</t>
  </si>
  <si>
    <t>00055A5E</t>
  </si>
  <si>
    <t>Moth gro-Bagol</t>
  </si>
  <si>
    <t>MQ101CorpseMagePrisoner01</t>
  </si>
  <si>
    <t>001095E1</t>
  </si>
  <si>
    <t>Mage</t>
  </si>
  <si>
    <t>MQ101CorpseSons01</t>
  </si>
  <si>
    <t>0009B0AD</t>
  </si>
  <si>
    <t>MQ101CorpseSonsPrisoner01</t>
  </si>
  <si>
    <t>000B1693</t>
  </si>
  <si>
    <t>MQ101CorpseSonsPrisoner02</t>
  </si>
  <si>
    <t>000B79BC</t>
  </si>
  <si>
    <t>MQ101GenericCivilianNordFemale</t>
  </si>
  <si>
    <t>000D95FC</t>
  </si>
  <si>
    <t>MQ101GenericCivilianNordMale</t>
  </si>
  <si>
    <t>000D95F4</t>
  </si>
  <si>
    <t>MQ101Headsman</t>
  </si>
  <si>
    <t>000AA7D6</t>
  </si>
  <si>
    <t>Headsman</t>
  </si>
  <si>
    <t>MQ101ImperialArcherFemale</t>
  </si>
  <si>
    <t>00106B83</t>
  </si>
  <si>
    <t>MQ101ImperialSoldier01</t>
  </si>
  <si>
    <t>MQ101ImperialArcherMale</t>
  </si>
  <si>
    <t>00106B84</t>
  </si>
  <si>
    <t>MQ101ImperialPriest</t>
  </si>
  <si>
    <t>00107572</t>
  </si>
  <si>
    <t>Priestess of Arkay</t>
  </si>
  <si>
    <t>00046794</t>
  </si>
  <si>
    <t>MQ101ImperialArcherFemale;MQ101ImperialArcherMale</t>
  </si>
  <si>
    <t>MQ101ImperialSoldierCartDriver</t>
  </si>
  <si>
    <t>MQ101ImperialSoldier02</t>
  </si>
  <si>
    <t>0010A19F</t>
  </si>
  <si>
    <t>MQ101ImperialSoldier03</t>
  </si>
  <si>
    <t>0010A1A0</t>
  </si>
  <si>
    <t>MQ101ImperialSoldier04</t>
  </si>
  <si>
    <t>0010A1A1</t>
  </si>
  <si>
    <t>00047CBA</t>
  </si>
  <si>
    <t>MQ101ImperialSoldierMelee</t>
  </si>
  <si>
    <t>0006E21C</t>
  </si>
  <si>
    <t>MQ101ImperialSoldierMelee02</t>
  </si>
  <si>
    <t>0010A1AB</t>
  </si>
  <si>
    <t>MQ101ImperialSoldierOfficer</t>
  </si>
  <si>
    <t>000AAFAC</t>
  </si>
  <si>
    <t>Imperial Captain</t>
  </si>
  <si>
    <t>MQ101ImperialSoldierOfficerMale01</t>
  </si>
  <si>
    <t>0008DE5D</t>
  </si>
  <si>
    <t>MQ101ImperialSoldierOfficerMale02</t>
  </si>
  <si>
    <t>0010A1A2</t>
  </si>
  <si>
    <t>MQ101ImperialSoldierUnaggressive</t>
  </si>
  <si>
    <t>000FE510</t>
  </si>
  <si>
    <t>MQ101ImperialSoldierUnaggressive02</t>
  </si>
  <si>
    <t>0010A1AA</t>
  </si>
  <si>
    <t>MQ101Prisoner</t>
  </si>
  <si>
    <t>0004679A</t>
  </si>
  <si>
    <t>Lokir</t>
  </si>
  <si>
    <t>MQ101StormcloakArcher</t>
  </si>
  <si>
    <t>0004D366</t>
  </si>
  <si>
    <t>MQ101StormcloakArcher02</t>
  </si>
  <si>
    <t>0010A1A6</t>
  </si>
  <si>
    <t>MQ101StormcloakCageRoomPrisoner</t>
  </si>
  <si>
    <t>0005B364</t>
  </si>
  <si>
    <t>MQ101StormcloakCartFemale</t>
  </si>
  <si>
    <t>000CD6BD</t>
  </si>
  <si>
    <t>MQ101StormcloakCartMale</t>
  </si>
  <si>
    <t>000CD6BC</t>
  </si>
  <si>
    <t>MQ101StormcloakCartMale02</t>
  </si>
  <si>
    <t>001098A1</t>
  </si>
  <si>
    <t>MQ101StormcloakCartMaleBroder</t>
  </si>
  <si>
    <t>000F778F</t>
  </si>
  <si>
    <t>MQ101StormcloakPrisonerFemale</t>
  </si>
  <si>
    <t>0005B205</t>
  </si>
  <si>
    <t>MQ101StormcloakPrisonerFemaleUnaggressive</t>
  </si>
  <si>
    <t>MQ101StormcloakPrisonerFemale02</t>
  </si>
  <si>
    <t>0010A1A8</t>
  </si>
  <si>
    <t>000FE512</t>
  </si>
  <si>
    <t>000467BB</t>
  </si>
  <si>
    <t>MQ101StormcloakPrisonerMaleUnaggressive;MQ101StormcloakPrisonerMaleUnaggressive02</t>
  </si>
  <si>
    <t>MQ101StormcloakCageRoomPrisoner;dunCGStormcloakTowerA</t>
  </si>
  <si>
    <t>MQ101StormcloakPrisonerMale02</t>
  </si>
  <si>
    <t>0010A1A4</t>
  </si>
  <si>
    <t>MQ101StormcloakPrisonerMale03</t>
  </si>
  <si>
    <t>0010A1A5</t>
  </si>
  <si>
    <t>MQ101StormcloakPrisonerMaleNord</t>
  </si>
  <si>
    <t>000F830A</t>
  </si>
  <si>
    <t>MQ101StormcloakPrisonerMaleNord02</t>
  </si>
  <si>
    <t>0010A1A7</t>
  </si>
  <si>
    <t>MQ101StormcloakPrisonerMaleUnaggressive</t>
  </si>
  <si>
    <t>000FE511</t>
  </si>
  <si>
    <t>MQ101StormcloakPrisonerMaleUnaggressive02</t>
  </si>
  <si>
    <t>0010A1A3</t>
  </si>
  <si>
    <t>MQ101Torturer</t>
  </si>
  <si>
    <t>000B9652</t>
  </si>
  <si>
    <t>Torturer</t>
  </si>
  <si>
    <t>MQ101TorturerAssistant</t>
  </si>
  <si>
    <t>000B9655</t>
  </si>
  <si>
    <t>Torturer's Assistant</t>
  </si>
  <si>
    <t>000A27CC</t>
  </si>
  <si>
    <t>000A4A3B</t>
  </si>
  <si>
    <t>00101996</t>
  </si>
  <si>
    <t>00101997</t>
  </si>
  <si>
    <t>MQ105PhantomFormActor</t>
  </si>
  <si>
    <t>0002F2DC</t>
  </si>
  <si>
    <t>MQ201Bard</t>
  </si>
  <si>
    <t>000C083B</t>
  </si>
  <si>
    <t>Grete</t>
  </si>
  <si>
    <t>MQ201FakeMalborn</t>
  </si>
  <si>
    <t>00085300</t>
  </si>
  <si>
    <t>MQ201PartyCarriageDriver1</t>
  </si>
  <si>
    <t>000424AE</t>
  </si>
  <si>
    <t>Carriage Driver</t>
  </si>
  <si>
    <t>MQ201PartyCarriageDriver2</t>
  </si>
  <si>
    <t>0004252C</t>
  </si>
  <si>
    <t>MQ201PartyCarriageSolitudeDriver</t>
  </si>
  <si>
    <t>00021207</t>
  </si>
  <si>
    <t>00033F45</t>
  </si>
  <si>
    <t>MQ201PartyGuard2</t>
  </si>
  <si>
    <t>0003AF2F</t>
  </si>
  <si>
    <t>MQ201ThalmorGuardCanBeFooled</t>
  </si>
  <si>
    <t>0006B29F</t>
  </si>
  <si>
    <t>MQ201ThalmorGuardCanBeFooledArcher</t>
  </si>
  <si>
    <t>00054507</t>
  </si>
  <si>
    <t>MQ201ThalmorMageCanBeFooled</t>
  </si>
  <si>
    <t>00015F72</t>
  </si>
  <si>
    <t>MQ201ThalmorMageSolarGuard</t>
  </si>
  <si>
    <t>0006B3F2</t>
  </si>
  <si>
    <t>MQ206Felldir</t>
  </si>
  <si>
    <t>000CDA00</t>
  </si>
  <si>
    <t>MQ206Gormlaith</t>
  </si>
  <si>
    <t>000CD9F7</t>
  </si>
  <si>
    <t>MQ206Hakon</t>
  </si>
  <si>
    <t>000CDA01</t>
  </si>
  <si>
    <t>000EA57E</t>
  </si>
  <si>
    <t>000EA582</t>
  </si>
  <si>
    <t>MQ304Kodlak</t>
  </si>
  <si>
    <t>0009700E</t>
  </si>
  <si>
    <t>00091AF2</t>
  </si>
  <si>
    <t>000173C1</t>
  </si>
  <si>
    <t>00090A47</t>
  </si>
  <si>
    <t>000173C0</t>
  </si>
  <si>
    <t>000173C2</t>
  </si>
  <si>
    <t>MQ304Rikke</t>
  </si>
  <si>
    <t>000EA583</t>
  </si>
  <si>
    <t>Rikke</t>
  </si>
  <si>
    <t>MQ304Svaknir</t>
  </si>
  <si>
    <t>000EA57A</t>
  </si>
  <si>
    <t>MS05_dunDeadMensRespite_Svaknir</t>
  </si>
  <si>
    <t>MQ304Torygg</t>
  </si>
  <si>
    <t>000EA578</t>
  </si>
  <si>
    <t>High King Torygg</t>
  </si>
  <si>
    <t>MQ304Ulfric</t>
  </si>
  <si>
    <t>000EA581</t>
  </si>
  <si>
    <t>Ulfric</t>
  </si>
  <si>
    <t>MQ305Erlendr</t>
  </si>
  <si>
    <t>000EA71F</t>
  </si>
  <si>
    <t>Erlendr</t>
  </si>
  <si>
    <t>MQ305SovngardeHeroMale</t>
  </si>
  <si>
    <t>MQ305Hunroor</t>
  </si>
  <si>
    <t>000EA71D</t>
  </si>
  <si>
    <t>Hunroor</t>
  </si>
  <si>
    <t>MQ305JurgenWindcaller</t>
  </si>
  <si>
    <t>000F1A49</t>
  </si>
  <si>
    <t>Jurgen Windcaller</t>
  </si>
  <si>
    <t>MQ305Nikulas</t>
  </si>
  <si>
    <t>000EA71E</t>
  </si>
  <si>
    <t>MQ305Olaf</t>
  </si>
  <si>
    <t>000F1A4A</t>
  </si>
  <si>
    <t>Olaf One-Eye</t>
  </si>
  <si>
    <t>MQ305SovngardeBard</t>
  </si>
  <si>
    <t>00108421</t>
  </si>
  <si>
    <t>Hero of Sovngarde</t>
  </si>
  <si>
    <t>MQ305SovngardeBardDrummer</t>
  </si>
  <si>
    <t>001092D1</t>
  </si>
  <si>
    <t>MQ305SovngardeHeroFemale</t>
  </si>
  <si>
    <t>000EA720</t>
  </si>
  <si>
    <t>MQ305SovngardeHeroFemale2;MQ305SovngardeHeroFemaleMage</t>
  </si>
  <si>
    <t>MQ305SovngardeHeroFemale2</t>
  </si>
  <si>
    <t>000EDF6D</t>
  </si>
  <si>
    <t>MQ305SovngardeHeroFemale3</t>
  </si>
  <si>
    <t>00108430</t>
  </si>
  <si>
    <t>MQ305SovngardeHeroFemale4</t>
  </si>
  <si>
    <t>00108431</t>
  </si>
  <si>
    <t>MQ305SovngardeHeroFemaleMage</t>
  </si>
  <si>
    <t>000FBA5A</t>
  </si>
  <si>
    <t>00096FFB</t>
  </si>
  <si>
    <t>MQ305Ulfgar;MQ305Hunroor;MQ305Nikulas;MQ305Erlendr;MQ305SovngardeHeroMale2;MQ305JurgenWindcaller;MQ305Olaf;MQ305SovngardeHeroMaleMage;MQ305SovngardeHeroMaleMage2;MQ305SovngardeHeroMale4</t>
  </si>
  <si>
    <t>MQ305SovngardeHeroMale2</t>
  </si>
  <si>
    <t>000EDF6C</t>
  </si>
  <si>
    <t>MQ305SovngardeHeroMale3</t>
  </si>
  <si>
    <t>00108432</t>
  </si>
  <si>
    <t>MQ305SovngardeHeroMale4</t>
  </si>
  <si>
    <t>00108433</t>
  </si>
  <si>
    <t>MQ305SovngardeHeroMaleMage</t>
  </si>
  <si>
    <t>000FBA5B</t>
  </si>
  <si>
    <t>MQ305SovngardeHeroMaleMage2</t>
  </si>
  <si>
    <t>000FBA5C</t>
  </si>
  <si>
    <t>MQ305Ulfgar</t>
  </si>
  <si>
    <t>000EA71C</t>
  </si>
  <si>
    <t>Ulfgar the Unending</t>
  </si>
  <si>
    <t>MQ305Ysgramor</t>
  </si>
  <si>
    <t>00098BD1</t>
  </si>
  <si>
    <t>Ysgramor</t>
  </si>
  <si>
    <t>Mralki</t>
  </si>
  <si>
    <t>000136B6</t>
  </si>
  <si>
    <t>MS01Margret</t>
  </si>
  <si>
    <t>0009C8A8</t>
  </si>
  <si>
    <t>Margret</t>
  </si>
  <si>
    <t>MS01Weylin</t>
  </si>
  <si>
    <t>0009C8AA</t>
  </si>
  <si>
    <t>Weylin</t>
  </si>
  <si>
    <t>MS02Kaie</t>
  </si>
  <si>
    <t>00054882</t>
  </si>
  <si>
    <t>Kaie</t>
  </si>
  <si>
    <t>00016C87</t>
  </si>
  <si>
    <t>Svaknir</t>
  </si>
  <si>
    <t>MS06NecromancerCultist1</t>
  </si>
  <si>
    <t>00028502</t>
  </si>
  <si>
    <t>Necromancer</t>
  </si>
  <si>
    <t>MS06NecromancerCultist2;MS06NecromancerCultist3;MS06NecromancerCultist4</t>
  </si>
  <si>
    <t>MS06NecromancerCultist2</t>
  </si>
  <si>
    <t>00028503</t>
  </si>
  <si>
    <t>MS06NecromancerCultist3</t>
  </si>
  <si>
    <t>00096559</t>
  </si>
  <si>
    <t>MS06NecromancerCultist4</t>
  </si>
  <si>
    <t>0009655B</t>
  </si>
  <si>
    <t>MS06NecromancerLeader</t>
  </si>
  <si>
    <t>000284F2</t>
  </si>
  <si>
    <t>Ritual Master</t>
  </si>
  <si>
    <t>MS06VampireGeneralBanter</t>
  </si>
  <si>
    <t>00015711</t>
  </si>
  <si>
    <t>MS06VampireGeneral</t>
  </si>
  <si>
    <t>MS06Victim</t>
  </si>
  <si>
    <t>000284F9</t>
  </si>
  <si>
    <t>Henrik</t>
  </si>
  <si>
    <t>000DC8DA</t>
  </si>
  <si>
    <t>Blackblood Marauder</t>
  </si>
  <si>
    <t>dunBrokenOarHargar;MS07LvlBlackbloodMeleeBerserkerCommonerMAmbush</t>
  </si>
  <si>
    <t>MS07LvlBlackbloodMeleeBerserkerCommonerMAmbush</t>
  </si>
  <si>
    <t>00088F0C</t>
  </si>
  <si>
    <t>MS07LvlBlackbloodMeleeTankEvenTonedM</t>
  </si>
  <si>
    <t>000DC8DB</t>
  </si>
  <si>
    <t>MS07LvlBlackbloodMeleeTankEvenTonedMAmbush</t>
  </si>
  <si>
    <t>00088F0D</t>
  </si>
  <si>
    <t>000DC8DC</t>
  </si>
  <si>
    <t>MS07LvlBlackbloodWizardCondescendingM</t>
  </si>
  <si>
    <t>000DC8D9</t>
  </si>
  <si>
    <t>MS07LvlBlackbloodWizardNordM</t>
  </si>
  <si>
    <t>MS07LvlBlackbloodWizardCondescendingMAmbush</t>
  </si>
  <si>
    <t>00088F11</t>
  </si>
  <si>
    <t>000DC8D8</t>
  </si>
  <si>
    <t>MS08AlikrKematuGuard</t>
  </si>
  <si>
    <t>00058B3F</t>
  </si>
  <si>
    <t>MS08AlikrKematuGuard02</t>
  </si>
  <si>
    <t>0010F5A1</t>
  </si>
  <si>
    <t>MS08AlikrKematuGuard03</t>
  </si>
  <si>
    <t>0010F5AA</t>
  </si>
  <si>
    <t>MS08AlikrPrisoner</t>
  </si>
  <si>
    <t>000215F5</t>
  </si>
  <si>
    <t>Alik'r Prisoner</t>
  </si>
  <si>
    <t>MS08AlikrWarrior</t>
  </si>
  <si>
    <t>00020071</t>
  </si>
  <si>
    <t>WERJ03Alikr</t>
  </si>
  <si>
    <t>MS08AlikrWarriorWhiterun</t>
  </si>
  <si>
    <t>00055FB2</t>
  </si>
  <si>
    <t>MS08AlikrWarriorWhiterun02</t>
  </si>
  <si>
    <t>00108CF5</t>
  </si>
  <si>
    <t>MS08Kematu</t>
  </si>
  <si>
    <t>00021601</t>
  </si>
  <si>
    <t>Kematu</t>
  </si>
  <si>
    <t>MS08WhiterunGuard</t>
  </si>
  <si>
    <t>000215D5</t>
  </si>
  <si>
    <t>MS09Geirlund</t>
  </si>
  <si>
    <t>000C4409</t>
  </si>
  <si>
    <t>Geirlund</t>
  </si>
  <si>
    <t>MS09LvlGuard</t>
  </si>
  <si>
    <t>000C07C2</t>
  </si>
  <si>
    <t>Northwatch Guard</t>
  </si>
  <si>
    <t>LvlThalmorMelee1H</t>
  </si>
  <si>
    <t>MS09Vidrald</t>
  </si>
  <si>
    <t>000C440A</t>
  </si>
  <si>
    <t>Vidrald</t>
  </si>
  <si>
    <t>MS10Haldyn</t>
  </si>
  <si>
    <t>0001DC04</t>
  </si>
  <si>
    <t>Haldyn</t>
  </si>
  <si>
    <t>LvlWarlockShockBossAmbush</t>
  </si>
  <si>
    <t>MS10Pirate1</t>
  </si>
  <si>
    <t>00052268</t>
  </si>
  <si>
    <t>Alding</t>
  </si>
  <si>
    <t>MS10Pirate2</t>
  </si>
  <si>
    <t>00052267</t>
  </si>
  <si>
    <t>Irlof</t>
  </si>
  <si>
    <t>MS10Pirate3</t>
  </si>
  <si>
    <t>00052269</t>
  </si>
  <si>
    <t>Gjuk</t>
  </si>
  <si>
    <t>MS10Stig</t>
  </si>
  <si>
    <t>0001DC00</t>
  </si>
  <si>
    <t>Stig Salt-Plank</t>
  </si>
  <si>
    <t>MS11SusannaDeadA</t>
  </si>
  <si>
    <t>000D2C9D</t>
  </si>
  <si>
    <t>Susanna</t>
  </si>
  <si>
    <t>MS11SusannaDeadB</t>
  </si>
  <si>
    <t>000D5810</t>
  </si>
  <si>
    <t>MS13Arvel</t>
  </si>
  <si>
    <t>00039646</t>
  </si>
  <si>
    <t>MS14Helgi</t>
  </si>
  <si>
    <t>000274A5</t>
  </si>
  <si>
    <t>Helgi's Ghost</t>
  </si>
  <si>
    <t>MS14LaeletteVampire</t>
  </si>
  <si>
    <t>000274A0</t>
  </si>
  <si>
    <t>Laelette the Vampire</t>
  </si>
  <si>
    <t>Muiri</t>
  </si>
  <si>
    <t>0001406B</t>
  </si>
  <si>
    <t>MulGroLargash</t>
  </si>
  <si>
    <t>0001B07A</t>
  </si>
  <si>
    <t>Mul gro-Largash</t>
  </si>
  <si>
    <t>MulushGroShugurz</t>
  </si>
  <si>
    <t>000133A9</t>
  </si>
  <si>
    <t>Mulush gro-Shugurz</t>
  </si>
  <si>
    <t>Murbul</t>
  </si>
  <si>
    <t>00013B7A</t>
  </si>
  <si>
    <t>Muril</t>
  </si>
  <si>
    <t>00034D99</t>
  </si>
  <si>
    <t>Nagrub</t>
  </si>
  <si>
    <t>00013B7F</t>
  </si>
  <si>
    <t>Narfi</t>
  </si>
  <si>
    <t>000136C0</t>
  </si>
  <si>
    <t>Narri</t>
  </si>
  <si>
    <t>00013654</t>
  </si>
  <si>
    <t>Nazeem</t>
  </si>
  <si>
    <t>00013BBF</t>
  </si>
  <si>
    <t>Nazir</t>
  </si>
  <si>
    <t>0001C3AB</t>
  </si>
  <si>
    <t>NazirSancAttack</t>
  </si>
  <si>
    <t>0004DDA0</t>
  </si>
  <si>
    <t>Neetrenaza</t>
  </si>
  <si>
    <t>0001412F</t>
  </si>
  <si>
    <t>Nelacar</t>
  </si>
  <si>
    <t>0001E7D5</t>
  </si>
  <si>
    <t>Nelkir</t>
  </si>
  <si>
    <t>0001434D</t>
  </si>
  <si>
    <t>Nenya</t>
  </si>
  <si>
    <t>00013659</t>
  </si>
  <si>
    <t>Nepos</t>
  </si>
  <si>
    <t>000133AA</t>
  </si>
  <si>
    <t>Nepos the Nose</t>
  </si>
  <si>
    <t>000233D2</t>
  </si>
  <si>
    <t>Nils</t>
  </si>
  <si>
    <t>0001414B</t>
  </si>
  <si>
    <t>Nilsine</t>
  </si>
  <si>
    <t>0001412C</t>
  </si>
  <si>
    <t>Nilsine Shatter-Shield</t>
  </si>
  <si>
    <t>Niluva</t>
  </si>
  <si>
    <t>0001336E</t>
  </si>
  <si>
    <t>Niluva Hlaalu</t>
  </si>
  <si>
    <t>Nimriel</t>
  </si>
  <si>
    <t>0002C926</t>
  </si>
  <si>
    <t>Niranye</t>
  </si>
  <si>
    <t>00014123</t>
  </si>
  <si>
    <t>Niruin</t>
  </si>
  <si>
    <t>0001CD91</t>
  </si>
  <si>
    <t>Nirya</t>
  </si>
  <si>
    <t>0001C19B</t>
  </si>
  <si>
    <t>Nivenor</t>
  </si>
  <si>
    <t>0001336F</t>
  </si>
  <si>
    <t>NjadaStonearm</t>
  </si>
  <si>
    <t>0001A6D9</t>
  </si>
  <si>
    <t>Njada Stonearm</t>
  </si>
  <si>
    <t>Nocturnal</t>
  </si>
  <si>
    <t>0001A2CF</t>
  </si>
  <si>
    <t>NordFemalePreset01</t>
  </si>
  <si>
    <t>00079F68</t>
  </si>
  <si>
    <t>NordFemalePreset02</t>
  </si>
  <si>
    <t>00079F54</t>
  </si>
  <si>
    <t>NordFemalePreset03</t>
  </si>
  <si>
    <t>00079F53</t>
  </si>
  <si>
    <t>NordFemalePreset04</t>
  </si>
  <si>
    <t>00079F52</t>
  </si>
  <si>
    <t>NordFemalePreset05</t>
  </si>
  <si>
    <t>00099D4D</t>
  </si>
  <si>
    <t>NordFemalePreset06</t>
  </si>
  <si>
    <t>0010AB8A</t>
  </si>
  <si>
    <t>NordFemalePreset07</t>
  </si>
  <si>
    <t>0010AB8B</t>
  </si>
  <si>
    <t>NordFemalePreset08</t>
  </si>
  <si>
    <t>0010AB8C</t>
  </si>
  <si>
    <t>NordFemalePreset09</t>
  </si>
  <si>
    <t>0010AB8D</t>
  </si>
  <si>
    <t>NordFemalePreset10</t>
  </si>
  <si>
    <t>0010AB8E</t>
  </si>
  <si>
    <t>NordMalePreset01</t>
  </si>
  <si>
    <t>0001750C</t>
  </si>
  <si>
    <t>NordMalePreset02</t>
  </si>
  <si>
    <t>0001750D</t>
  </si>
  <si>
    <t>NordMalePreset03</t>
  </si>
  <si>
    <t>0001750E</t>
  </si>
  <si>
    <t>NordMalePreset04</t>
  </si>
  <si>
    <t>0001750F</t>
  </si>
  <si>
    <t>NordMalePreset05</t>
  </si>
  <si>
    <t>0002425F</t>
  </si>
  <si>
    <t>NordMalePreset06</t>
  </si>
  <si>
    <t>0010AB5D</t>
  </si>
  <si>
    <t>NordMalePreset07</t>
  </si>
  <si>
    <t>0010AB5E</t>
  </si>
  <si>
    <t>NordMalePreset08</t>
  </si>
  <si>
    <t>0010AB5F</t>
  </si>
  <si>
    <t>NordMalePreset09</t>
  </si>
  <si>
    <t>0010AB60</t>
  </si>
  <si>
    <t>NordMalePreset10</t>
  </si>
  <si>
    <t>0010AB61</t>
  </si>
  <si>
    <t>NosterOneEye</t>
  </si>
  <si>
    <t>0001329C</t>
  </si>
  <si>
    <t>Noster Eagle-Eye</t>
  </si>
  <si>
    <t>Nura</t>
  </si>
  <si>
    <t>00013372</t>
  </si>
  <si>
    <t>Nura Snow-Shod</t>
  </si>
  <si>
    <t>Nurelion</t>
  </si>
  <si>
    <t>00014148</t>
  </si>
  <si>
    <t>OctieveSan</t>
  </si>
  <si>
    <t>0001329D</t>
  </si>
  <si>
    <t>Octieve San</t>
  </si>
  <si>
    <t>Odar</t>
  </si>
  <si>
    <t>0001329E</t>
  </si>
  <si>
    <t>Odfel</t>
  </si>
  <si>
    <t>000136C4</t>
  </si>
  <si>
    <t>Odvan</t>
  </si>
  <si>
    <t>000133AC</t>
  </si>
  <si>
    <t>Oengul</t>
  </si>
  <si>
    <t>00014142</t>
  </si>
  <si>
    <t>Oengul War-Anvil</t>
  </si>
  <si>
    <t>Oglub</t>
  </si>
  <si>
    <t>00013B80</t>
  </si>
  <si>
    <t>Ogmund</t>
  </si>
  <si>
    <t>000133AD</t>
  </si>
  <si>
    <t>Ogol</t>
  </si>
  <si>
    <t>00019E22</t>
  </si>
  <si>
    <t>OlavatheFeeble</t>
  </si>
  <si>
    <t>00013BAE</t>
  </si>
  <si>
    <t>Olava the Feeble</t>
  </si>
  <si>
    <t>Olda</t>
  </si>
  <si>
    <t>00019A20</t>
  </si>
  <si>
    <t>OlfinaGrayMane</t>
  </si>
  <si>
    <t>00013B9B</t>
  </si>
  <si>
    <t>Olfina Gray-Mane</t>
  </si>
  <si>
    <t>OlfridBattleBorn</t>
  </si>
  <si>
    <t>00013BB4</t>
  </si>
  <si>
    <t>Olfrid Battle-Born</t>
  </si>
  <si>
    <t>Olur</t>
  </si>
  <si>
    <t>0001995B</t>
  </si>
  <si>
    <t>Omluag</t>
  </si>
  <si>
    <t>000133AE</t>
  </si>
  <si>
    <t>Ondolemar</t>
  </si>
  <si>
    <t>000133AF</t>
  </si>
  <si>
    <t>Onmund</t>
  </si>
  <si>
    <t>0001C194</t>
  </si>
  <si>
    <t>OrcFemalePreset01</t>
  </si>
  <si>
    <t>00079F4E</t>
  </si>
  <si>
    <t>OrcFemalePreset02</t>
  </si>
  <si>
    <t>00079F25</t>
  </si>
  <si>
    <t>OrcFemalePreset03</t>
  </si>
  <si>
    <t>00079EE8</t>
  </si>
  <si>
    <t>OrcFemalePreset04</t>
  </si>
  <si>
    <t>00079EE6</t>
  </si>
  <si>
    <t>OrcFemalePreset05</t>
  </si>
  <si>
    <t>00099D5F</t>
  </si>
  <si>
    <t>OrcFemalePreset06</t>
  </si>
  <si>
    <t>0010AB8F</t>
  </si>
  <si>
    <t>OrcFemalePreset07</t>
  </si>
  <si>
    <t>0010AB90</t>
  </si>
  <si>
    <t>HairFemaleOrc01</t>
  </si>
  <si>
    <t>OrcFemalePreset08</t>
  </si>
  <si>
    <t>0010AB91</t>
  </si>
  <si>
    <t>OrcFemalePreset09</t>
  </si>
  <si>
    <t>0010AB92</t>
  </si>
  <si>
    <t>OrcFemalePreset10</t>
  </si>
  <si>
    <t>0010AB93</t>
  </si>
  <si>
    <t>OrcMalePreset01</t>
  </si>
  <si>
    <t>00079F69</t>
  </si>
  <si>
    <t>OrcMalePreset02</t>
  </si>
  <si>
    <t>00079F51</t>
  </si>
  <si>
    <t>OrcMalePreset03</t>
  </si>
  <si>
    <t>00079F50</t>
  </si>
  <si>
    <t>OrcMalePreset04</t>
  </si>
  <si>
    <t>00079F4F</t>
  </si>
  <si>
    <t>OrcMalePreset05</t>
  </si>
  <si>
    <t>00099D4C</t>
  </si>
  <si>
    <t>OrcMalePreset06</t>
  </si>
  <si>
    <t>0010AB94</t>
  </si>
  <si>
    <t>OrcMalePreset07</t>
  </si>
  <si>
    <t>0010AB95</t>
  </si>
  <si>
    <t>OrcMalePreset08</t>
  </si>
  <si>
    <t>0010AB96</t>
  </si>
  <si>
    <t>OrcMalePreset09</t>
  </si>
  <si>
    <t>0010AB97</t>
  </si>
  <si>
    <t>OrcMalePreset10</t>
  </si>
  <si>
    <t>0010AB98</t>
  </si>
  <si>
    <t>Orgnar</t>
  </si>
  <si>
    <t>00013479</t>
  </si>
  <si>
    <t>OriniDral</t>
  </si>
  <si>
    <t>00085D44</t>
  </si>
  <si>
    <t>Orini Dral</t>
  </si>
  <si>
    <t>Orla</t>
  </si>
  <si>
    <t>000133B0</t>
  </si>
  <si>
    <t>Orthorn</t>
  </si>
  <si>
    <t>0002A388</t>
  </si>
  <si>
    <t>OrthusEndario</t>
  </si>
  <si>
    <t>0001413B</t>
  </si>
  <si>
    <t>Orthus Endario</t>
  </si>
  <si>
    <t>Pactur</t>
  </si>
  <si>
    <t>00013605</t>
  </si>
  <si>
    <t>PanteaAteia</t>
  </si>
  <si>
    <t>0001329F</t>
  </si>
  <si>
    <t>Pantea Ateia</t>
  </si>
  <si>
    <t>ParatusDecimius</t>
  </si>
  <si>
    <t>00034CBA</t>
  </si>
  <si>
    <t>Paratus Decimius</t>
  </si>
  <si>
    <t>PavoAttius</t>
  </si>
  <si>
    <t>000133B1</t>
  </si>
  <si>
    <t>Pavo Attius</t>
  </si>
  <si>
    <t>Perth</t>
  </si>
  <si>
    <t>0001996C</t>
  </si>
  <si>
    <t>PhinisGestor</t>
  </si>
  <si>
    <t>0001C199</t>
  </si>
  <si>
    <t>Phinis Gestor</t>
  </si>
  <si>
    <t>pinewoodGroveLumberjack</t>
  </si>
  <si>
    <t>0002236C</t>
  </si>
  <si>
    <t>Player</t>
  </si>
  <si>
    <t>00000007</t>
  </si>
  <si>
    <t>PlayerHouseMannequin</t>
  </si>
  <si>
    <t>00089A85</t>
  </si>
  <si>
    <t>PlayerHouseMannequinCOPY0000</t>
  </si>
  <si>
    <t>03008B32</t>
  </si>
  <si>
    <t>PlayerInventory</t>
  </si>
  <si>
    <t>000361F3</t>
  </si>
  <si>
    <t>POIMageBorvir</t>
  </si>
  <si>
    <t>00013BC2</t>
  </si>
  <si>
    <t>Borvir</t>
  </si>
  <si>
    <t>POIMageIlasTei</t>
  </si>
  <si>
    <t>000D5046</t>
  </si>
  <si>
    <t>Ilas-Tei</t>
  </si>
  <si>
    <t>POIMageRundi</t>
  </si>
  <si>
    <t>00013BC1</t>
  </si>
  <si>
    <t>Rundi</t>
  </si>
  <si>
    <t>POIMageYisra</t>
  </si>
  <si>
    <t>000D4FF9</t>
  </si>
  <si>
    <t>Yisra</t>
  </si>
  <si>
    <t>000D86C5</t>
  </si>
  <si>
    <t>POIVolcanicHunterNordM</t>
  </si>
  <si>
    <t>000D86C6</t>
  </si>
  <si>
    <t>000D86C7</t>
  </si>
  <si>
    <t>ProventusAvenicci</t>
  </si>
  <si>
    <t>00013BBA</t>
  </si>
  <si>
    <t>Proventus Avenicci</t>
  </si>
  <si>
    <t>Quaranir</t>
  </si>
  <si>
    <t>0002BA3C</t>
  </si>
  <si>
    <t>QuintusNavale</t>
  </si>
  <si>
    <t>0001414C</t>
  </si>
  <si>
    <t>Quintus Navale</t>
  </si>
  <si>
    <t>Raerek</t>
  </si>
  <si>
    <t>000133B2</t>
  </si>
  <si>
    <t>Ragnar</t>
  </si>
  <si>
    <t>00013B6A</t>
  </si>
  <si>
    <t>Rahd</t>
  </si>
  <si>
    <t>000AC278</t>
  </si>
  <si>
    <t>Ralof</t>
  </si>
  <si>
    <t>0002BF9D</t>
  </si>
  <si>
    <t>Ranmir</t>
  </si>
  <si>
    <t>0001C186</t>
  </si>
  <si>
    <t>RavamVerethi</t>
  </si>
  <si>
    <t>0001413D</t>
  </si>
  <si>
    <t>Ravam Verethi</t>
  </si>
  <si>
    <t>RavynImyan</t>
  </si>
  <si>
    <t>000B03A4</t>
  </si>
  <si>
    <t>Ravyn Imyan</t>
  </si>
  <si>
    <t>Razelan</t>
  </si>
  <si>
    <t>000368C8</t>
  </si>
  <si>
    <t>Razhinda</t>
  </si>
  <si>
    <t>0001B1D3</t>
  </si>
  <si>
    <t>Ra'zhinda</t>
  </si>
  <si>
    <t>Reburrus</t>
  </si>
  <si>
    <t>000133B3</t>
  </si>
  <si>
    <t>Reburrus Quintilius</t>
  </si>
  <si>
    <t>RedguardFemalePreset01</t>
  </si>
  <si>
    <t>00079F67</t>
  </si>
  <si>
    <t>RedguardFemalePreset02</t>
  </si>
  <si>
    <t>00079EE1</t>
  </si>
  <si>
    <t>RedguardFemalePreset03</t>
  </si>
  <si>
    <t>00079E2F</t>
  </si>
  <si>
    <t>RedguardFemalePreset04</t>
  </si>
  <si>
    <t>00079E2C</t>
  </si>
  <si>
    <t>RedguardFemalePreset05</t>
  </si>
  <si>
    <t>00099D4E</t>
  </si>
  <si>
    <t>RedguardFemalePreset06</t>
  </si>
  <si>
    <t>0010AB99</t>
  </si>
  <si>
    <t>RedguardFemalePreset07</t>
  </si>
  <si>
    <t>0010AB9A</t>
  </si>
  <si>
    <t>RedguardFemalePreset08</t>
  </si>
  <si>
    <t>0010AB9B</t>
  </si>
  <si>
    <t>RedguardFemalePreset09</t>
  </si>
  <si>
    <t>0010AB9C</t>
  </si>
  <si>
    <t>RedguardFemalePreset10</t>
  </si>
  <si>
    <t>0010AB9D</t>
  </si>
  <si>
    <t>RedguardMalePreset01</t>
  </si>
  <si>
    <t>0005B4F8</t>
  </si>
  <si>
    <t>RedguardMalePreset02</t>
  </si>
  <si>
    <t>00026904</t>
  </si>
  <si>
    <t>RedguardMalePreset03</t>
  </si>
  <si>
    <t>000268FC</t>
  </si>
  <si>
    <t>RedguardMalePreset04</t>
  </si>
  <si>
    <t>00026915</t>
  </si>
  <si>
    <t>RedguardMalePreset05</t>
  </si>
  <si>
    <t>00024261</t>
  </si>
  <si>
    <t>RedguardMalePreset06</t>
  </si>
  <si>
    <t>0010AB9E</t>
  </si>
  <si>
    <t>RedguardMalePreset07</t>
  </si>
  <si>
    <t>0010AB9F</t>
  </si>
  <si>
    <t>RedguardMalePreset08</t>
  </si>
  <si>
    <t>0010ABA0</t>
  </si>
  <si>
    <t>RedguardMalePreset09</t>
  </si>
  <si>
    <t>0010ABA1</t>
  </si>
  <si>
    <t>RedguardMalePreset10</t>
  </si>
  <si>
    <t>0010ABA2</t>
  </si>
  <si>
    <t>Reldith</t>
  </si>
  <si>
    <t>000136B4</t>
  </si>
  <si>
    <t>RevynSadri</t>
  </si>
  <si>
    <t>0001413A</t>
  </si>
  <si>
    <t>Revyn Sadri</t>
  </si>
  <si>
    <t>Rexus</t>
  </si>
  <si>
    <t>0005BF2B</t>
  </si>
  <si>
    <t>Rhiada</t>
  </si>
  <si>
    <t>000133B4</t>
  </si>
  <si>
    <t>Rhorlak</t>
  </si>
  <si>
    <t>000799E4</t>
  </si>
  <si>
    <t>Ria</t>
  </si>
  <si>
    <t>0001A6D7</t>
  </si>
  <si>
    <t>000132A1</t>
  </si>
  <si>
    <t>Risaad</t>
  </si>
  <si>
    <t>0001B1DB</t>
  </si>
  <si>
    <t>Ri'saad</t>
  </si>
  <si>
    <t>HairKhajiitMale08</t>
  </si>
  <si>
    <t>Rogatus</t>
  </si>
  <si>
    <t>000133B5</t>
  </si>
  <si>
    <t>Rogatus Salvius</t>
  </si>
  <si>
    <t>Roggi</t>
  </si>
  <si>
    <t>0001403F</t>
  </si>
  <si>
    <t>Roggi Knot-Beard</t>
  </si>
  <si>
    <t>Roggvir</t>
  </si>
  <si>
    <t>000A3BDB</t>
  </si>
  <si>
    <t>Rolff</t>
  </si>
  <si>
    <t>0003EFE9</t>
  </si>
  <si>
    <t>Rolff Stone-Fist</t>
  </si>
  <si>
    <t>Romlyn</t>
  </si>
  <si>
    <t>00013377</t>
  </si>
  <si>
    <t>Romlyn Dreth</t>
  </si>
  <si>
    <t>Rondach</t>
  </si>
  <si>
    <t>000133B6</t>
  </si>
  <si>
    <t>Rorik</t>
  </si>
  <si>
    <t>000136B2</t>
  </si>
  <si>
    <t>Rorlund</t>
  </si>
  <si>
    <t>000132A2</t>
  </si>
  <si>
    <t>Rulindil</t>
  </si>
  <si>
    <t>00039F1F</t>
  </si>
  <si>
    <t>Runa</t>
  </si>
  <si>
    <t>00013378</t>
  </si>
  <si>
    <t>Runa Fair-Shield</t>
  </si>
  <si>
    <t>Rune</t>
  </si>
  <si>
    <t>000D4FDE</t>
  </si>
  <si>
    <t>Runil</t>
  </si>
  <si>
    <t>0001364D</t>
  </si>
  <si>
    <t>Rustleif</t>
  </si>
  <si>
    <t>0001361E</t>
  </si>
  <si>
    <t>Saadia</t>
  </si>
  <si>
    <t>00013BA2</t>
  </si>
  <si>
    <t>SabineNytte</t>
  </si>
  <si>
    <t>000132A3</t>
  </si>
  <si>
    <t>Sabine Nytte</t>
  </si>
  <si>
    <t>Sabjorn</t>
  </si>
  <si>
    <t>0002BA8C</t>
  </si>
  <si>
    <t>Saerlund</t>
  </si>
  <si>
    <t>00013379</t>
  </si>
  <si>
    <t>Saffir</t>
  </si>
  <si>
    <t>00013B98</t>
  </si>
  <si>
    <t>Safia</t>
  </si>
  <si>
    <t>00013267</t>
  </si>
  <si>
    <t>SailorDorian</t>
  </si>
  <si>
    <t>000AF524</t>
  </si>
  <si>
    <t>Dorian</t>
  </si>
  <si>
    <t>SailorEris</t>
  </si>
  <si>
    <t>000AF522</t>
  </si>
  <si>
    <t>Eris</t>
  </si>
  <si>
    <t>SailorXander</t>
  </si>
  <si>
    <t>000AF523</t>
  </si>
  <si>
    <t>Xander</t>
  </si>
  <si>
    <t>Salvianus</t>
  </si>
  <si>
    <t>00094012</t>
  </si>
  <si>
    <t>Samuel</t>
  </si>
  <si>
    <t>0001337A</t>
  </si>
  <si>
    <t>Sapphire</t>
  </si>
  <si>
    <t>000C19A3</t>
  </si>
  <si>
    <t>SarthisIdren</t>
  </si>
  <si>
    <t>00085D41</t>
  </si>
  <si>
    <t>Sarthis Idren</t>
  </si>
  <si>
    <t>SavosAren</t>
  </si>
  <si>
    <t>0001C19F</t>
  </si>
  <si>
    <t>Savos Aren</t>
  </si>
  <si>
    <t>SavosArenGhost</t>
  </si>
  <si>
    <t>000D07DB</t>
  </si>
  <si>
    <t>Sayma</t>
  </si>
  <si>
    <t>0001329A</t>
  </si>
  <si>
    <t>ScoutsManyMarshes</t>
  </si>
  <si>
    <t>0001412E</t>
  </si>
  <si>
    <t>Scouts-Many-Marshes</t>
  </si>
  <si>
    <t>Senna</t>
  </si>
  <si>
    <t>000133B7</t>
  </si>
  <si>
    <t>Seren</t>
  </si>
  <si>
    <t>0001361F</t>
  </si>
  <si>
    <t>SergiusTurrianus</t>
  </si>
  <si>
    <t>0001C23E</t>
  </si>
  <si>
    <t>Sergius Turrianus</t>
  </si>
  <si>
    <t>SeverioPelagia</t>
  </si>
  <si>
    <t>0002C925</t>
  </si>
  <si>
    <t>Severio Pelagia</t>
  </si>
  <si>
    <t>Shadr</t>
  </si>
  <si>
    <t>00013371</t>
  </si>
  <si>
    <t>Shahvee</t>
  </si>
  <si>
    <t>0001411A</t>
  </si>
  <si>
    <t>Sharamph</t>
  </si>
  <si>
    <t>00019953</t>
  </si>
  <si>
    <t>Shavari</t>
  </si>
  <si>
    <t>0006C868</t>
  </si>
  <si>
    <t>Shel</t>
  </si>
  <si>
    <t>00013B7D</t>
  </si>
  <si>
    <t>Shuftharz</t>
  </si>
  <si>
    <t>00019957</t>
  </si>
  <si>
    <t>Sibbi</t>
  </si>
  <si>
    <t>0001337B</t>
  </si>
  <si>
    <t>Sibbi Black-Briar</t>
  </si>
  <si>
    <t>Siddgeir</t>
  </si>
  <si>
    <t>00013653</t>
  </si>
  <si>
    <t>Sifnar</t>
  </si>
  <si>
    <t>00029D96</t>
  </si>
  <si>
    <t>Sifnar Ironkettle</t>
  </si>
  <si>
    <t>Sigrid</t>
  </si>
  <si>
    <t>00013476</t>
  </si>
  <si>
    <t>Sigurd</t>
  </si>
  <si>
    <t>000CDD72</t>
  </si>
  <si>
    <t>SilanaPetreia</t>
  </si>
  <si>
    <t>000132A5</t>
  </si>
  <si>
    <t>Silana Petreia</t>
  </si>
  <si>
    <t>Silda</t>
  </si>
  <si>
    <t>00014121</t>
  </si>
  <si>
    <t>Silda the Unseen</t>
  </si>
  <si>
    <t>SilusVesuius</t>
  </si>
  <si>
    <t>000240CC</t>
  </si>
  <si>
    <t>Silus Vesuius</t>
  </si>
  <si>
    <t>Sinmir</t>
  </si>
  <si>
    <t>000813B5</t>
  </si>
  <si>
    <t>Sirgar</t>
  </si>
  <si>
    <t>00013607</t>
  </si>
  <si>
    <t>Sissel</t>
  </si>
  <si>
    <t>000136BA</t>
  </si>
  <si>
    <t>Skaggi</t>
  </si>
  <si>
    <t>000133B8</t>
  </si>
  <si>
    <t>Skaggi Scar-Face</t>
  </si>
  <si>
    <t>SkaldtheElder</t>
  </si>
  <si>
    <t>00013620</t>
  </si>
  <si>
    <t>Skald</t>
  </si>
  <si>
    <t>Skjor</t>
  </si>
  <si>
    <t>0001A690</t>
  </si>
  <si>
    <t>Skuli</t>
  </si>
  <si>
    <t>00013B78</t>
  </si>
  <si>
    <t>SkulvarSableHilt</t>
  </si>
  <si>
    <t>00013BB7</t>
  </si>
  <si>
    <t>Skulvar Sable-Hilt</t>
  </si>
  <si>
    <t>Snilf</t>
  </si>
  <si>
    <t>0001B071</t>
  </si>
  <si>
    <t>Snilling</t>
  </si>
  <si>
    <t>000132A6</t>
  </si>
  <si>
    <t>Snorreid</t>
  </si>
  <si>
    <t>0007E5EC</t>
  </si>
  <si>
    <t>Solaf</t>
  </si>
  <si>
    <t>00013652</t>
  </si>
  <si>
    <t>SondasDrenim</t>
  </si>
  <si>
    <t>0001366B</t>
  </si>
  <si>
    <t>Sondas Drenim</t>
  </si>
  <si>
    <t>SorexVinius</t>
  </si>
  <si>
    <t>000132A7</t>
  </si>
  <si>
    <t>Sorex Vinius</t>
  </si>
  <si>
    <t>Sorli</t>
  </si>
  <si>
    <t>00013606</t>
  </si>
  <si>
    <t>Sorli the Builder</t>
  </si>
  <si>
    <t>Sosia</t>
  </si>
  <si>
    <t>000133B9</t>
  </si>
  <si>
    <t>Sosia Tremellia</t>
  </si>
  <si>
    <t>StandsInShallows</t>
  </si>
  <si>
    <t>00014130</t>
  </si>
  <si>
    <t>Stands-In-Shallows</t>
  </si>
  <si>
    <t>Steirod</t>
  </si>
  <si>
    <t>00019A19</t>
  </si>
  <si>
    <t>Styrr</t>
  </si>
  <si>
    <t>000132A8</t>
  </si>
  <si>
    <t>Sulvar</t>
  </si>
  <si>
    <t>00014147</t>
  </si>
  <si>
    <t>Sulvar the Steady</t>
  </si>
  <si>
    <t>0010DDEE</t>
  </si>
  <si>
    <t>Dremora Lord</t>
  </si>
  <si>
    <t>SummonFelldir</t>
  </si>
  <si>
    <t>000923F9</t>
  </si>
  <si>
    <t>SummonGormlaith</t>
  </si>
  <si>
    <t>000923FA</t>
  </si>
  <si>
    <t>SummonHakon</t>
  </si>
  <si>
    <t>000923FB</t>
  </si>
  <si>
    <t>SummonPhantom</t>
  </si>
  <si>
    <t>00072310</t>
  </si>
  <si>
    <t>Phantom</t>
  </si>
  <si>
    <t>0001412B</t>
  </si>
  <si>
    <t>Susanna the Wicked</t>
  </si>
  <si>
    <t>MS11SusannaDeadA;MS11SusannaDeadB</t>
  </si>
  <si>
    <t>SuvarisAtheron</t>
  </si>
  <si>
    <t>00014122</t>
  </si>
  <si>
    <t>Suvaris Atheron</t>
  </si>
  <si>
    <t>Svana</t>
  </si>
  <si>
    <t>0001337C</t>
  </si>
  <si>
    <t>Svana Far-Shield</t>
  </si>
  <si>
    <t>Svari</t>
  </si>
  <si>
    <t>000132A9</t>
  </si>
  <si>
    <t>Sven</t>
  </si>
  <si>
    <t>0001347F</t>
  </si>
  <si>
    <t>Swanhvir</t>
  </si>
  <si>
    <t>00013608</t>
  </si>
  <si>
    <t>SybilleStentor</t>
  </si>
  <si>
    <t>000132AA</t>
  </si>
  <si>
    <t>Sybille Stentor</t>
  </si>
  <si>
    <t>Sylgja</t>
  </si>
  <si>
    <t>000C3A3F</t>
  </si>
  <si>
    <t>SyndaLlanith</t>
  </si>
  <si>
    <t>000BB2C0</t>
  </si>
  <si>
    <t>Synda Llanith</t>
  </si>
  <si>
    <t>Syndus</t>
  </si>
  <si>
    <t>00029DAA</t>
  </si>
  <si>
    <t>T02Fenrig</t>
  </si>
  <si>
    <t>00038287</t>
  </si>
  <si>
    <t>Fenrig</t>
  </si>
  <si>
    <t>T02Ruki</t>
  </si>
  <si>
    <t>00038289</t>
  </si>
  <si>
    <t>Ruki</t>
  </si>
  <si>
    <t>T03Maurice</t>
  </si>
  <si>
    <t>0001C605</t>
  </si>
  <si>
    <t>Maurice Jondrelle</t>
  </si>
  <si>
    <t>Taarie</t>
  </si>
  <si>
    <t>000132AB</t>
  </si>
  <si>
    <t>TacitusSallustius</t>
  </si>
  <si>
    <t>0001402D</t>
  </si>
  <si>
    <t>Tacitus Sallustius</t>
  </si>
  <si>
    <t>TalenJei</t>
  </si>
  <si>
    <t>00013373</t>
  </si>
  <si>
    <t>Talen-Jei</t>
  </si>
  <si>
    <t>Talib</t>
  </si>
  <si>
    <t>00013609</t>
  </si>
  <si>
    <t>TalsgarTheWanderer</t>
  </si>
  <si>
    <t>00083D99</t>
  </si>
  <si>
    <t>Talsgar the Wanderer</t>
  </si>
  <si>
    <t>Tandil</t>
  </si>
  <si>
    <t>00039250</t>
  </si>
  <si>
    <t>TasiusTragus</t>
  </si>
  <si>
    <t>00019A24</t>
  </si>
  <si>
    <t>Tasius Tragus</t>
  </si>
  <si>
    <t>TeebaEi</t>
  </si>
  <si>
    <t>0001360A</t>
  </si>
  <si>
    <t>Teeba-Ei</t>
  </si>
  <si>
    <t>Tekla</t>
  </si>
  <si>
    <t>00013656</t>
  </si>
  <si>
    <t>TembaWideArm</t>
  </si>
  <si>
    <t>000658D2</t>
  </si>
  <si>
    <t>Temba Wide-Arm</t>
  </si>
  <si>
    <t>Terek</t>
  </si>
  <si>
    <t>0001A673</t>
  </si>
  <si>
    <t>TestCarryBasket</t>
  </si>
  <si>
    <t>000196B8</t>
  </si>
  <si>
    <t>TestCarryFirewood</t>
  </si>
  <si>
    <t>000BECD2</t>
  </si>
  <si>
    <t>TestFurnitureUseIdleLinkedRefNPC</t>
  </si>
  <si>
    <t>0002E11F</t>
  </si>
  <si>
    <t>TestMasterPackageKid</t>
  </si>
  <si>
    <t>02003FF7</t>
  </si>
  <si>
    <t>TestKid</t>
  </si>
  <si>
    <t>TestReadingDude</t>
  </si>
  <si>
    <t>000591A1</t>
  </si>
  <si>
    <t>TestWarehouseTrapsReset</t>
  </si>
  <si>
    <t>000E9DAB</t>
  </si>
  <si>
    <t>Warehouse Traps Reset Test Guy</t>
  </si>
  <si>
    <t>TestWritingDude</t>
  </si>
  <si>
    <t>00105593</t>
  </si>
  <si>
    <t>TG02EncMercenaryTemplate</t>
  </si>
  <si>
    <t>0007EB38</t>
  </si>
  <si>
    <t>TG02Mercenary02;TG02Mercenary02Reinforcement;TG02Mercenary02BeeHiveMerc;TG02Mercenary02CarryWood;TG02MercenaryGuard02</t>
  </si>
  <si>
    <t>TG02Mercenary01;TG02Mercenary01Reinforcement;TG02Mercenary01BeeHiveMerc;TG02MercenaryGuard01;TG02Mercenary01ChoppingWood;TG02GoldenglowGateGuard;TG02MercenaryGateGuard01;TG02MercenaryBasement01</t>
  </si>
  <si>
    <t>TG02GoldenglowGateGuard</t>
  </si>
  <si>
    <t>000B6313</t>
  </si>
  <si>
    <t>TG02Mercenary01</t>
  </si>
  <si>
    <t>0007EB39</t>
  </si>
  <si>
    <t>TG02MercenaryBasement01</t>
  </si>
  <si>
    <t>TG02Mercenary01BeeHiveMerc</t>
  </si>
  <si>
    <t>000A7C8B</t>
  </si>
  <si>
    <t>TG02Mercenary01ChoppingWood</t>
  </si>
  <si>
    <t>000B5545</t>
  </si>
  <si>
    <t>TG02Mercenary01Reinforcement</t>
  </si>
  <si>
    <t>000A4687</t>
  </si>
  <si>
    <t>TG02Mercenary02</t>
  </si>
  <si>
    <t>0007EB3A</t>
  </si>
  <si>
    <t>TG02MercenaryBasement02</t>
  </si>
  <si>
    <t>TG02Mercenary02BeeHiveMerc</t>
  </si>
  <si>
    <t>000A7C8C</t>
  </si>
  <si>
    <t>TG02Mercenary02CarryWood</t>
  </si>
  <si>
    <t>000A7CE3</t>
  </si>
  <si>
    <t>TG02Mercenary02Reinforcement</t>
  </si>
  <si>
    <t>000A4A03</t>
  </si>
  <si>
    <t>00061AEF</t>
  </si>
  <si>
    <t>00061AF9</t>
  </si>
  <si>
    <t>TG02MercenaryGateGuard01</t>
  </si>
  <si>
    <t>000B643A</t>
  </si>
  <si>
    <t>TG02MercenaryGuard01</t>
  </si>
  <si>
    <t>000B552D</t>
  </si>
  <si>
    <t>TG02MercenaryGuard02</t>
  </si>
  <si>
    <t>000B552E</t>
  </si>
  <si>
    <t>TG04EastEmpireSolitudeImperialPosted</t>
  </si>
  <si>
    <t>001007FA</t>
  </si>
  <si>
    <t>TG04EastEmpireSolitudeSonsPosted</t>
  </si>
  <si>
    <t>001007FB</t>
  </si>
  <si>
    <t>TG04EECDockmaster</t>
  </si>
  <si>
    <t>000132A0</t>
  </si>
  <si>
    <t>East Empire Dockmaster</t>
  </si>
  <si>
    <t>TG04EECDockworker01</t>
  </si>
  <si>
    <t>0007E5EB</t>
  </si>
  <si>
    <t>East Empire Dockworker</t>
  </si>
  <si>
    <t>TG04EECDockworker02</t>
  </si>
  <si>
    <t>0007E5EA</t>
  </si>
  <si>
    <t>TG07Hrolmir</t>
  </si>
  <si>
    <t>000F84A2</t>
  </si>
  <si>
    <t>Hrolmir</t>
  </si>
  <si>
    <t>TG07Reves</t>
  </si>
  <si>
    <t>000F84A4</t>
  </si>
  <si>
    <t>Reves</t>
  </si>
  <si>
    <t>TG07Skeggr</t>
  </si>
  <si>
    <t>000F84A3</t>
  </si>
  <si>
    <t>Skeggr</t>
  </si>
  <si>
    <t>TG08BTreasCorpseThiefNordMaleOld</t>
  </si>
  <si>
    <t>001093A5</t>
  </si>
  <si>
    <t>TGCrownGhost01</t>
  </si>
  <si>
    <t>00084D13</t>
  </si>
  <si>
    <t>TGCrownGhostBase</t>
  </si>
  <si>
    <t>TGCrownGhost02</t>
  </si>
  <si>
    <t>00084D16</t>
  </si>
  <si>
    <t>TGCrownGhost03</t>
  </si>
  <si>
    <t>00084D18</t>
  </si>
  <si>
    <t>00084D15</t>
  </si>
  <si>
    <t>Dunmer Ghost</t>
  </si>
  <si>
    <t>TGCrownGhost01;TGCrownGhost02;TGCrownGhost03</t>
  </si>
  <si>
    <t>Thadgeir</t>
  </si>
  <si>
    <t>0004E5E9</t>
  </si>
  <si>
    <t>Thaena</t>
  </si>
  <si>
    <t>0001C189</t>
  </si>
  <si>
    <t>Thonar</t>
  </si>
  <si>
    <t>000133BA</t>
  </si>
  <si>
    <t>Thonar Silver-Blood</t>
  </si>
  <si>
    <t>Thongvor</t>
  </si>
  <si>
    <t>000133BB</t>
  </si>
  <si>
    <t>Thongvor Silver-Blood</t>
  </si>
  <si>
    <t>Thonjolf</t>
  </si>
  <si>
    <t>0001C181</t>
  </si>
  <si>
    <t>Thonnir</t>
  </si>
  <si>
    <t>000135F2</t>
  </si>
  <si>
    <t>ThoraldGrayMane</t>
  </si>
  <si>
    <t>0001C241</t>
  </si>
  <si>
    <t>Thorald Gray-Mane</t>
  </si>
  <si>
    <t>Thorek</t>
  </si>
  <si>
    <t>00024278</t>
  </si>
  <si>
    <t>Thorek_Ambush</t>
  </si>
  <si>
    <t>000341FF</t>
  </si>
  <si>
    <t>Thorgar</t>
  </si>
  <si>
    <t>000AE777</t>
  </si>
  <si>
    <t>Thoring</t>
  </si>
  <si>
    <t>00013621</t>
  </si>
  <si>
    <t>Threki</t>
  </si>
  <si>
    <t>00013367</t>
  </si>
  <si>
    <t>Threki the Innocent</t>
  </si>
  <si>
    <t>Thrynn</t>
  </si>
  <si>
    <t>000D4FDB</t>
  </si>
  <si>
    <t>Tilma</t>
  </si>
  <si>
    <t>00013BB6</t>
  </si>
  <si>
    <t>Tilma the Haggard</t>
  </si>
  <si>
    <t>TitusMedeII</t>
  </si>
  <si>
    <t>0001D4B9</t>
  </si>
  <si>
    <t>Emperor Titus Mede II</t>
  </si>
  <si>
    <t>TitusMedeIIDecoy</t>
  </si>
  <si>
    <t>0001D4BA</t>
  </si>
  <si>
    <t>Tolfdir</t>
  </si>
  <si>
    <t>0001C19E</t>
  </si>
  <si>
    <t>Tonilia</t>
  </si>
  <si>
    <t>000B8827</t>
  </si>
  <si>
    <t>Torbjorn</t>
  </si>
  <si>
    <t>0001413F</t>
  </si>
  <si>
    <t>Torbjorn Shatter-Shield</t>
  </si>
  <si>
    <t>Tormir</t>
  </si>
  <si>
    <t>0001403D</t>
  </si>
  <si>
    <t>Torolf</t>
  </si>
  <si>
    <t>00013641</t>
  </si>
  <si>
    <t>Torsten</t>
  </si>
  <si>
    <t>00014136</t>
  </si>
  <si>
    <t>Torsten Cruel-Sea</t>
  </si>
  <si>
    <t>Torvar</t>
  </si>
  <si>
    <t>0001A6DB</t>
  </si>
  <si>
    <t>Tova</t>
  </si>
  <si>
    <t>00014125</t>
  </si>
  <si>
    <t>Tova Shatter-Shield</t>
  </si>
  <si>
    <t>TovaDead</t>
  </si>
  <si>
    <t>000D2B16</t>
  </si>
  <si>
    <t>00099805</t>
  </si>
  <si>
    <t>Alchemist</t>
  </si>
  <si>
    <t>dunChillwindFalmerPrisoner05;DLC2KagrumezCorpse</t>
  </si>
  <si>
    <t>000328E0</t>
  </si>
  <si>
    <t>000328DF</t>
  </si>
  <si>
    <t>pinewoodGroveLumberjack;dunFolgunthurAdventurer1;Rahd</t>
  </si>
  <si>
    <t>000328DD</t>
  </si>
  <si>
    <t>000328DE</t>
  </si>
  <si>
    <t>0001A766</t>
  </si>
  <si>
    <t>dunChillwindFalmerPrisoner08;dunFolgunthurAdventurer2</t>
  </si>
  <si>
    <t>0001A765</t>
  </si>
  <si>
    <t>TreasCorpseMarkarthGuard;dunChillwindFalmerPrisoner07;dunFolgunthurAdventurer5;dunWhiteRiverWatchCagedBandit;dunReachwaterRockAdventurer;DLC1ArkngthamzAdventurer</t>
  </si>
  <si>
    <t>000328D6</t>
  </si>
  <si>
    <t>000328D5</t>
  </si>
  <si>
    <t>dunPOIReachTrollslayer;dunMossMotherHunter02;dunChillwindFalmerPrisoner04;dunFolgunthurAdventurer3;DLC2dunGyldenhulAdventurer</t>
  </si>
  <si>
    <t>000328D7</t>
  </si>
  <si>
    <t>dunAlftandYagGraGortwog;DA05Hunter16_01DeadMissile_Batum</t>
  </si>
  <si>
    <t>dunDeepwoodAdventurer1;dunSleepingTreeCampBanditCorpse</t>
  </si>
  <si>
    <t>000328D4</t>
  </si>
  <si>
    <t>dunChillwindFalmerPrisoner06;dunFolgunthurAdventurer4</t>
  </si>
  <si>
    <t>TreasCorpseBanditRedguardMale</t>
  </si>
  <si>
    <t>00032860</t>
  </si>
  <si>
    <t>000328DC</t>
  </si>
  <si>
    <t>000328DB</t>
  </si>
  <si>
    <t>TreasCorpseBeggarNordMaleOld</t>
  </si>
  <si>
    <t>000E9DC0</t>
  </si>
  <si>
    <t>TreasCorpseCommonerArgonianFemale</t>
  </si>
  <si>
    <t>000457FB</t>
  </si>
  <si>
    <t>TreasCorpseCommonerArgonianMale</t>
  </si>
  <si>
    <t>000457FE</t>
  </si>
  <si>
    <t>000457FF</t>
  </si>
  <si>
    <t>dunPOIReachLoversCorpse01;WEJS01AvengeGhost;WEJS01Ghost</t>
  </si>
  <si>
    <t>WEJS09GhostCorpse</t>
  </si>
  <si>
    <t>000457F6</t>
  </si>
  <si>
    <t>TreasCorpseCommonerDarkElfFemale</t>
  </si>
  <si>
    <t>000457F7</t>
  </si>
  <si>
    <t>TreasCorpseCommonerDarkElfM</t>
  </si>
  <si>
    <t>00045800</t>
  </si>
  <si>
    <t>000457F9</t>
  </si>
  <si>
    <t>TreasCorpseCommonerHighElfMale</t>
  </si>
  <si>
    <t>00045801</t>
  </si>
  <si>
    <t>00045802</t>
  </si>
  <si>
    <t>dunPOISwimmer;dunMzulftTreasCorpseSynodResearcherF</t>
  </si>
  <si>
    <t>000457F8</t>
  </si>
  <si>
    <t>dunPOITalosWorshipperCorpse01;dunPOITreasCorpseLumberjack</t>
  </si>
  <si>
    <t>TreasCorpseCommonerKhajiitFemale</t>
  </si>
  <si>
    <t>000457FA</t>
  </si>
  <si>
    <t>TreasCorpseCommonerKhajiitGuard</t>
  </si>
  <si>
    <t>00097DA9</t>
  </si>
  <si>
    <t>00045803</t>
  </si>
  <si>
    <t>DA05Hunter15_01DeadMelee_Matasarr;dunFellglow_TreasCorpseCommonerKhajiitMalePrisoner</t>
  </si>
  <si>
    <t>000457F5</t>
  </si>
  <si>
    <t>dunPOITalosWorshipperCorpse02;dunPOIRefugeeCorpse01;dunMistwatchPrisonerWERJ01</t>
  </si>
  <si>
    <t>00045804</t>
  </si>
  <si>
    <t>dunPOITalosWorshipperCorpse03;dunPOIRefugeeCorpse02;dunPOIRefugeeCorpse03;TreasCorpseBeggarNordMaleOld;TG08BTreasCorpseThiefNordMaleOld;DLC1dunRedwaterDenBeggarMaleOldGrumpy;DLC1VCThrallMaleOldGrumpy</t>
  </si>
  <si>
    <t>TreasCorpseCommonerOrcFemale</t>
  </si>
  <si>
    <t>00045806</t>
  </si>
  <si>
    <t>TreasCorpseCommonerOrcMale</t>
  </si>
  <si>
    <t>000457FD</t>
  </si>
  <si>
    <t>TreasCorpseCommonerRedguardFemale</t>
  </si>
  <si>
    <t>00048117</t>
  </si>
  <si>
    <t>WERJ03RedguardFemale</t>
  </si>
  <si>
    <t>00048118</t>
  </si>
  <si>
    <t>dunChillwindFalmerPrisoner01;dunChillwindFalmerPrisonerFirir;dunFortDunstadBarkeepCorpse</t>
  </si>
  <si>
    <t>TreasCorpseCommonerWoodElfFemale</t>
  </si>
  <si>
    <t>00045805</t>
  </si>
  <si>
    <t>000457FC</t>
  </si>
  <si>
    <t>0008A89D</t>
  </si>
  <si>
    <t>Corpse</t>
  </si>
  <si>
    <t>0008A89C</t>
  </si>
  <si>
    <t>dunKilkreathTreasCorpseImperial;dunRRHerebaneSorenshield</t>
  </si>
  <si>
    <t>0008A89F</t>
  </si>
  <si>
    <t>0008A89E</t>
  </si>
  <si>
    <t>0001B152</t>
  </si>
  <si>
    <t>0001B153</t>
  </si>
  <si>
    <t>000F62EF</t>
  </si>
  <si>
    <t>Riften Guard</t>
  </si>
  <si>
    <t>000F62F0</t>
  </si>
  <si>
    <t>000C49DB</t>
  </si>
  <si>
    <t>TreasCorpseHunterNordM</t>
  </si>
  <si>
    <t>000C49DC</t>
  </si>
  <si>
    <t>000C49DD</t>
  </si>
  <si>
    <t>Urwa</t>
  </si>
  <si>
    <t>000C49DE</t>
  </si>
  <si>
    <t>TreasCorpseMarkarthGuard</t>
  </si>
  <si>
    <t>0005CF3F</t>
  </si>
  <si>
    <t>TreasCorpseScholarHighElfMale</t>
  </si>
  <si>
    <t>000B6425</t>
  </si>
  <si>
    <t>Dead Scholar</t>
  </si>
  <si>
    <t>TreasCorpseSilverHandNordFemale</t>
  </si>
  <si>
    <t>000B866A</t>
  </si>
  <si>
    <t>Silver Hand Warrior</t>
  </si>
  <si>
    <t>TreasCorpseSilverHandNordMale</t>
  </si>
  <si>
    <t>000B8669</t>
  </si>
  <si>
    <t>TreasCorpseThalmorM</t>
  </si>
  <si>
    <t>000978AA</t>
  </si>
  <si>
    <t>TreasCorpseThalmorMelee1HM</t>
  </si>
  <si>
    <t>000AF9CD</t>
  </si>
  <si>
    <t>TreasCorpseVampireBretonFemale</t>
  </si>
  <si>
    <t>0001A76E</t>
  </si>
  <si>
    <t>0001A777</t>
  </si>
  <si>
    <t>0001A76F</t>
  </si>
  <si>
    <t>TreasCorpseVampireDarkElfMale</t>
  </si>
  <si>
    <t>0001A776</t>
  </si>
  <si>
    <t>TreasCorpseVampireHighElfFemale</t>
  </si>
  <si>
    <t>0001A770</t>
  </si>
  <si>
    <t>0001A775</t>
  </si>
  <si>
    <t>0001A771</t>
  </si>
  <si>
    <t>TreasCorpseVampireImperialMale</t>
  </si>
  <si>
    <t>0001A774</t>
  </si>
  <si>
    <t>0001A772</t>
  </si>
  <si>
    <t>0001A773</t>
  </si>
  <si>
    <t>TreasCorpseVigilantOfStendarrFemale</t>
  </si>
  <si>
    <t>02019FFA</t>
  </si>
  <si>
    <t>TreasCorpseVigilantOfStendarrFemale02</t>
  </si>
  <si>
    <t>02019FFF</t>
  </si>
  <si>
    <t>TreasCorpseVigilantOfStendarrMale</t>
  </si>
  <si>
    <t>000DC11D</t>
  </si>
  <si>
    <t>TreasCorpseVigilantOfStendarrMale02</t>
  </si>
  <si>
    <t>02019FFC</t>
  </si>
  <si>
    <t>0001A763</t>
  </si>
  <si>
    <t>TreasCorpseWarlockBretonMale</t>
  </si>
  <si>
    <t>0001A764</t>
  </si>
  <si>
    <t>0001A767</t>
  </si>
  <si>
    <t>0001A768</t>
  </si>
  <si>
    <t>TreasCorpseWarlockDarkElfMaleCOPY0000</t>
  </si>
  <si>
    <t>001068F5</t>
  </si>
  <si>
    <t>0001A76A</t>
  </si>
  <si>
    <t>0001A76B</t>
  </si>
  <si>
    <t>0001A76C</t>
  </si>
  <si>
    <t>Trilf</t>
  </si>
  <si>
    <t>00019A1B</t>
  </si>
  <si>
    <t>Tsavani</t>
  </si>
  <si>
    <t>000353C7</t>
  </si>
  <si>
    <t>Tsun</t>
  </si>
  <si>
    <t>0004F828</t>
  </si>
  <si>
    <t>Tulvur</t>
  </si>
  <si>
    <t>00014139</t>
  </si>
  <si>
    <t>Tuthul</t>
  </si>
  <si>
    <t>0001996D</t>
  </si>
  <si>
    <t>Tynan</t>
  </si>
  <si>
    <t>000D6718</t>
  </si>
  <si>
    <t>Tyranus</t>
  </si>
  <si>
    <t>000A733B</t>
  </si>
  <si>
    <t>Vigilant Tyranus</t>
  </si>
  <si>
    <t>Tythis</t>
  </si>
  <si>
    <t>0001337D</t>
  </si>
  <si>
    <t>Tythis Ulen</t>
  </si>
  <si>
    <t>Uaile</t>
  </si>
  <si>
    <t>000133BC</t>
  </si>
  <si>
    <t>Uglarz</t>
  </si>
  <si>
    <t>000E316F</t>
  </si>
  <si>
    <t>Ugor</t>
  </si>
  <si>
    <t>00019E1A</t>
  </si>
  <si>
    <t>Ulfberth</t>
  </si>
  <si>
    <t>00013B9F</t>
  </si>
  <si>
    <t>Ulfberth War-Bear</t>
  </si>
  <si>
    <t>0001414D</t>
  </si>
  <si>
    <t>Ulundil</t>
  </si>
  <si>
    <t>00014141</t>
  </si>
  <si>
    <t>Umurn</t>
  </si>
  <si>
    <t>00013B7E</t>
  </si>
  <si>
    <t>Una</t>
  </si>
  <si>
    <t>000132AC</t>
  </si>
  <si>
    <t>Ungrien</t>
  </si>
  <si>
    <t>0001337E</t>
  </si>
  <si>
    <t>Unmid</t>
  </si>
  <si>
    <t>000371D7</t>
  </si>
  <si>
    <t>Unmid Snow-Shod</t>
  </si>
  <si>
    <t>Uraccen</t>
  </si>
  <si>
    <t>000133BD</t>
  </si>
  <si>
    <t>UraggroShub</t>
  </si>
  <si>
    <t>0001C193</t>
  </si>
  <si>
    <t>Urag gro-Shub</t>
  </si>
  <si>
    <t>Urog</t>
  </si>
  <si>
    <t>0001B078</t>
  </si>
  <si>
    <t>0002FFEB</t>
  </si>
  <si>
    <t>UrzogaGraShugurz</t>
  </si>
  <si>
    <t>000133BE</t>
  </si>
  <si>
    <t>Urzoga gra-Shugurz</t>
  </si>
  <si>
    <t>Uthgerd</t>
  </si>
  <si>
    <t>000918E2</t>
  </si>
  <si>
    <t>Uthgerd the Unbroken</t>
  </si>
  <si>
    <t>Vaermina</t>
  </si>
  <si>
    <t>000E16CD</t>
  </si>
  <si>
    <t>Vald</t>
  </si>
  <si>
    <t>00072B04</t>
  </si>
  <si>
    <t>Valdr</t>
  </si>
  <si>
    <t>000411BA</t>
  </si>
  <si>
    <t>ValgaVinicia</t>
  </si>
  <si>
    <t>00013655</t>
  </si>
  <si>
    <t>Valga Vinicia</t>
  </si>
  <si>
    <t>Valindor</t>
  </si>
  <si>
    <t>0001337F</t>
  </si>
  <si>
    <t>ValmirBASE</t>
  </si>
  <si>
    <t>0007E5B4</t>
  </si>
  <si>
    <t>Captain Valmir</t>
  </si>
  <si>
    <t>ValmirSons;ValmirImperial</t>
  </si>
  <si>
    <t>ValmirImperial</t>
  </si>
  <si>
    <t>0007E5B6</t>
  </si>
  <si>
    <t>ValmirSons</t>
  </si>
  <si>
    <t>0007E5B5</t>
  </si>
  <si>
    <t>ValsVeran</t>
  </si>
  <si>
    <t>00019FE6</t>
  </si>
  <si>
    <t>Vals Veran</t>
  </si>
  <si>
    <t>LvlWarlockNecroBossMaleCondescending</t>
  </si>
  <si>
    <t>VanrythGatharian</t>
  </si>
  <si>
    <t>00029DAF</t>
  </si>
  <si>
    <t>Vanryth Gatharian</t>
  </si>
  <si>
    <t>VantusLoreius</t>
  </si>
  <si>
    <t>0001A6B1</t>
  </si>
  <si>
    <t>Vantus Loreius</t>
  </si>
  <si>
    <t>VantusLoreiusDead</t>
  </si>
  <si>
    <t>0007F429</t>
  </si>
  <si>
    <t>VarniusJunius</t>
  </si>
  <si>
    <t>00019A26</t>
  </si>
  <si>
    <t>Varnius Junius</t>
  </si>
  <si>
    <t>Veezara</t>
  </si>
  <si>
    <t>0001C3AA</t>
  </si>
  <si>
    <t>VeezaraDead</t>
  </si>
  <si>
    <t>0002E447</t>
  </si>
  <si>
    <t>Vekel</t>
  </si>
  <si>
    <t>00013380</t>
  </si>
  <si>
    <t>Vekel the Man</t>
  </si>
  <si>
    <t>VerenDuleri</t>
  </si>
  <si>
    <t>0002427C</t>
  </si>
  <si>
    <t>Veren Duleri</t>
  </si>
  <si>
    <t>VerenDuleri_Ambush</t>
  </si>
  <si>
    <t>000341FE</t>
  </si>
  <si>
    <t>Verner</t>
  </si>
  <si>
    <t>00013665</t>
  </si>
  <si>
    <t>Verner Rock-Chucker</t>
  </si>
  <si>
    <t>Vex</t>
  </si>
  <si>
    <t>0001CD90</t>
  </si>
  <si>
    <t>Viarmo</t>
  </si>
  <si>
    <t>000132AD</t>
  </si>
  <si>
    <t>Vigdis</t>
  </si>
  <si>
    <t>000133BF</t>
  </si>
  <si>
    <t>Vigdis Salvius</t>
  </si>
  <si>
    <t>VigilantCarcette</t>
  </si>
  <si>
    <t>000BFB55</t>
  </si>
  <si>
    <t>Keeper Carcette</t>
  </si>
  <si>
    <t>VignarGrayMane</t>
  </si>
  <si>
    <t>00013BB5</t>
  </si>
  <si>
    <t>Vignar Gray-Mane</t>
  </si>
  <si>
    <t>Vilkas</t>
  </si>
  <si>
    <t>0001A694</t>
  </si>
  <si>
    <t>Vilod</t>
  </si>
  <si>
    <t>0001363E</t>
  </si>
  <si>
    <t>ViolaGiordano</t>
  </si>
  <si>
    <t>00014129</t>
  </si>
  <si>
    <t>Viola Giordano</t>
  </si>
  <si>
    <t>VipirtheFleet</t>
  </si>
  <si>
    <t>0001CD8F</t>
  </si>
  <si>
    <t>Vipir the Fleet</t>
  </si>
  <si>
    <t>Virkmund</t>
  </si>
  <si>
    <t>000135F1</t>
  </si>
  <si>
    <t>VittoriaVici</t>
  </si>
  <si>
    <t>0001327A</t>
  </si>
  <si>
    <t>Vittoria Vici</t>
  </si>
  <si>
    <t>VivienneOnis</t>
  </si>
  <si>
    <t>000132AE</t>
  </si>
  <si>
    <t>Vivienne Onis</t>
  </si>
  <si>
    <t>Voada</t>
  </si>
  <si>
    <t>000133C0</t>
  </si>
  <si>
    <t>VoiceTypeNPCFemaleArgonian</t>
  </si>
  <si>
    <t>000391C9</t>
  </si>
  <si>
    <t>VoiceTypeNPCFemaleChild</t>
  </si>
  <si>
    <t>000391CA</t>
  </si>
  <si>
    <t>VoiceTypeNPCFemaleCommander</t>
  </si>
  <si>
    <t>000391CB</t>
  </si>
  <si>
    <t>VoiceTypeNPCFemaleCommoner</t>
  </si>
  <si>
    <t>000391CC</t>
  </si>
  <si>
    <t>VoiceTypeNPCFemaleCondescending</t>
  </si>
  <si>
    <t>000391CD</t>
  </si>
  <si>
    <t>VoiceTypeNPCFemaleCoward</t>
  </si>
  <si>
    <t>000391CE</t>
  </si>
  <si>
    <t>VoiceTypeNPCFemaleDarkElf</t>
  </si>
  <si>
    <t>000391CF</t>
  </si>
  <si>
    <t>VoiceTypeNPCFemaleElfHaughty</t>
  </si>
  <si>
    <t>000391D1</t>
  </si>
  <si>
    <t>VoiceTypeNPCFemaleEvenToned</t>
  </si>
  <si>
    <t>000391D2</t>
  </si>
  <si>
    <t>VoiceTypeNPCFemaleKhajiit</t>
  </si>
  <si>
    <t>000391D3</t>
  </si>
  <si>
    <t>VoiceTypeNPCFemaleNord</t>
  </si>
  <si>
    <t>000391D4</t>
  </si>
  <si>
    <t>VoiceTypeNPCFemaleOldGrumpy</t>
  </si>
  <si>
    <t>000391D5</t>
  </si>
  <si>
    <t>VoiceTypeNPCFemaleOldKindly</t>
  </si>
  <si>
    <t>000391D6</t>
  </si>
  <si>
    <t>VoiceTypeNPCFemaleOrc</t>
  </si>
  <si>
    <t>000391D7</t>
  </si>
  <si>
    <t>VoiceTypeNPCFemaleShrill</t>
  </si>
  <si>
    <t>000391D8</t>
  </si>
  <si>
    <t>VoiceTypeNPCFemaleSoldier</t>
  </si>
  <si>
    <t>000391D9</t>
  </si>
  <si>
    <t>VoiceTypeNPCFemaleSultry</t>
  </si>
  <si>
    <t>000391DA</t>
  </si>
  <si>
    <t>VoiceTypeNPCFemaleYoungEager</t>
  </si>
  <si>
    <t>000391DB</t>
  </si>
  <si>
    <t>VoiceTypeNPCMaleArgonian</t>
  </si>
  <si>
    <t>000391B6</t>
  </si>
  <si>
    <t>VoiceTypeNPCMaleBrute</t>
  </si>
  <si>
    <t>000391B7</t>
  </si>
  <si>
    <t>VoiceTypeNPCMaleChild</t>
  </si>
  <si>
    <t>000391B8</t>
  </si>
  <si>
    <t>VoiceTypeNPCMaleCommander</t>
  </si>
  <si>
    <t>000391B9</t>
  </si>
  <si>
    <t>VoiceTypeNPCMaleCommoner</t>
  </si>
  <si>
    <t>000391BA</t>
  </si>
  <si>
    <t>VoiceTypeNPCMaleCondescending</t>
  </si>
  <si>
    <t>000391BB</t>
  </si>
  <si>
    <t>VoiceTypeNPCMaleCoward</t>
  </si>
  <si>
    <t>000391BC</t>
  </si>
  <si>
    <t>VoiceTypeNPCMaleDarkElf</t>
  </si>
  <si>
    <t>000391BD</t>
  </si>
  <si>
    <t>VoiceTypeNPCMaleDrunk</t>
  </si>
  <si>
    <t>000391BE</t>
  </si>
  <si>
    <t>VoiceTypeNPCMaleElfHaughty</t>
  </si>
  <si>
    <t>000391BF</t>
  </si>
  <si>
    <t>VoiceTypeNPCMaleEvenToned</t>
  </si>
  <si>
    <t>000391C0</t>
  </si>
  <si>
    <t>VoiceTypeNPCMaleKhajiit</t>
  </si>
  <si>
    <t>000391C1</t>
  </si>
  <si>
    <t>VoiceTypeNPCMaleNord</t>
  </si>
  <si>
    <t>000391C2</t>
  </si>
  <si>
    <t>VoiceTypeNPCMaleNordCommander</t>
  </si>
  <si>
    <t>00037FB3</t>
  </si>
  <si>
    <t>VoiceTypeNPCMaleOldGrumpy</t>
  </si>
  <si>
    <t>000391C3</t>
  </si>
  <si>
    <t>VoiceTypeNPCMaleOldKindly</t>
  </si>
  <si>
    <t>000391C4</t>
  </si>
  <si>
    <t>VoiceTypeNPCMaleOrc</t>
  </si>
  <si>
    <t>000391C5</t>
  </si>
  <si>
    <t>VoiceTypeNPCMaleSlyCynical</t>
  </si>
  <si>
    <t>000391C6</t>
  </si>
  <si>
    <t>VoiceTypeNPCMaleSoldier</t>
  </si>
  <si>
    <t>000391C7</t>
  </si>
  <si>
    <t>VoiceTypeNPCMaleYoungEager</t>
  </si>
  <si>
    <t>000391C8</t>
  </si>
  <si>
    <t>VoldseaGiryon</t>
  </si>
  <si>
    <t>0001411C</t>
  </si>
  <si>
    <t>Voldsea Giryon</t>
  </si>
  <si>
    <t>Vulwulf</t>
  </si>
  <si>
    <t>00013381</t>
  </si>
  <si>
    <t>Vulwulf Snow-Shod</t>
  </si>
  <si>
    <t>WarehouseNPCCarryFirewood</t>
  </si>
  <si>
    <t>000CCE01</t>
  </si>
  <si>
    <t>WarehouseNPCCarryWaterBucket</t>
  </si>
  <si>
    <t>000CCDFC</t>
  </si>
  <si>
    <t>TestJeffBCarryWaterBucket</t>
  </si>
  <si>
    <t>WarehouseNPCWAllAmbush</t>
  </si>
  <si>
    <t>000FC198</t>
  </si>
  <si>
    <t>Affable Gent</t>
  </si>
  <si>
    <t>WarehouseNPCWebActorSit</t>
  </si>
  <si>
    <t>000684CD</t>
  </si>
  <si>
    <t>WatchesTheRoots</t>
  </si>
  <si>
    <t>0004C735</t>
  </si>
  <si>
    <t>Watches-The-Roots</t>
  </si>
  <si>
    <t>WatchesTheRootsCorpse</t>
  </si>
  <si>
    <t>0004C757</t>
  </si>
  <si>
    <t>WE17Bandit1</t>
  </si>
  <si>
    <t>0009F7EA</t>
  </si>
  <si>
    <t>Soldier</t>
  </si>
  <si>
    <t>WE17Bandit2</t>
  </si>
  <si>
    <t>0009F7F1</t>
  </si>
  <si>
    <t>WE17Bandit3</t>
  </si>
  <si>
    <t>0009F7F2</t>
  </si>
  <si>
    <t>WE23Scavenger</t>
  </si>
  <si>
    <t>00062105</t>
  </si>
  <si>
    <t>Scavenger</t>
  </si>
  <si>
    <t>WE24Orc</t>
  </si>
  <si>
    <t>00062128</t>
  </si>
  <si>
    <t>Old Orc</t>
  </si>
  <si>
    <t>WE25Hunter</t>
  </si>
  <si>
    <t>0006218C</t>
  </si>
  <si>
    <t>WE31Mage</t>
  </si>
  <si>
    <t>000753CB</t>
  </si>
  <si>
    <t>Aspiring Mage</t>
  </si>
  <si>
    <t>WEAdventurerBattlemage</t>
  </si>
  <si>
    <t>001034EA</t>
  </si>
  <si>
    <t>WEAdventurerTemplate</t>
  </si>
  <si>
    <t>WEAdventurerBattlemageKhajiitM;WEAdventurerBattlemageHighElfM;WEAdventurerBattlemageBretonM</t>
  </si>
  <si>
    <t>WEAdventurerBattlemageBretonM</t>
  </si>
  <si>
    <t>001034F3</t>
  </si>
  <si>
    <t>WEAdventurerBattlemageBretonMFire;WEAdventurerBattlemageBretonMIce;WEAdventurerBattlemageBretonMStorm</t>
  </si>
  <si>
    <t>WEAdventurerBattlemageBretonMFire</t>
  </si>
  <si>
    <t>0010611F</t>
  </si>
  <si>
    <t>WEAdventurerBattlemageBretonMIce</t>
  </si>
  <si>
    <t>00106120</t>
  </si>
  <si>
    <t>WEAdventurerBattlemageBretonMStorm</t>
  </si>
  <si>
    <t>00106121</t>
  </si>
  <si>
    <t>WEAdventurerBattlemageHighElfM</t>
  </si>
  <si>
    <t>001034F2</t>
  </si>
  <si>
    <t>WEAdventurerBattlemageHighElfMFire;WEAdventurerBattlemageHighElfMIce;WEAdventurerBattlemageHighElfMStorm</t>
  </si>
  <si>
    <t>WEAdventurerBattlemageHighElfMFire</t>
  </si>
  <si>
    <t>00106122</t>
  </si>
  <si>
    <t>WEAdventurerBattlemageHighElfMIce</t>
  </si>
  <si>
    <t>00106123</t>
  </si>
  <si>
    <t>WEAdventurerBattlemageHighElfMStorm</t>
  </si>
  <si>
    <t>00106124</t>
  </si>
  <si>
    <t>WEAdventurerBattlemageKhajiitM</t>
  </si>
  <si>
    <t>001034E9</t>
  </si>
  <si>
    <t>WEAdventurerBattlemageKhajiitMFire;WEAdventurerBattlemageKhajiitMIce;WEAdventurerBattlemageKhajiitMStorm</t>
  </si>
  <si>
    <t>WEAdventurerBattlemageKhajiitMFire</t>
  </si>
  <si>
    <t>00106127</t>
  </si>
  <si>
    <t>WEAdventurerBattlemageKhajiitMIce</t>
  </si>
  <si>
    <t>00106128</t>
  </si>
  <si>
    <t>WEAdventurerBattlemageKhajiitMStorm</t>
  </si>
  <si>
    <t>00106129</t>
  </si>
  <si>
    <t>WEAdventurerBerserker</t>
  </si>
  <si>
    <t>00105547</t>
  </si>
  <si>
    <t>WEAdventurerBerserkerNordM;WEAdventurerBerserkerRedguardF;WEAdventurerBerserkerKhajiitM;WEAdventurerBerserkerOrcF</t>
  </si>
  <si>
    <t>WEAdventurerBerserkerKhajiitM</t>
  </si>
  <si>
    <t>00105553</t>
  </si>
  <si>
    <t>WEAdventurerBerserkerNordM</t>
  </si>
  <si>
    <t>00103502</t>
  </si>
  <si>
    <t>WEAdventurerBerserkerOrcF</t>
  </si>
  <si>
    <t>00105556</t>
  </si>
  <si>
    <t>WEAdventurerBerserkerRedguardF</t>
  </si>
  <si>
    <t>00103505</t>
  </si>
  <si>
    <t>WEAdventurerBrawler</t>
  </si>
  <si>
    <t>0010555E</t>
  </si>
  <si>
    <t>WEAdventurerBrawlerWoodElfM;WEAdventurerBrawlerArgonianM;WEAdventurerBrawlerOrcF;WEAdventurerBrawlerOrcM;WEAdventurerBrawlerKhajiitM</t>
  </si>
  <si>
    <t>WEAdventurerBrawlerArgonianM</t>
  </si>
  <si>
    <t>00105561</t>
  </si>
  <si>
    <t>WEAdventurerBrawlerKhajiitM</t>
  </si>
  <si>
    <t>00109A7F</t>
  </si>
  <si>
    <t>WEAdventurerBrawlerOrcF</t>
  </si>
  <si>
    <t>00105562</t>
  </si>
  <si>
    <t>WEAdventurerBrawlerOrcM</t>
  </si>
  <si>
    <t>00109A7E</t>
  </si>
  <si>
    <t>WEAdventurerBrawlerWoodElfM</t>
  </si>
  <si>
    <t>00105560</t>
  </si>
  <si>
    <t>WEAdventurerDualPoisoner</t>
  </si>
  <si>
    <t>00105549</t>
  </si>
  <si>
    <t>WEAdventurerDualPoisonerDarkElfM;WEAdventurerDualPoisonerImperialF;WEAdventurerDualPoisonerArgonianM</t>
  </si>
  <si>
    <t>WEAdventurerDualPoisonerArgonianM</t>
  </si>
  <si>
    <t>00105552</t>
  </si>
  <si>
    <t>WEAdventurerDualPoisonerDarkElfM</t>
  </si>
  <si>
    <t>001034FE</t>
  </si>
  <si>
    <t>WEAdventurerDualPoisonerImperialF</t>
  </si>
  <si>
    <t>00103501</t>
  </si>
  <si>
    <t>WEAdventurerMageShieldStaff</t>
  </si>
  <si>
    <t>00106113</t>
  </si>
  <si>
    <t>WEAdventurerMageShieldStaffHighElfM;WEAdventurerMageShieldStaffHighElfF;WEAdventurerMageShieldStaffArgonianM</t>
  </si>
  <si>
    <t>WEAdventurerMageShieldStaffArgonianM</t>
  </si>
  <si>
    <t>00106118</t>
  </si>
  <si>
    <t>WEAdventurerMageShieldStaffArgonianMFire;WEAdventurerMageShieldStaffArgonianMIce;WEAdventurerMageShieldStaffArgonianMStorm</t>
  </si>
  <si>
    <t>WEAdventurerMageShieldStaffArgonianMFire</t>
  </si>
  <si>
    <t>0010612D</t>
  </si>
  <si>
    <t>WEAdventurerMageShieldStaffArgonianMIce</t>
  </si>
  <si>
    <t>0010612E</t>
  </si>
  <si>
    <t>WEAdventurerMageShieldStaffArgonianMStorm</t>
  </si>
  <si>
    <t>0010612F</t>
  </si>
  <si>
    <t>WEAdventurerMageShieldStaffHighElfF</t>
  </si>
  <si>
    <t>00106117</t>
  </si>
  <si>
    <t>WEAdventurerMageShieldStaffHighElfFFire;WEAdventurerMageShieldStaffHighElfFIce;WEAdventurerMageShieldStaffHighElfFStorm</t>
  </si>
  <si>
    <t>WEAdventurerMageShieldStaffHighElfFFire</t>
  </si>
  <si>
    <t>00106130</t>
  </si>
  <si>
    <t>WEAdventurerMageShieldStaffHighElfFIce</t>
  </si>
  <si>
    <t>00106131</t>
  </si>
  <si>
    <t>WEAdventurerMageShieldStaffHighElfFStorm</t>
  </si>
  <si>
    <t>00106132</t>
  </si>
  <si>
    <t>WEAdventurerMageShieldStaffHighElfM</t>
  </si>
  <si>
    <t>00106116</t>
  </si>
  <si>
    <t>WEAdventurerMageShieldStaffHighElfMFire;WEAdventurerMageShieldStaffHighElfMStorm;WEAdventurerMageShieldStaffHighElfMIce</t>
  </si>
  <si>
    <t>WEAdventurerMageShieldStaffHighElfMFire</t>
  </si>
  <si>
    <t>00106133</t>
  </si>
  <si>
    <t>WEAdventurerMageShieldStaffHighElfMIce</t>
  </si>
  <si>
    <t>00106135</t>
  </si>
  <si>
    <t>WEAdventurerMageShieldStaffHighElfMStorm</t>
  </si>
  <si>
    <t>00106134</t>
  </si>
  <si>
    <t>WEAdventurerRangedConjurer</t>
  </si>
  <si>
    <t>0010554B</t>
  </si>
  <si>
    <t>WEAdventurerRangedConjurerWoodElfF;WEAdventurerRangedConjurerWoodElfM</t>
  </si>
  <si>
    <t>WEAdventurerRangedConjurerWoodElfF</t>
  </si>
  <si>
    <t>0010554F</t>
  </si>
  <si>
    <t>WEAdventurerRangedConjurerWoodElfM</t>
  </si>
  <si>
    <t>00105550</t>
  </si>
  <si>
    <t>WEAdventurerSpellsword</t>
  </si>
  <si>
    <t>00105540</t>
  </si>
  <si>
    <t>WEAdventurerSpellswordRedguardF;WEAdventurerSpellswordBretonF;WEAdventurerSpellswordBretonM;WEAdventurerSpellswordDarkElfF</t>
  </si>
  <si>
    <t>WEAdventurerSpellswordBretonF</t>
  </si>
  <si>
    <t>001034FB</t>
  </si>
  <si>
    <t>WEAdventurerSpellswordBretonM</t>
  </si>
  <si>
    <t>001034FC</t>
  </si>
  <si>
    <t>WEAdventurerSpellswordDarkElfF</t>
  </si>
  <si>
    <t>001034FF</t>
  </si>
  <si>
    <t>WEAdventurerSpellswordRedguardF</t>
  </si>
  <si>
    <t>001034F5</t>
  </si>
  <si>
    <t>0010553F</t>
  </si>
  <si>
    <t>WEAdventurerBattlemageKhajiitM;WEAdventurerBattlemageHighElfM;WEAdventurerBattlemageBretonM;WEAdventurerSpellswordRedguardF;WEAdventurerSpellswordBretonF;WEAdventurerSpellswordBretonM;WEAdventurerSpellswordDarkElfF;WEAdventurerWarriorNordF;WEAdventurerWarriorRedguardM;WEAdventurerWarriorOrcF;WEAdventurerWarriorOrcM;WEAdventurerWarriorDualImperialM;WEAdventurerWarriorDualKhajiitM;WEAdventurerWarriorDualArgonianM;WEAdventurerBerserkerNordM;WEAdventurerBerserkerRedguardF;WEAdventurerBerserkerKhajiitM;WEAdventurerBerserkerOrcF;WEAdventurerDualPoisonerDarkElfM;WEAdventurerDualPoisonerImperialF;WEAdventurerDualPoisonerArgonianM;WEAdventurerRangedConjurerWoodElfF;WEAdventurerRangedConjurerWoodElfM;WEAdventurerBrawlerWoodElfM;WEAdventurerBrawlerArgonianM;WEAdventurerBrawlerOrcF;WEAdventurerBrawlerOrcM;WEAdventurerBrawlerKhajiitM;WEAdventurerMageShieldStaffHighElfM;WEAdventurerMageShieldStaffHighElfF;WEAdventurerMageShieldStaffArgonianM</t>
  </si>
  <si>
    <t>WEAdventurerBattlemage;WEAdventurerSpellsword;WEAdventurerWarrior;WEAdventurerWarriorDual;WEAdventurerBerserker;WEAdventurerDualPoisoner;WEAdventurerRangedConjurer;WEAdventurerBrawler;WEAdventurerMageShieldStaff</t>
  </si>
  <si>
    <t>WEAdventurerWarrior</t>
  </si>
  <si>
    <t>00105541</t>
  </si>
  <si>
    <t>WEAdventurerWarriorNordF;WEAdventurerWarriorRedguardM;WEAdventurerWarriorOrcF;WEAdventurerWarriorOrcM</t>
  </si>
  <si>
    <t>WEAdventurerWarriorDual</t>
  </si>
  <si>
    <t>00105545</t>
  </si>
  <si>
    <t>WEAdventurerWarriorDualImperialM;WEAdventurerWarriorDualKhajiitM;WEAdventurerWarriorDualArgonianM</t>
  </si>
  <si>
    <t>WEAdventurerWarriorDualArgonianM</t>
  </si>
  <si>
    <t>00105554</t>
  </si>
  <si>
    <t>WEAdventurerWarriorDualImperialM</t>
  </si>
  <si>
    <t>00103500</t>
  </si>
  <si>
    <t>WEAdventurerWarriorDualKhajiitM</t>
  </si>
  <si>
    <t>00105551</t>
  </si>
  <si>
    <t>KhajiitMaleEarTufts</t>
  </si>
  <si>
    <t>WEAdventurerWarriorNordF</t>
  </si>
  <si>
    <t>00103503</t>
  </si>
  <si>
    <t>WEAdventurerWarriorOrcF</t>
  </si>
  <si>
    <t>00105555</t>
  </si>
  <si>
    <t>WEAdventurerWarriorOrcM</t>
  </si>
  <si>
    <t>00109A80</t>
  </si>
  <si>
    <t>WEAdventurerWarriorRedguardM</t>
  </si>
  <si>
    <t>00103504</t>
  </si>
  <si>
    <t>WEAssassinArgonianF</t>
  </si>
  <si>
    <t>00103511</t>
  </si>
  <si>
    <t>WEAssassinTemplate</t>
  </si>
  <si>
    <t>WEAssassinDarkElfM</t>
  </si>
  <si>
    <t>001051F3</t>
  </si>
  <si>
    <t>WEAssassinKhajiitF</t>
  </si>
  <si>
    <t>00103516</t>
  </si>
  <si>
    <t>001051FB</t>
  </si>
  <si>
    <t>Assassin</t>
  </si>
  <si>
    <t>WEAssassinArgonianF;WEAssassinKhajiitF;WEAssassinDarkElfM</t>
  </si>
  <si>
    <t>WEDA02Cultist</t>
  </si>
  <si>
    <t>000B0E87</t>
  </si>
  <si>
    <t>LvlBanditAmbushMelee1H</t>
  </si>
  <si>
    <t>WEDL03PlautisCarvain</t>
  </si>
  <si>
    <t>000B8148</t>
  </si>
  <si>
    <t>Plautis Carvain</t>
  </si>
  <si>
    <t>WEDL03SaloniaCarvain</t>
  </si>
  <si>
    <t>000B8149</t>
  </si>
  <si>
    <t>Salonia Carvain</t>
  </si>
  <si>
    <t>WEDL04PlautisCarvain</t>
  </si>
  <si>
    <t>000C03FE</t>
  </si>
  <si>
    <t>WEDL04SaloniaCarvain</t>
  </si>
  <si>
    <t>000C0401</t>
  </si>
  <si>
    <t>WEDL07Madwoman</t>
  </si>
  <si>
    <t>000BA1E5</t>
  </si>
  <si>
    <t>Madwoman</t>
  </si>
  <si>
    <t>WEDL08DeepInHisCups</t>
  </si>
  <si>
    <t>000BBDA0</t>
  </si>
  <si>
    <t>Deep-In-His-Cups</t>
  </si>
  <si>
    <t>WEDL11bHeadsman</t>
  </si>
  <si>
    <t>000BFB60</t>
  </si>
  <si>
    <t>WEDL11Headsman</t>
  </si>
  <si>
    <t>000BFB43</t>
  </si>
  <si>
    <t>WEDL13Farmer</t>
  </si>
  <si>
    <t>000BD759</t>
  </si>
  <si>
    <t>WEDL14Farmer</t>
  </si>
  <si>
    <t>000BD75E</t>
  </si>
  <si>
    <t>WEDLExecutionPrisoner</t>
  </si>
  <si>
    <t>000BFB44</t>
  </si>
  <si>
    <t>Escaped Prisoner</t>
  </si>
  <si>
    <t>001034E6</t>
  </si>
  <si>
    <t>WEFarmerMale</t>
  </si>
  <si>
    <t>001034E4</t>
  </si>
  <si>
    <t>WEFarmerMale02</t>
  </si>
  <si>
    <t>00106A61</t>
  </si>
  <si>
    <t>WEHeadlessHorseman</t>
  </si>
  <si>
    <t>0010B302</t>
  </si>
  <si>
    <t>Headless Horseman</t>
  </si>
  <si>
    <t>WEJS01AvengeGhost</t>
  </si>
  <si>
    <t>000B117E</t>
  </si>
  <si>
    <t>WEJS01Ghost</t>
  </si>
  <si>
    <t>000C19F7</t>
  </si>
  <si>
    <t>WEJS02Balbus</t>
  </si>
  <si>
    <t>000B5D42</t>
  </si>
  <si>
    <t>Balbus</t>
  </si>
  <si>
    <t>LvlBanditAmbushMeleeNordM</t>
  </si>
  <si>
    <t>000B125F</t>
  </si>
  <si>
    <t>WEJS10Faldrus</t>
  </si>
  <si>
    <t>000B85B9</t>
  </si>
  <si>
    <t>Faldrus</t>
  </si>
  <si>
    <t>LvlWarlockElemental</t>
  </si>
  <si>
    <t>WEJS11Sigar</t>
  </si>
  <si>
    <t>000B85BE</t>
  </si>
  <si>
    <t>Sigar</t>
  </si>
  <si>
    <t>WEJS13Ardwen</t>
  </si>
  <si>
    <t>000BED8A</t>
  </si>
  <si>
    <t>Ardwen</t>
  </si>
  <si>
    <t>WEMerchantMiscFemaleCommoner</t>
  </si>
  <si>
    <t>000B5D5A</t>
  </si>
  <si>
    <t>Peddler</t>
  </si>
  <si>
    <t>WEMerchantMiscMaleCommoner</t>
  </si>
  <si>
    <t>000BBCD2</t>
  </si>
  <si>
    <t>000B9285</t>
  </si>
  <si>
    <t>000B85AB</t>
  </si>
  <si>
    <t>Redguard Woman</t>
  </si>
  <si>
    <t>WERJ03Thief</t>
  </si>
  <si>
    <t>000EF9C3</t>
  </si>
  <si>
    <t>WERJ04Kid01</t>
  </si>
  <si>
    <t>000B94A3</t>
  </si>
  <si>
    <t>WERJ04Kid02</t>
  </si>
  <si>
    <t>000B94A9</t>
  </si>
  <si>
    <t>Bottar</t>
  </si>
  <si>
    <t>WERJ06Drunk01</t>
  </si>
  <si>
    <t>000BD15A</t>
  </si>
  <si>
    <t>Reveler</t>
  </si>
  <si>
    <t>WERJ06Drunk02</t>
  </si>
  <si>
    <t>000BD15B</t>
  </si>
  <si>
    <t>WERJ06Drunk03</t>
  </si>
  <si>
    <t>000E842F</t>
  </si>
  <si>
    <t>WERJ07Vampire</t>
  </si>
  <si>
    <t>000BF31E</t>
  </si>
  <si>
    <t>WERJThief</t>
  </si>
  <si>
    <t>000B816E</t>
  </si>
  <si>
    <t>WIThief</t>
  </si>
  <si>
    <t>WERoad02NobleF</t>
  </si>
  <si>
    <t>00102D63</t>
  </si>
  <si>
    <t>Noble</t>
  </si>
  <si>
    <t>WERoad02NobleM</t>
  </si>
  <si>
    <t>00102D62</t>
  </si>
  <si>
    <t>WERoadCourierImperial</t>
  </si>
  <si>
    <t>001065F0</t>
  </si>
  <si>
    <t>WERoadCourierNord</t>
  </si>
  <si>
    <t>001065EF</t>
  </si>
  <si>
    <t>WERoadCourierWoodElf</t>
  </si>
  <si>
    <t>001065EE</t>
  </si>
  <si>
    <t>WEThalmorPrisoner</t>
  </si>
  <si>
    <t>000B80FF</t>
  </si>
  <si>
    <t>Thalmor Prisoner</t>
  </si>
  <si>
    <t>WEThiefArgonianM</t>
  </si>
  <si>
    <t>00103512</t>
  </si>
  <si>
    <t>WEThiefTemplate</t>
  </si>
  <si>
    <t>WEThiefDarkElfF</t>
  </si>
  <si>
    <t>00103514</t>
  </si>
  <si>
    <t>WEThiefDarkElfM</t>
  </si>
  <si>
    <t>00103513</t>
  </si>
  <si>
    <t>WEThiefKhajiitM</t>
  </si>
  <si>
    <t>00103515</t>
  </si>
  <si>
    <t>00103510</t>
  </si>
  <si>
    <t>WEThiefArgonianM;WEThiefDarkElfM;WEThiefDarkElfF;WEThiefKhajiitM</t>
  </si>
  <si>
    <t>WhiterunJailPrisoner</t>
  </si>
  <si>
    <t>000590EF</t>
  </si>
  <si>
    <t>LvlBanditMeleeCommonerM</t>
  </si>
  <si>
    <t>WhiterunTempleSicklyFarmer</t>
  </si>
  <si>
    <t>000D74F8</t>
  </si>
  <si>
    <t>Sickly Farmer</t>
  </si>
  <si>
    <t>WhiterunTempleWoundedSoldier</t>
  </si>
  <si>
    <t>000D74F5</t>
  </si>
  <si>
    <t>Wounded Soldier</t>
  </si>
  <si>
    <t>WIChangeLocation04Student</t>
  </si>
  <si>
    <t>0006F214</t>
  </si>
  <si>
    <t>Student</t>
  </si>
  <si>
    <t>WICourierNPC</t>
  </si>
  <si>
    <t>00039F83</t>
  </si>
  <si>
    <t>Wilhelm</t>
  </si>
  <si>
    <t>000136BB</t>
  </si>
  <si>
    <t>Willem</t>
  </si>
  <si>
    <t>000661AF</t>
  </si>
  <si>
    <t>Wilmuth</t>
  </si>
  <si>
    <t>0009CCD9</t>
  </si>
  <si>
    <t>WindhelmPitFan1</t>
  </si>
  <si>
    <t>000558ED</t>
  </si>
  <si>
    <t>Pit Fan</t>
  </si>
  <si>
    <t>WindhelmPitFan10</t>
  </si>
  <si>
    <t>00055CEA</t>
  </si>
  <si>
    <t>WindhelmPitFan11</t>
  </si>
  <si>
    <t>00055D1A</t>
  </si>
  <si>
    <t>WindhelmPitFan12</t>
  </si>
  <si>
    <t>00055D42</t>
  </si>
  <si>
    <t>WindhelmPitFan2</t>
  </si>
  <si>
    <t>000558EF</t>
  </si>
  <si>
    <t>WindhelmPitFan3</t>
  </si>
  <si>
    <t>000558F1</t>
  </si>
  <si>
    <t>WindhelmPitFan4</t>
  </si>
  <si>
    <t>000558F3</t>
  </si>
  <si>
    <t>WindhelmPitFan5</t>
  </si>
  <si>
    <t>000558F5</t>
  </si>
  <si>
    <t>WindhelmPitFan6</t>
  </si>
  <si>
    <t>000558F7</t>
  </si>
  <si>
    <t>WindhelmPitFan7</t>
  </si>
  <si>
    <t>00055900</t>
  </si>
  <si>
    <t>WindhelmPitFan8</t>
  </si>
  <si>
    <t>00055A1C</t>
  </si>
  <si>
    <t>WindhelmPitFan9</t>
  </si>
  <si>
    <t>00055B40</t>
  </si>
  <si>
    <t>00023EE8</t>
  </si>
  <si>
    <t>WoodElfFemalePreset01</t>
  </si>
  <si>
    <t>00079CD3</t>
  </si>
  <si>
    <t>WoodElfFemalePreset02</t>
  </si>
  <si>
    <t>00079CCE</t>
  </si>
  <si>
    <t>WoodElfFemalePreset03</t>
  </si>
  <si>
    <t>00079CCD</t>
  </si>
  <si>
    <t>WoodElfFemalePreset04</t>
  </si>
  <si>
    <t>00079C98</t>
  </si>
  <si>
    <t>WoodElfFemalePreset05</t>
  </si>
  <si>
    <t>00099D58</t>
  </si>
  <si>
    <t>WoodElfFemalePreset06</t>
  </si>
  <si>
    <t>0010ABA3</t>
  </si>
  <si>
    <t>WoodElfFemalePreset07</t>
  </si>
  <si>
    <t>0010ABA4</t>
  </si>
  <si>
    <t>WoodElfFemalePreset08</t>
  </si>
  <si>
    <t>0010ABA5</t>
  </si>
  <si>
    <t>WoodElfFemalePreset09</t>
  </si>
  <si>
    <t>0010ABA6</t>
  </si>
  <si>
    <t>WoodElfFemalePreset10</t>
  </si>
  <si>
    <t>0010ABA7</t>
  </si>
  <si>
    <t>WoodElfMalePreset01</t>
  </si>
  <si>
    <t>0005EF9A</t>
  </si>
  <si>
    <t>WoodElfMalePreset02</t>
  </si>
  <si>
    <t>00079DD5</t>
  </si>
  <si>
    <t>WoodElfMalePreset03</t>
  </si>
  <si>
    <t>00079CD5</t>
  </si>
  <si>
    <t>WoodElfMalePreset04</t>
  </si>
  <si>
    <t>00079CD4</t>
  </si>
  <si>
    <t>WoodElfMalePreset05</t>
  </si>
  <si>
    <t>00099D53</t>
  </si>
  <si>
    <t>WoodElfMalePreset06</t>
  </si>
  <si>
    <t>0010ABA8</t>
  </si>
  <si>
    <t>WoodElfMalePreset07</t>
  </si>
  <si>
    <t>0010ABA9</t>
  </si>
  <si>
    <t>WoodElfMalePreset08</t>
  </si>
  <si>
    <t>0010ABAA</t>
  </si>
  <si>
    <t>WoodElfMalePreset09</t>
  </si>
  <si>
    <t>0010ABAB</t>
  </si>
  <si>
    <t>WoodElfMalePreset10</t>
  </si>
  <si>
    <t>0010ABAC</t>
  </si>
  <si>
    <t>Wujeeta</t>
  </si>
  <si>
    <t>00013382</t>
  </si>
  <si>
    <t>Wulfgar</t>
  </si>
  <si>
    <t>0002C6CA</t>
  </si>
  <si>
    <t>Wuunferth</t>
  </si>
  <si>
    <t>00014146</t>
  </si>
  <si>
    <t>Wuunferth the Unliving</t>
  </si>
  <si>
    <t>Wylandriah</t>
  </si>
  <si>
    <t>00019DEF</t>
  </si>
  <si>
    <t>WyndeliusGatharian</t>
  </si>
  <si>
    <t>0005FFDF</t>
  </si>
  <si>
    <t>Wyndelius Gatharian</t>
  </si>
  <si>
    <t>LvlBanditWizardNordM</t>
  </si>
  <si>
    <t>Yamarz</t>
  </si>
  <si>
    <t>0003BC26</t>
  </si>
  <si>
    <t>Chief Yamarz</t>
  </si>
  <si>
    <t>Yatul</t>
  </si>
  <si>
    <t>0001B077</t>
  </si>
  <si>
    <t>Yngvar</t>
  </si>
  <si>
    <t>000133C1</t>
  </si>
  <si>
    <t>Yngvar the Singer</t>
  </si>
  <si>
    <t>Ysolda</t>
  </si>
  <si>
    <t>00013BAB</t>
  </si>
  <si>
    <t>Zaria</t>
  </si>
  <si>
    <t>0003A19A</t>
  </si>
  <si>
    <t>Zaynabi</t>
  </si>
  <si>
    <t>0001B1D0</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</si>
</sst>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Arial"/>
      <scheme val="minor"/>
    </font>
    <font>
      <b/>
      <color theme="1"/>
      <name val="Arial"/>
    </font>
    <font>
      <sz val="10.0"/>
      <color theme="1"/>
      <name val="Arial"/>
    </font>
    <font>
      <color theme="1"/>
      <name val="Arial"/>
      <scheme val="minor"/>
    </font>
    <font>
      <color theme="1"/>
      <name val="Arial"/>
    </font>
    <font>
      <u/>
      <color rgb="FF0000FF"/>
    </font>
    <font>
      <u/>
      <color rgb="FF0000FF"/>
    </font>
    <font>
      <b/>
      <sz val="10.0"/>
      <color theme="1"/>
      <name val="Arial"/>
    </font>
    <font>
      <sz val="10.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vertical="bottom"/>
    </xf>
    <xf borderId="0" fillId="0" fontId="3" numFmtId="0" xfId="0" applyAlignment="1" applyFont="1">
      <alignment readingOrder="0"/>
    </xf>
    <xf borderId="0" fillId="0" fontId="2" numFmtId="0" xfId="0" applyAlignment="1" applyFont="1">
      <alignment vertical="bottom"/>
    </xf>
    <xf borderId="0" fillId="0" fontId="4" numFmtId="0" xfId="0" applyAlignment="1" applyFont="1">
      <alignment readingOrder="0"/>
    </xf>
    <xf borderId="0" fillId="0" fontId="5" numFmtId="0" xfId="0" applyAlignment="1" applyFont="1">
      <alignment readingOrder="0" vertical="bottom"/>
    </xf>
    <xf borderId="0" fillId="0" fontId="5" numFmtId="0" xfId="0" applyAlignment="1" applyFont="1">
      <alignment vertical="bottom"/>
    </xf>
    <xf borderId="0" fillId="0" fontId="3" numFmtId="0" xfId="0" applyFont="1"/>
    <xf borderId="0" fillId="0" fontId="1" numFmtId="0" xfId="0" applyFont="1"/>
    <xf quotePrefix="1" borderId="0" fillId="0" fontId="4" numFmtId="0" xfId="0" applyAlignment="1" applyFont="1">
      <alignment readingOrder="0"/>
    </xf>
    <xf borderId="0" fillId="0" fontId="6" numFmtId="0" xfId="0" applyAlignment="1" applyFont="1">
      <alignment readingOrder="0"/>
    </xf>
    <xf borderId="0" fillId="0" fontId="4" numFmtId="0" xfId="0" applyFont="1"/>
    <xf borderId="0" fillId="0" fontId="7" numFmtId="0" xfId="0" applyAlignment="1" applyFont="1">
      <alignment readingOrder="0"/>
    </xf>
    <xf borderId="0" fillId="0" fontId="8" numFmtId="0" xfId="0" applyFont="1"/>
    <xf borderId="0" fillId="0" fontId="8" numFmtId="0" xfId="0" applyAlignment="1" applyFont="1">
      <alignment readingOrder="0"/>
    </xf>
    <xf borderId="0" fillId="0" fontId="3" numFmtId="49" xfId="0" applyFont="1" applyNumberFormat="1"/>
    <xf borderId="0" fillId="0" fontId="9" numFmtId="0" xfId="0" applyAlignment="1" applyFont="1">
      <alignment readingOrder="0"/>
    </xf>
    <xf borderId="0" fillId="0" fontId="9" numFmtId="0" xfId="0" applyFont="1"/>
    <xf borderId="0" fillId="0" fontId="3" numFmtId="49" xfId="0" applyAlignment="1" applyFont="1" applyNumberFormat="1">
      <alignment readingOrder="0"/>
    </xf>
  </cellXfs>
  <cellStyles count="1">
    <cellStyle xfId="0" name="Normal" builtinId="0"/>
  </cellStyles>
  <dxfs count="4">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CE5CD"/>
          <bgColor rgb="FFFCE5CD"/>
        </patternFill>
      </fill>
      <border/>
    </dxf>
    <dxf>
      <font/>
      <fill>
        <patternFill patternType="solid">
          <fgColor rgb="FFFF7FFF"/>
          <bgColor rgb="FFFF7FF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atthew Murphy" id="{6b0a9dfd-3f8f-4f68-84b7-f78933e2b93d}" providerId="google-sheets"/>
  <x18tc:person displayName="" id="{ec6decf3-1e49-42d1-b92b-bc738ab43666}"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7-30T18:21:38.00" personId="{ec6decf3-1e49-42d1-b92b-bc738ab43666}" id="{82df73a6-aa2c-498e-a06d-240f99bbf58e}" done="0">
    <x18tc:text xml:space="preserve">Automatically generated based on all the other columns. 
Highlight this whole column (except the header) and copy/paste it into your SPID distribution ini file.</x18tc:text>
  </x18tc:threadedComment>
  <x18tc:threadedComment ref="A1" dT="2026-07-30T18:21:38.00" personId="{ec6decf3-1e49-42d1-b92b-bc738ab43666}" id="{bdbaf637-99b1-45b7-9ec4-fe92ec29fe6f}" done="0">
    <x18tc:text xml:space="preserve">Select an alternate hairstyle if you want. The vanilla hairstyle will be commented out in the SPID form if anything is entered here.
Dropdown options are based on the NPC's hair category.</x18tc:text>
  </x18tc:threadedComment>
  <x18tc:threadedComment ref="A1" dT="2026-07-30T18:21:38.00" personId="{ec6decf3-1e49-42d1-b92b-bc738ab43666}" id="{29457d3e-8721-4177-97be-6a6b45883bba}" done="0">
    <x18tc:text xml:space="preserve">Add an X (or anything) here to have the NPC's alternate hairstyle commented out in the SPID form.</x18tc:text>
  </x18tc:threadedComment>
  <x18tc:threadedComment ref="A1" dT="2026-07-30T18:21:38.00" personId="{6b0a9dfd-3f8f-4f68-84b7-f78933e2b93d}" id="{ac5cd1ad-f4a2-499c-a91c-ab26787f52c2}" done="0">
    <x18tc:text xml:space="preserve">The name of the NPC's Vanilla Hairstyle.</x18tc:text>
  </x18tc:threadedComment>
  <x18tc:threadedComment ref="A1" dT="2026-07-30T18:21:38.00" personId="{ec6decf3-1e49-42d1-b92b-bc738ab43666}" id="{24ad3ac6-ddfe-4cc3-ae57-4d6d1eb41829}" done="0">
    <x18tc:text xml:space="preserve">Race is used to check the validity of the chosen wig.</x18tc:text>
  </x18tc:threadedComment>
  <x18tc:threadedComment ref="A1" dT="2026-07-30T18:21:38.00" personId="{ec6decf3-1e49-42d1-b92b-bc738ab43666}" id="{d3f2ce71-fdc0-45c3-9069-33010ea251c2}" done="0">
    <x18tc:text xml:space="preserve">Gender is used to check the validity of the chosen wig.</x18tc:text>
  </x18tc:threadedComment>
  <x18tc:threadedComment ref="A1" dT="2026-07-30T18:21:38.00" personId="{ec6decf3-1e49-42d1-b92b-bc738ab43666}" id="{ee48a2ae-5583-41f1-8fc6-fe69f7420bfb}" done="0">
    <x18tc:text xml:space="preserve">The FormID can be handy when running player.placeatme commands in-game to see how the new hairstyle looks.</x18tc:text>
  </x18tc:threadedComment>
  <x18tc:threadedComment ref="A1" dT="2026-07-30T18:21:38.00" personId="{ec6decf3-1e49-42d1-b92b-bc738ab43666}" id="{b718b5ba-23dd-42f0-a841-a93c0e853021}" done="0">
    <x18tc:text xml:space="preserve">Enter an NPC's EditorID here. If it's in the "NPC List" tab, the NPC's info will automatically populate in the other columns.</x18tc:text>
  </x18tc:threadedComment>
  <x18tc:threadedComment ref="A1" dT="2026-07-30T18:21:38.00" personId="{ec6decf3-1e49-42d1-b92b-bc738ab43666}" id="{c0998ca5-f2bc-4988-916b-5e0df328f808}" done="0">
    <x18tc:text xml:space="preserve">Notes will appear next to the NPC's name in the SPID form.</x18tc:text>
  </x18tc:threadedComment>
  <x18tc:threadedComment ref="A1" dT="2026-07-30T18:21:38.00" personId="{ec6decf3-1e49-42d1-b92b-bc738ab43666}" id="{46843d71-5ef8-499b-a646-16e548ccd5f1}" done="0">
    <x18tc:text xml:space="preserve">The NPC's Vanilla Hairstyle. This will appear in the SPID form, but can be overridden by choosing an alternate hairstyle.</x18tc:text>
  </x18tc:threadedComment>
  <x18tc:threadedComment ref="A1" dT="2026-07-30T18:21:38.00" personId="{ec6decf3-1e49-42d1-b92b-bc738ab43666}" id="{09a94faa-b3ec-44be-b9dc-df5e393c2b3f}" done="0">
    <x18tc:text xml:space="preserve">Add an X (or anything) here to have the NPC's vanilla hairstyle commented out in the SPID form. It will automatically be commented out if an alternate hairstyle is added.</x18tc:text>
  </x18tc:threadedComment>
  <x18tc:threadedComment ref="A1" dT="2026-07-30T18:21:38.00" personId="{6b0a9dfd-3f8f-4f68-84b7-f78933e2b93d}" id="{f3503ee6-8cd2-49d3-9f6a-07a58e36f907}" done="0">
    <x18tc:text xml:space="preserve">Used to determine which hairstyles are available to the NPC</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www.patreon.com/posts/75589695?collection=209996" TargetMode="External"/><Relationship Id="rId22" Type="http://schemas.openxmlformats.org/officeDocument/2006/relationships/hyperlink" Target="https://www.patreon.com/posts/71131410?collection=209996" TargetMode="External"/><Relationship Id="rId21" Type="http://schemas.openxmlformats.org/officeDocument/2006/relationships/hyperlink" Target="https://www.patreon.com/posts/62190804?collection=209996" TargetMode="External"/><Relationship Id="rId24" Type="http://schemas.openxmlformats.org/officeDocument/2006/relationships/hyperlink" Target="https://www.nexusmods.com/skyrimspecialedition/mods/63181" TargetMode="External"/><Relationship Id="rId23" Type="http://schemas.openxmlformats.org/officeDocument/2006/relationships/hyperlink" Target="https://www.nexusmods.com/skyrimspecialedition/mods/183885" TargetMode="External"/><Relationship Id="rId1" Type="http://schemas.openxmlformats.org/officeDocument/2006/relationships/hyperlink" Target="https://www.nexusmods.com/skyrimspecialedition/mods/63979" TargetMode="External"/><Relationship Id="rId2" Type="http://schemas.openxmlformats.org/officeDocument/2006/relationships/hyperlink" Target="https://www.nexusmods.com/skyrimspecialedition/mods/187429" TargetMode="External"/><Relationship Id="rId3" Type="http://schemas.openxmlformats.org/officeDocument/2006/relationships/hyperlink" Target="https://www.patreon.com/dint999/posts/hairpack02-hdt-1-29917266" TargetMode="External"/><Relationship Id="rId4" Type="http://schemas.openxmlformats.org/officeDocument/2006/relationships/hyperlink" Target="https://www.mediafire.com/file/ai9zz0jbh6rb3ks/%5BDint999%5D_BDOR_Hairs_SSE_0.24.7z/file" TargetMode="External"/><Relationship Id="rId9" Type="http://schemas.openxmlformats.org/officeDocument/2006/relationships/hyperlink" Target="https://www.nexusmods.com/skyrimspecialedition/mods/172939" TargetMode="External"/><Relationship Id="rId26" Type="http://schemas.openxmlformats.org/officeDocument/2006/relationships/hyperlink" Target="https://www.nexusmods.com/skyrimspecialedition/mods/174832" TargetMode="External"/><Relationship Id="rId25" Type="http://schemas.openxmlformats.org/officeDocument/2006/relationships/hyperlink" Target="https://www.nexusmods.com/skyrimspecialedition/mods/64259" TargetMode="External"/><Relationship Id="rId28" Type="http://schemas.openxmlformats.org/officeDocument/2006/relationships/hyperlink" Target="https://www.nexusmods.com/skyrimspecialedition/mods/170525" TargetMode="External"/><Relationship Id="rId27" Type="http://schemas.openxmlformats.org/officeDocument/2006/relationships/hyperlink" Target="https://www.nexusmods.com/skyrimspecialedition/mods/31300" TargetMode="External"/><Relationship Id="rId5" Type="http://schemas.openxmlformats.org/officeDocument/2006/relationships/hyperlink" Target="https://www.patreon.com/Caenarvon/posts/happy-new-year-119283988" TargetMode="External"/><Relationship Id="rId6" Type="http://schemas.openxmlformats.org/officeDocument/2006/relationships/hyperlink" Target="https://www.nexusmods.com/skyrimspecialedition/mods/93608" TargetMode="External"/><Relationship Id="rId29" Type="http://schemas.openxmlformats.org/officeDocument/2006/relationships/hyperlink" Target="https://www.nexusmods.com/skyrimspecialedition/mods/56583" TargetMode="External"/><Relationship Id="rId7" Type="http://schemas.openxmlformats.org/officeDocument/2006/relationships/hyperlink" Target="https://www.nexusmods.com/skyrimspecialedition/mods/180029" TargetMode="External"/><Relationship Id="rId8" Type="http://schemas.openxmlformats.org/officeDocument/2006/relationships/hyperlink" Target="https://www.nexusmods.com/skyrimspecialedition/mods/114769" TargetMode="External"/><Relationship Id="rId31" Type="http://schemas.openxmlformats.org/officeDocument/2006/relationships/hyperlink" Target="https://www.nexusmods.com/skyrimspecialedition/mods/72166" TargetMode="External"/><Relationship Id="rId30" Type="http://schemas.openxmlformats.org/officeDocument/2006/relationships/hyperlink" Target="https://www.nexusmods.com/skyrimspecialedition/mods/184585" TargetMode="External"/><Relationship Id="rId11" Type="http://schemas.openxmlformats.org/officeDocument/2006/relationships/hyperlink" Target="https://www.patreon.com/posts/98291872?collection=209996" TargetMode="External"/><Relationship Id="rId33" Type="http://schemas.openxmlformats.org/officeDocument/2006/relationships/drawing" Target="../drawings/drawing3.xml"/><Relationship Id="rId10" Type="http://schemas.openxmlformats.org/officeDocument/2006/relationships/hyperlink" Target="https://www.patreon.com/posts/68250938?collection=209996" TargetMode="External"/><Relationship Id="rId32" Type="http://schemas.openxmlformats.org/officeDocument/2006/relationships/hyperlink" Target="https://www.nexusmods.com/skyrimspecialedition/mods/72351" TargetMode="External"/><Relationship Id="rId13" Type="http://schemas.openxmlformats.org/officeDocument/2006/relationships/hyperlink" Target="https://www.patreon.com/posts/64262256?collection=209996" TargetMode="External"/><Relationship Id="rId12" Type="http://schemas.openxmlformats.org/officeDocument/2006/relationships/hyperlink" Target="https://www.patreon.com/posts/76570894?collection=209996" TargetMode="External"/><Relationship Id="rId15" Type="http://schemas.openxmlformats.org/officeDocument/2006/relationships/hyperlink" Target="https://www.patreon.com/posts/86395571?collection=209996" TargetMode="External"/><Relationship Id="rId14" Type="http://schemas.openxmlformats.org/officeDocument/2006/relationships/hyperlink" Target="https://www.patreon.com/posts/62876423?collection=209996" TargetMode="External"/><Relationship Id="rId17" Type="http://schemas.openxmlformats.org/officeDocument/2006/relationships/hyperlink" Target="https://www.patreon.com/posts/72123559?collection=209996" TargetMode="External"/><Relationship Id="rId16" Type="http://schemas.openxmlformats.org/officeDocument/2006/relationships/hyperlink" Target="https://www.patreon.com/posts/89043767?collection=209996" TargetMode="External"/><Relationship Id="rId19" Type="http://schemas.openxmlformats.org/officeDocument/2006/relationships/hyperlink" Target="https://www.patreon.com/posts/73058791?collection=209996" TargetMode="External"/><Relationship Id="rId18" Type="http://schemas.openxmlformats.org/officeDocument/2006/relationships/hyperlink" Target="https://www.patreon.com/posts/65302074?collection=209996"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35.75"/>
    <col customWidth="1" min="2" max="2" width="9.63"/>
    <col customWidth="1" min="3" max="3" width="34.63"/>
    <col customWidth="1" min="4" max="4" width="19.63"/>
    <col customWidth="1" min="5" max="5" width="6.88"/>
    <col customWidth="1" min="6" max="6" width="22.63"/>
    <col customWidth="1" min="7" max="7" width="7.25"/>
    <col customWidth="1" min="8" max="8" width="22.5"/>
    <col customWidth="1" min="9" max="9" width="15.75"/>
    <col customWidth="1" min="10" max="10" width="16.38"/>
    <col customWidth="1" min="11" max="15" width="29.5"/>
  </cols>
  <sheetData>
    <row r="1" ht="12.75" customHeight="1">
      <c r="A1" s="1" t="s">
        <v>10</v>
      </c>
      <c r="B1" s="1" t="s">
        <v>13</v>
      </c>
      <c r="C1" s="1" t="s">
        <v>15</v>
      </c>
      <c r="D1" s="1" t="s">
        <v>16</v>
      </c>
      <c r="E1" s="1" t="s">
        <v>17</v>
      </c>
      <c r="F1" s="1" t="s">
        <v>18</v>
      </c>
      <c r="G1" s="1" t="s">
        <v>19</v>
      </c>
      <c r="H1" s="1" t="s">
        <v>20</v>
      </c>
      <c r="I1" s="1" t="s">
        <v>21</v>
      </c>
      <c r="J1" s="1" t="s">
        <v>23</v>
      </c>
      <c r="K1" s="1" t="s">
        <v>25</v>
      </c>
      <c r="L1" s="1" t="s">
        <v>27</v>
      </c>
      <c r="M1" s="1" t="s">
        <v>28</v>
      </c>
      <c r="N1" s="9"/>
      <c r="O1" s="9"/>
    </row>
    <row r="2" ht="12.75" customHeight="1">
      <c r="A2" s="5" t="s">
        <v>29</v>
      </c>
      <c r="B2" s="5" t="s">
        <v>31</v>
      </c>
      <c r="C2" s="5" t="s">
        <v>29</v>
      </c>
      <c r="D2" s="5" t="s">
        <v>34</v>
      </c>
      <c r="E2" s="5" t="s">
        <v>35</v>
      </c>
      <c r="F2" s="5" t="s">
        <v>36</v>
      </c>
    </row>
    <row r="3" ht="12.75" customHeight="1">
      <c r="A3" s="5" t="s">
        <v>37</v>
      </c>
      <c r="B3" s="5" t="s">
        <v>39</v>
      </c>
      <c r="C3" s="5" t="s">
        <v>41</v>
      </c>
      <c r="D3" s="5" t="s">
        <v>34</v>
      </c>
      <c r="E3" s="5" t="s">
        <v>42</v>
      </c>
      <c r="F3" s="5" t="s">
        <v>43</v>
      </c>
    </row>
    <row r="4" ht="12.75" customHeight="1">
      <c r="A4" s="5" t="s">
        <v>44</v>
      </c>
      <c r="B4" s="10" t="s">
        <v>45</v>
      </c>
      <c r="C4" s="5" t="s">
        <v>44</v>
      </c>
      <c r="D4" s="5" t="s">
        <v>48</v>
      </c>
      <c r="E4" s="5" t="s">
        <v>35</v>
      </c>
      <c r="F4" s="5" t="s">
        <v>49</v>
      </c>
    </row>
    <row r="5" ht="12.75" customHeight="1">
      <c r="A5" s="5" t="s">
        <v>52</v>
      </c>
      <c r="B5" s="10" t="s">
        <v>53</v>
      </c>
      <c r="C5" s="5" t="s">
        <v>52</v>
      </c>
      <c r="D5" s="5" t="s">
        <v>34</v>
      </c>
      <c r="E5" s="5" t="s">
        <v>42</v>
      </c>
      <c r="F5" s="5" t="s">
        <v>54</v>
      </c>
    </row>
    <row r="6" ht="12.75" customHeight="1">
      <c r="A6" s="5" t="s">
        <v>56</v>
      </c>
      <c r="B6" s="5" t="s">
        <v>58</v>
      </c>
      <c r="C6" s="5" t="s">
        <v>56</v>
      </c>
      <c r="D6" s="5" t="s">
        <v>34</v>
      </c>
      <c r="E6" s="5" t="s">
        <v>42</v>
      </c>
      <c r="F6" s="5" t="s">
        <v>54</v>
      </c>
    </row>
    <row r="7" ht="12.75" customHeight="1">
      <c r="A7" s="5" t="s">
        <v>59</v>
      </c>
      <c r="B7" s="5" t="s">
        <v>62</v>
      </c>
      <c r="C7" s="5" t="s">
        <v>59</v>
      </c>
      <c r="D7" s="5" t="s">
        <v>22</v>
      </c>
      <c r="E7" s="5" t="s">
        <v>42</v>
      </c>
      <c r="F7" s="5" t="s">
        <v>65</v>
      </c>
    </row>
    <row r="8" ht="12.75" customHeight="1">
      <c r="A8" s="5" t="s">
        <v>66</v>
      </c>
      <c r="B8" s="5" t="s">
        <v>68</v>
      </c>
      <c r="C8" s="5" t="s">
        <v>70</v>
      </c>
      <c r="D8" s="5" t="s">
        <v>50</v>
      </c>
      <c r="E8" s="5" t="s">
        <v>35</v>
      </c>
      <c r="F8" s="5" t="s">
        <v>71</v>
      </c>
      <c r="G8" s="10" t="s">
        <v>72</v>
      </c>
    </row>
    <row r="9" ht="12.75" customHeight="1">
      <c r="A9" s="5" t="s">
        <v>73</v>
      </c>
      <c r="B9" s="5" t="s">
        <v>75</v>
      </c>
      <c r="C9" s="5" t="s">
        <v>73</v>
      </c>
      <c r="D9" s="5" t="s">
        <v>34</v>
      </c>
      <c r="E9" s="5" t="s">
        <v>35</v>
      </c>
      <c r="F9" s="5" t="s">
        <v>77</v>
      </c>
    </row>
    <row r="10" ht="12.75" customHeight="1">
      <c r="A10" s="5" t="s">
        <v>78</v>
      </c>
      <c r="B10" s="5" t="s">
        <v>79</v>
      </c>
      <c r="C10" s="5" t="s">
        <v>81</v>
      </c>
      <c r="D10" s="5" t="s">
        <v>50</v>
      </c>
      <c r="E10" s="5" t="s">
        <v>42</v>
      </c>
      <c r="F10" s="5" t="s">
        <v>83</v>
      </c>
    </row>
    <row r="11" ht="12.75" customHeight="1">
      <c r="A11" s="5" t="s">
        <v>84</v>
      </c>
      <c r="B11" s="5" t="s">
        <v>86</v>
      </c>
      <c r="C11" s="5" t="s">
        <v>87</v>
      </c>
      <c r="D11" s="5" t="s">
        <v>50</v>
      </c>
      <c r="E11" s="5" t="s">
        <v>35</v>
      </c>
      <c r="F11" s="5" t="s">
        <v>90</v>
      </c>
    </row>
    <row r="12" ht="12.75" customHeight="1">
      <c r="A12" s="5" t="s">
        <v>91</v>
      </c>
      <c r="B12" s="5" t="s">
        <v>92</v>
      </c>
      <c r="C12" s="5" t="s">
        <v>93</v>
      </c>
      <c r="D12" s="5" t="s">
        <v>30</v>
      </c>
      <c r="E12" s="5" t="s">
        <v>35</v>
      </c>
      <c r="F12" s="5" t="s">
        <v>96</v>
      </c>
    </row>
    <row r="13" ht="12.75" customHeight="1">
      <c r="A13" s="5" t="s">
        <v>97</v>
      </c>
      <c r="B13" s="5" t="s">
        <v>98</v>
      </c>
      <c r="C13" s="5" t="s">
        <v>99</v>
      </c>
      <c r="D13" s="5" t="s">
        <v>34</v>
      </c>
      <c r="E13" s="5" t="s">
        <v>35</v>
      </c>
      <c r="F13" s="5" t="s">
        <v>104</v>
      </c>
      <c r="G13" s="10" t="s">
        <v>72</v>
      </c>
    </row>
    <row r="14" ht="12.75" customHeight="1">
      <c r="A14" s="5" t="s">
        <v>106</v>
      </c>
      <c r="B14" s="5" t="s">
        <v>107</v>
      </c>
      <c r="C14" s="5" t="s">
        <v>106</v>
      </c>
      <c r="D14" s="5" t="s">
        <v>34</v>
      </c>
      <c r="E14" s="5" t="s">
        <v>35</v>
      </c>
      <c r="F14" s="5" t="s">
        <v>110</v>
      </c>
    </row>
    <row r="15" ht="12.75" customHeight="1">
      <c r="A15" s="5" t="s">
        <v>111</v>
      </c>
      <c r="B15" s="10" t="s">
        <v>112</v>
      </c>
      <c r="C15" s="5" t="s">
        <v>111</v>
      </c>
      <c r="D15" s="5" t="s">
        <v>50</v>
      </c>
      <c r="E15" s="5" t="s">
        <v>42</v>
      </c>
      <c r="F15" s="5" t="s">
        <v>113</v>
      </c>
    </row>
    <row r="16" ht="12.75" customHeight="1">
      <c r="A16" s="5" t="s">
        <v>114</v>
      </c>
      <c r="B16" s="5" t="s">
        <v>115</v>
      </c>
      <c r="C16" s="5" t="s">
        <v>114</v>
      </c>
      <c r="D16" s="5" t="s">
        <v>34</v>
      </c>
      <c r="E16" s="5" t="s">
        <v>35</v>
      </c>
      <c r="F16" s="5" t="s">
        <v>118</v>
      </c>
      <c r="H16" s="5" t="s">
        <v>119</v>
      </c>
    </row>
    <row r="17" ht="12.75" customHeight="1">
      <c r="A17" s="5" t="s">
        <v>120</v>
      </c>
      <c r="B17" s="10" t="s">
        <v>121</v>
      </c>
      <c r="C17" s="5" t="s">
        <v>120</v>
      </c>
      <c r="D17" s="5" t="s">
        <v>124</v>
      </c>
      <c r="E17" s="5" t="s">
        <v>35</v>
      </c>
      <c r="F17" s="5" t="s">
        <v>125</v>
      </c>
    </row>
    <row r="18" ht="12.75" customHeight="1">
      <c r="A18" s="5" t="s">
        <v>126</v>
      </c>
      <c r="B18" s="10" t="s">
        <v>128</v>
      </c>
      <c r="C18" s="5" t="s">
        <v>126</v>
      </c>
      <c r="D18" s="5" t="s">
        <v>34</v>
      </c>
      <c r="E18" s="5" t="s">
        <v>35</v>
      </c>
      <c r="F18" s="5" t="s">
        <v>36</v>
      </c>
    </row>
    <row r="19" ht="12.75" customHeight="1">
      <c r="A19" s="5" t="s">
        <v>130</v>
      </c>
      <c r="B19" s="5" t="s">
        <v>131</v>
      </c>
      <c r="C19" s="5" t="s">
        <v>130</v>
      </c>
      <c r="D19" s="5" t="s">
        <v>55</v>
      </c>
      <c r="E19" s="5" t="s">
        <v>35</v>
      </c>
      <c r="F19" s="5" t="s">
        <v>134</v>
      </c>
    </row>
    <row r="20" ht="12.75" customHeight="1">
      <c r="A20" s="5" t="s">
        <v>135</v>
      </c>
      <c r="B20" s="5" t="s">
        <v>136</v>
      </c>
      <c r="C20" s="5" t="s">
        <v>135</v>
      </c>
      <c r="D20" s="5" t="s">
        <v>74</v>
      </c>
      <c r="E20" s="5" t="s">
        <v>35</v>
      </c>
      <c r="F20" s="5" t="s">
        <v>90</v>
      </c>
    </row>
    <row r="21" ht="12.75" customHeight="1">
      <c r="A21" s="5" t="s">
        <v>139</v>
      </c>
      <c r="B21" s="5" t="s">
        <v>140</v>
      </c>
      <c r="C21" s="5" t="s">
        <v>139</v>
      </c>
      <c r="D21" s="5" t="s">
        <v>74</v>
      </c>
      <c r="E21" s="5" t="s">
        <v>42</v>
      </c>
      <c r="F21" s="5" t="s">
        <v>146</v>
      </c>
      <c r="G21" s="10" t="s">
        <v>72</v>
      </c>
    </row>
    <row r="22" ht="12.75" customHeight="1">
      <c r="A22" s="5" t="s">
        <v>147</v>
      </c>
      <c r="B22" s="5" t="s">
        <v>148</v>
      </c>
      <c r="C22" s="5" t="s">
        <v>149</v>
      </c>
      <c r="D22" s="5" t="s">
        <v>50</v>
      </c>
      <c r="E22" s="5" t="s">
        <v>35</v>
      </c>
      <c r="F22" s="5" t="s">
        <v>90</v>
      </c>
    </row>
    <row r="23" ht="12.75" customHeight="1">
      <c r="A23" s="5" t="s">
        <v>152</v>
      </c>
      <c r="B23" s="5" t="s">
        <v>153</v>
      </c>
      <c r="C23" s="5" t="s">
        <v>152</v>
      </c>
      <c r="D23" s="5" t="s">
        <v>46</v>
      </c>
      <c r="E23" s="5" t="s">
        <v>42</v>
      </c>
      <c r="F23" s="5" t="s">
        <v>157</v>
      </c>
      <c r="G23" s="10" t="s">
        <v>72</v>
      </c>
    </row>
    <row r="24" ht="12.75" customHeight="1">
      <c r="A24" s="5" t="s">
        <v>159</v>
      </c>
      <c r="B24" s="5" t="s">
        <v>160</v>
      </c>
      <c r="C24" s="5" t="s">
        <v>159</v>
      </c>
      <c r="D24" s="5" t="s">
        <v>22</v>
      </c>
      <c r="E24" s="5" t="s">
        <v>42</v>
      </c>
      <c r="F24" s="5" t="s">
        <v>162</v>
      </c>
    </row>
    <row r="25" ht="12.75" customHeight="1">
      <c r="A25" s="5" t="s">
        <v>164</v>
      </c>
      <c r="B25" s="5" t="s">
        <v>165</v>
      </c>
      <c r="C25" s="5" t="s">
        <v>166</v>
      </c>
      <c r="D25" s="5" t="s">
        <v>22</v>
      </c>
      <c r="E25" s="5" t="s">
        <v>42</v>
      </c>
      <c r="F25" s="5" t="s">
        <v>167</v>
      </c>
    </row>
    <row r="26" ht="12.75" customHeight="1">
      <c r="A26" s="5" t="s">
        <v>169</v>
      </c>
      <c r="B26" s="10" t="s">
        <v>171</v>
      </c>
      <c r="C26" s="5" t="s">
        <v>169</v>
      </c>
      <c r="D26" s="5" t="s">
        <v>50</v>
      </c>
      <c r="E26" s="5" t="s">
        <v>35</v>
      </c>
      <c r="F26" s="5" t="s">
        <v>172</v>
      </c>
    </row>
    <row r="27" ht="12.75" customHeight="1">
      <c r="A27" s="5" t="s">
        <v>173</v>
      </c>
      <c r="B27" s="5" t="s">
        <v>175</v>
      </c>
      <c r="C27" s="5" t="s">
        <v>176</v>
      </c>
      <c r="D27" s="5" t="s">
        <v>50</v>
      </c>
      <c r="E27" s="5" t="s">
        <v>35</v>
      </c>
      <c r="F27" s="5" t="s">
        <v>90</v>
      </c>
    </row>
    <row r="28" ht="12.75" customHeight="1">
      <c r="A28" s="5" t="s">
        <v>177</v>
      </c>
      <c r="B28" s="5" t="s">
        <v>179</v>
      </c>
      <c r="C28" s="5" t="s">
        <v>180</v>
      </c>
      <c r="D28" s="5" t="s">
        <v>34</v>
      </c>
      <c r="E28" s="5" t="s">
        <v>35</v>
      </c>
      <c r="F28" s="5" t="s">
        <v>36</v>
      </c>
    </row>
    <row r="29" ht="12.75" customHeight="1">
      <c r="A29" s="5" t="s">
        <v>184</v>
      </c>
      <c r="B29" s="10" t="s">
        <v>186</v>
      </c>
      <c r="C29" s="5" t="s">
        <v>184</v>
      </c>
      <c r="D29" s="5" t="s">
        <v>34</v>
      </c>
      <c r="E29" s="5" t="s">
        <v>35</v>
      </c>
      <c r="F29" s="5" t="s">
        <v>189</v>
      </c>
      <c r="G29" s="10" t="s">
        <v>72</v>
      </c>
    </row>
    <row r="30" ht="12.75" customHeight="1">
      <c r="A30" s="5" t="s">
        <v>190</v>
      </c>
      <c r="B30" s="10" t="s">
        <v>192</v>
      </c>
      <c r="C30" s="5" t="s">
        <v>190</v>
      </c>
      <c r="D30" s="5" t="s">
        <v>34</v>
      </c>
      <c r="E30" s="5" t="s">
        <v>42</v>
      </c>
      <c r="F30" s="5" t="s">
        <v>65</v>
      </c>
    </row>
    <row r="31" ht="12.75" customHeight="1">
      <c r="A31" s="5" t="s">
        <v>194</v>
      </c>
      <c r="B31" s="5" t="s">
        <v>196</v>
      </c>
      <c r="C31" s="5" t="s">
        <v>198</v>
      </c>
      <c r="D31" s="5" t="s">
        <v>22</v>
      </c>
      <c r="E31" s="5" t="s">
        <v>42</v>
      </c>
      <c r="F31" s="5" t="s">
        <v>199</v>
      </c>
    </row>
    <row r="32" ht="12.75" customHeight="1">
      <c r="A32" s="5" t="s">
        <v>200</v>
      </c>
      <c r="B32" s="5" t="s">
        <v>202</v>
      </c>
      <c r="C32" s="5" t="s">
        <v>198</v>
      </c>
      <c r="D32" s="5" t="s">
        <v>22</v>
      </c>
      <c r="E32" s="5" t="s">
        <v>42</v>
      </c>
      <c r="F32" s="5" t="s">
        <v>54</v>
      </c>
    </row>
    <row r="33" ht="12.75" customHeight="1">
      <c r="A33" s="5" t="s">
        <v>205</v>
      </c>
      <c r="B33" s="5" t="s">
        <v>207</v>
      </c>
      <c r="C33" s="5" t="s">
        <v>208</v>
      </c>
      <c r="D33" s="5" t="s">
        <v>30</v>
      </c>
      <c r="E33" s="5" t="s">
        <v>42</v>
      </c>
      <c r="F33" s="5" t="s">
        <v>211</v>
      </c>
    </row>
    <row r="34" ht="12.75" customHeight="1">
      <c r="A34" s="5" t="s">
        <v>214</v>
      </c>
      <c r="B34" s="5" t="s">
        <v>217</v>
      </c>
      <c r="C34" s="5" t="s">
        <v>214</v>
      </c>
      <c r="D34" s="5" t="s">
        <v>74</v>
      </c>
      <c r="E34" s="5" t="s">
        <v>42</v>
      </c>
      <c r="F34" s="5" t="s">
        <v>219</v>
      </c>
    </row>
    <row r="35" ht="12.75" customHeight="1">
      <c r="A35" s="5" t="s">
        <v>220</v>
      </c>
      <c r="B35" s="5" t="s">
        <v>222</v>
      </c>
      <c r="C35" s="5" t="s">
        <v>220</v>
      </c>
      <c r="D35" s="5" t="s">
        <v>46</v>
      </c>
      <c r="E35" s="5" t="s">
        <v>42</v>
      </c>
      <c r="F35" s="5" t="s">
        <v>157</v>
      </c>
      <c r="G35" s="10" t="s">
        <v>72</v>
      </c>
    </row>
    <row r="36" ht="12.75" customHeight="1">
      <c r="A36" s="5" t="s">
        <v>224</v>
      </c>
      <c r="B36" s="5" t="s">
        <v>226</v>
      </c>
      <c r="C36" s="5" t="s">
        <v>224</v>
      </c>
      <c r="D36" s="5" t="s">
        <v>34</v>
      </c>
      <c r="E36" s="5" t="s">
        <v>42</v>
      </c>
      <c r="F36" s="5" t="s">
        <v>228</v>
      </c>
    </row>
    <row r="37" ht="12.75" customHeight="1">
      <c r="A37" s="5" t="s">
        <v>229</v>
      </c>
      <c r="B37" s="10" t="s">
        <v>231</v>
      </c>
      <c r="C37" s="5" t="s">
        <v>233</v>
      </c>
      <c r="D37" s="5" t="s">
        <v>22</v>
      </c>
      <c r="E37" s="5" t="s">
        <v>35</v>
      </c>
      <c r="F37" s="5" t="s">
        <v>36</v>
      </c>
    </row>
    <row r="38" ht="12.75" customHeight="1">
      <c r="A38" s="5" t="s">
        <v>234</v>
      </c>
      <c r="B38" s="10" t="s">
        <v>235</v>
      </c>
      <c r="C38" s="5" t="s">
        <v>236</v>
      </c>
      <c r="D38" s="5" t="s">
        <v>34</v>
      </c>
      <c r="E38" s="5" t="s">
        <v>42</v>
      </c>
      <c r="F38" s="5" t="s">
        <v>238</v>
      </c>
    </row>
    <row r="39" ht="12.75" customHeight="1">
      <c r="A39" s="5" t="s">
        <v>240</v>
      </c>
      <c r="B39" s="5" t="s">
        <v>241</v>
      </c>
      <c r="C39" s="5" t="s">
        <v>240</v>
      </c>
      <c r="D39" s="5" t="s">
        <v>34</v>
      </c>
      <c r="E39" s="5" t="s">
        <v>42</v>
      </c>
      <c r="F39" s="5" t="s">
        <v>199</v>
      </c>
    </row>
    <row r="40" ht="12.75" customHeight="1">
      <c r="A40" s="5" t="s">
        <v>244</v>
      </c>
      <c r="B40" s="10" t="s">
        <v>246</v>
      </c>
      <c r="C40" s="5" t="s">
        <v>248</v>
      </c>
      <c r="D40" s="5" t="s">
        <v>34</v>
      </c>
      <c r="E40" s="5" t="s">
        <v>35</v>
      </c>
      <c r="F40" s="5" t="s">
        <v>36</v>
      </c>
      <c r="G40" s="10" t="s">
        <v>72</v>
      </c>
    </row>
    <row r="41" ht="12.75" customHeight="1">
      <c r="A41" s="5" t="s">
        <v>251</v>
      </c>
      <c r="B41" s="5" t="s">
        <v>253</v>
      </c>
      <c r="C41" s="5" t="s">
        <v>251</v>
      </c>
      <c r="D41" s="5" t="s">
        <v>80</v>
      </c>
      <c r="E41" s="5" t="s">
        <v>42</v>
      </c>
      <c r="F41" s="5" t="s">
        <v>211</v>
      </c>
    </row>
    <row r="42" ht="12.75" customHeight="1">
      <c r="A42" s="5" t="s">
        <v>254</v>
      </c>
      <c r="B42" s="10" t="s">
        <v>256</v>
      </c>
      <c r="C42" s="5" t="s">
        <v>257</v>
      </c>
      <c r="D42" s="5" t="s">
        <v>22</v>
      </c>
      <c r="E42" s="5" t="s">
        <v>42</v>
      </c>
      <c r="F42" s="5" t="s">
        <v>162</v>
      </c>
    </row>
    <row r="43" ht="12.75" customHeight="1">
      <c r="A43" s="5" t="s">
        <v>259</v>
      </c>
      <c r="B43" s="10" t="s">
        <v>260</v>
      </c>
      <c r="C43" s="5" t="s">
        <v>259</v>
      </c>
      <c r="D43" s="5" t="s">
        <v>80</v>
      </c>
      <c r="E43" s="5" t="s">
        <v>35</v>
      </c>
      <c r="F43" s="5" t="s">
        <v>263</v>
      </c>
    </row>
    <row r="44" ht="12.75" customHeight="1">
      <c r="A44" s="5" t="s">
        <v>264</v>
      </c>
      <c r="B44" s="10" t="s">
        <v>265</v>
      </c>
      <c r="C44" s="5" t="s">
        <v>264</v>
      </c>
      <c r="D44" s="5" t="s">
        <v>74</v>
      </c>
      <c r="E44" s="5" t="s">
        <v>35</v>
      </c>
      <c r="F44" s="5" t="s">
        <v>267</v>
      </c>
    </row>
    <row r="45" ht="12.75" customHeight="1">
      <c r="A45" s="5" t="s">
        <v>269</v>
      </c>
      <c r="B45" s="5" t="s">
        <v>270</v>
      </c>
      <c r="C45" s="5" t="s">
        <v>271</v>
      </c>
      <c r="D45" s="5" t="s">
        <v>50</v>
      </c>
      <c r="E45" s="5" t="s">
        <v>42</v>
      </c>
      <c r="F45" s="5" t="s">
        <v>238</v>
      </c>
    </row>
    <row r="46" ht="12.75" customHeight="1">
      <c r="A46" s="5" t="s">
        <v>274</v>
      </c>
      <c r="B46" s="5" t="s">
        <v>275</v>
      </c>
      <c r="C46" s="5" t="s">
        <v>274</v>
      </c>
      <c r="D46" s="5" t="s">
        <v>50</v>
      </c>
      <c r="E46" s="5" t="s">
        <v>35</v>
      </c>
      <c r="F46" s="5" t="s">
        <v>278</v>
      </c>
    </row>
    <row r="47" ht="12.75" customHeight="1">
      <c r="A47" s="5" t="s">
        <v>281</v>
      </c>
      <c r="B47" s="10" t="s">
        <v>283</v>
      </c>
      <c r="C47" s="5" t="s">
        <v>284</v>
      </c>
      <c r="D47" s="5" t="s">
        <v>34</v>
      </c>
      <c r="E47" s="5" t="s">
        <v>35</v>
      </c>
      <c r="F47" s="5" t="s">
        <v>77</v>
      </c>
    </row>
    <row r="48" ht="12.75" customHeight="1">
      <c r="A48" s="5" t="s">
        <v>289</v>
      </c>
      <c r="B48" s="5" t="s">
        <v>290</v>
      </c>
      <c r="D48" s="5" t="s">
        <v>12</v>
      </c>
      <c r="E48" s="5" t="s">
        <v>35</v>
      </c>
      <c r="F48" s="5" t="s">
        <v>292</v>
      </c>
    </row>
    <row r="49" ht="12.75" customHeight="1">
      <c r="A49" s="5" t="s">
        <v>294</v>
      </c>
      <c r="B49" s="5" t="s">
        <v>295</v>
      </c>
      <c r="D49" s="5" t="s">
        <v>12</v>
      </c>
      <c r="E49" s="5" t="s">
        <v>35</v>
      </c>
      <c r="F49" s="5" t="s">
        <v>297</v>
      </c>
    </row>
    <row r="50" ht="12.75" customHeight="1">
      <c r="A50" s="5" t="s">
        <v>300</v>
      </c>
      <c r="B50" s="5" t="s">
        <v>301</v>
      </c>
      <c r="D50" s="5" t="s">
        <v>12</v>
      </c>
      <c r="E50" s="5" t="s">
        <v>35</v>
      </c>
      <c r="F50" s="5" t="s">
        <v>302</v>
      </c>
    </row>
    <row r="51" ht="12.75" customHeight="1">
      <c r="A51" s="5" t="s">
        <v>304</v>
      </c>
      <c r="B51" s="5" t="s">
        <v>306</v>
      </c>
      <c r="D51" s="5" t="s">
        <v>12</v>
      </c>
      <c r="E51" s="5" t="s">
        <v>35</v>
      </c>
      <c r="F51" s="5" t="s">
        <v>309</v>
      </c>
    </row>
    <row r="52" ht="12.75" customHeight="1">
      <c r="A52" s="5" t="s">
        <v>311</v>
      </c>
      <c r="B52" s="5" t="s">
        <v>313</v>
      </c>
      <c r="D52" s="5" t="s">
        <v>12</v>
      </c>
      <c r="E52" s="5" t="s">
        <v>35</v>
      </c>
      <c r="F52" s="5" t="s">
        <v>315</v>
      </c>
    </row>
    <row r="53" ht="12.75" customHeight="1">
      <c r="A53" s="5" t="s">
        <v>316</v>
      </c>
      <c r="B53" s="5" t="s">
        <v>317</v>
      </c>
      <c r="D53" s="5" t="s">
        <v>12</v>
      </c>
      <c r="E53" s="5" t="s">
        <v>35</v>
      </c>
      <c r="F53" s="5" t="s">
        <v>320</v>
      </c>
    </row>
    <row r="54" ht="12.75" customHeight="1">
      <c r="A54" s="5" t="s">
        <v>321</v>
      </c>
      <c r="B54" s="5" t="s">
        <v>322</v>
      </c>
      <c r="D54" s="5" t="s">
        <v>12</v>
      </c>
      <c r="E54" s="5" t="s">
        <v>35</v>
      </c>
      <c r="F54" s="5" t="s">
        <v>324</v>
      </c>
    </row>
    <row r="55" ht="12.75" customHeight="1">
      <c r="A55" s="5" t="s">
        <v>326</v>
      </c>
      <c r="B55" s="5" t="s">
        <v>327</v>
      </c>
      <c r="D55" s="5" t="s">
        <v>12</v>
      </c>
      <c r="E55" s="5" t="s">
        <v>35</v>
      </c>
      <c r="F55" s="5" t="s">
        <v>328</v>
      </c>
    </row>
    <row r="56" ht="12.75" customHeight="1">
      <c r="A56" s="5" t="s">
        <v>331</v>
      </c>
      <c r="B56" s="5" t="s">
        <v>332</v>
      </c>
      <c r="D56" s="5" t="s">
        <v>12</v>
      </c>
      <c r="E56" s="5" t="s">
        <v>35</v>
      </c>
      <c r="F56" s="5" t="s">
        <v>333</v>
      </c>
    </row>
    <row r="57" ht="12.75" customHeight="1">
      <c r="A57" s="5" t="s">
        <v>334</v>
      </c>
      <c r="B57" s="5" t="s">
        <v>336</v>
      </c>
      <c r="D57" s="5" t="s">
        <v>12</v>
      </c>
      <c r="E57" s="5" t="s">
        <v>35</v>
      </c>
      <c r="F57" s="5" t="s">
        <v>338</v>
      </c>
    </row>
    <row r="58" ht="12.75" customHeight="1">
      <c r="A58" s="5" t="s">
        <v>339</v>
      </c>
      <c r="B58" s="10" t="s">
        <v>340</v>
      </c>
      <c r="D58" s="5" t="s">
        <v>12</v>
      </c>
      <c r="E58" s="5" t="s">
        <v>42</v>
      </c>
      <c r="F58" s="5" t="s">
        <v>345</v>
      </c>
    </row>
    <row r="59" ht="12.75" customHeight="1">
      <c r="A59" s="5" t="s">
        <v>349</v>
      </c>
      <c r="B59" s="10" t="s">
        <v>350</v>
      </c>
      <c r="D59" s="5" t="s">
        <v>12</v>
      </c>
      <c r="E59" s="5" t="s">
        <v>42</v>
      </c>
      <c r="F59" s="5" t="s">
        <v>351</v>
      </c>
    </row>
    <row r="60" ht="12.75" customHeight="1">
      <c r="A60" s="5" t="s">
        <v>354</v>
      </c>
      <c r="B60" s="5" t="s">
        <v>355</v>
      </c>
      <c r="D60" s="5" t="s">
        <v>12</v>
      </c>
      <c r="E60" s="5" t="s">
        <v>42</v>
      </c>
      <c r="F60" s="5" t="s">
        <v>356</v>
      </c>
    </row>
    <row r="61" ht="12.75" customHeight="1">
      <c r="A61" s="5" t="s">
        <v>358</v>
      </c>
      <c r="B61" s="5" t="s">
        <v>360</v>
      </c>
      <c r="D61" s="5" t="s">
        <v>12</v>
      </c>
      <c r="E61" s="5" t="s">
        <v>42</v>
      </c>
      <c r="F61" s="5" t="s">
        <v>361</v>
      </c>
    </row>
    <row r="62" ht="12.75" customHeight="1">
      <c r="A62" s="5" t="s">
        <v>362</v>
      </c>
      <c r="B62" s="5" t="s">
        <v>364</v>
      </c>
      <c r="D62" s="5" t="s">
        <v>12</v>
      </c>
      <c r="E62" s="5" t="s">
        <v>42</v>
      </c>
      <c r="F62" s="5" t="s">
        <v>366</v>
      </c>
    </row>
    <row r="63" ht="12.75" customHeight="1">
      <c r="A63" s="5" t="s">
        <v>367</v>
      </c>
      <c r="B63" s="5" t="s">
        <v>368</v>
      </c>
      <c r="D63" s="5" t="s">
        <v>12</v>
      </c>
      <c r="E63" s="5" t="s">
        <v>42</v>
      </c>
      <c r="F63" s="5" t="s">
        <v>371</v>
      </c>
    </row>
    <row r="64" ht="12.75" customHeight="1">
      <c r="A64" s="5" t="s">
        <v>372</v>
      </c>
      <c r="B64" s="5" t="s">
        <v>373</v>
      </c>
      <c r="D64" s="5" t="s">
        <v>12</v>
      </c>
      <c r="E64" s="5" t="s">
        <v>42</v>
      </c>
      <c r="F64" s="5" t="s">
        <v>375</v>
      </c>
    </row>
    <row r="65" ht="12.75" customHeight="1">
      <c r="A65" s="5" t="s">
        <v>377</v>
      </c>
      <c r="B65" s="5" t="s">
        <v>378</v>
      </c>
      <c r="D65" s="5" t="s">
        <v>12</v>
      </c>
      <c r="E65" s="5" t="s">
        <v>42</v>
      </c>
      <c r="F65" s="5" t="s">
        <v>379</v>
      </c>
    </row>
    <row r="66" ht="12.75" customHeight="1">
      <c r="A66" s="5" t="s">
        <v>381</v>
      </c>
      <c r="B66" s="5" t="s">
        <v>383</v>
      </c>
      <c r="D66" s="5" t="s">
        <v>12</v>
      </c>
      <c r="E66" s="5" t="s">
        <v>42</v>
      </c>
      <c r="F66" s="5" t="s">
        <v>386</v>
      </c>
    </row>
    <row r="67" ht="12.75" customHeight="1">
      <c r="A67" s="5" t="s">
        <v>388</v>
      </c>
      <c r="B67" s="5" t="s">
        <v>390</v>
      </c>
      <c r="D67" s="5" t="s">
        <v>12</v>
      </c>
      <c r="E67" s="5" t="s">
        <v>42</v>
      </c>
      <c r="F67" s="5" t="s">
        <v>392</v>
      </c>
    </row>
    <row r="68" ht="12.75" customHeight="1">
      <c r="A68" s="5" t="s">
        <v>393</v>
      </c>
      <c r="B68" s="5" t="s">
        <v>394</v>
      </c>
      <c r="C68" s="5" t="s">
        <v>393</v>
      </c>
      <c r="D68" s="5" t="s">
        <v>46</v>
      </c>
      <c r="E68" s="5" t="s">
        <v>42</v>
      </c>
      <c r="F68" s="5" t="s">
        <v>395</v>
      </c>
      <c r="G68" s="10" t="s">
        <v>72</v>
      </c>
    </row>
    <row r="69" ht="12.75" customHeight="1">
      <c r="A69" s="5" t="s">
        <v>396</v>
      </c>
      <c r="B69" s="10" t="s">
        <v>397</v>
      </c>
      <c r="C69" s="5" t="s">
        <v>396</v>
      </c>
      <c r="D69" s="5" t="s">
        <v>46</v>
      </c>
      <c r="E69" s="5" t="s">
        <v>35</v>
      </c>
      <c r="F69" s="5" t="s">
        <v>263</v>
      </c>
    </row>
    <row r="70" ht="12.75" customHeight="1">
      <c r="A70" s="5" t="s">
        <v>398</v>
      </c>
      <c r="B70" s="5" t="s">
        <v>399</v>
      </c>
      <c r="C70" s="5" t="s">
        <v>398</v>
      </c>
      <c r="D70" s="5" t="s">
        <v>34</v>
      </c>
      <c r="E70" s="5" t="s">
        <v>42</v>
      </c>
      <c r="F70" s="5" t="s">
        <v>400</v>
      </c>
      <c r="G70" s="10" t="s">
        <v>72</v>
      </c>
    </row>
    <row r="71" ht="12.75" customHeight="1">
      <c r="A71" s="5" t="s">
        <v>401</v>
      </c>
      <c r="B71" s="5" t="s">
        <v>402</v>
      </c>
      <c r="C71" s="5" t="s">
        <v>401</v>
      </c>
      <c r="D71" s="5" t="s">
        <v>38</v>
      </c>
      <c r="E71" s="5" t="s">
        <v>42</v>
      </c>
      <c r="F71" s="5" t="s">
        <v>400</v>
      </c>
    </row>
    <row r="72" ht="12.75" customHeight="1">
      <c r="A72" s="5" t="s">
        <v>403</v>
      </c>
      <c r="B72" s="5" t="s">
        <v>404</v>
      </c>
      <c r="C72" s="5" t="s">
        <v>405</v>
      </c>
      <c r="D72" s="5" t="s">
        <v>22</v>
      </c>
      <c r="E72" s="5" t="s">
        <v>42</v>
      </c>
      <c r="F72" s="5" t="s">
        <v>162</v>
      </c>
    </row>
    <row r="73" ht="12.75" customHeight="1">
      <c r="A73" s="5" t="s">
        <v>406</v>
      </c>
      <c r="B73" s="5" t="s">
        <v>407</v>
      </c>
      <c r="C73" s="5" t="s">
        <v>408</v>
      </c>
      <c r="D73" s="5" t="s">
        <v>34</v>
      </c>
      <c r="E73" s="5" t="s">
        <v>42</v>
      </c>
      <c r="F73" s="5" t="s">
        <v>162</v>
      </c>
      <c r="G73" s="10" t="s">
        <v>72</v>
      </c>
    </row>
    <row r="74" ht="12.75" customHeight="1">
      <c r="A74" s="5" t="s">
        <v>409</v>
      </c>
      <c r="B74" s="5" t="s">
        <v>410</v>
      </c>
      <c r="C74" s="5" t="s">
        <v>409</v>
      </c>
      <c r="D74" s="5" t="s">
        <v>67</v>
      </c>
      <c r="E74" s="5" t="s">
        <v>35</v>
      </c>
      <c r="F74" s="5" t="s">
        <v>411</v>
      </c>
    </row>
    <row r="75" ht="12.75" customHeight="1">
      <c r="A75" s="5" t="s">
        <v>412</v>
      </c>
      <c r="B75" s="5" t="s">
        <v>413</v>
      </c>
      <c r="C75" s="5" t="s">
        <v>414</v>
      </c>
      <c r="D75" s="5" t="s">
        <v>34</v>
      </c>
      <c r="E75" s="5" t="s">
        <v>42</v>
      </c>
      <c r="F75" s="5" t="s">
        <v>228</v>
      </c>
    </row>
    <row r="76" ht="12.75" customHeight="1">
      <c r="A76" s="5" t="s">
        <v>415</v>
      </c>
      <c r="B76" s="5" t="s">
        <v>417</v>
      </c>
      <c r="C76" s="5" t="s">
        <v>419</v>
      </c>
      <c r="D76" s="5" t="s">
        <v>34</v>
      </c>
      <c r="E76" s="5" t="s">
        <v>42</v>
      </c>
      <c r="F76" s="5" t="s">
        <v>199</v>
      </c>
    </row>
    <row r="77" ht="12.75" customHeight="1">
      <c r="A77" s="5" t="s">
        <v>421</v>
      </c>
      <c r="B77" s="10" t="s">
        <v>422</v>
      </c>
      <c r="C77" s="5" t="s">
        <v>421</v>
      </c>
      <c r="D77" s="5" t="s">
        <v>34</v>
      </c>
      <c r="E77" s="5" t="s">
        <v>42</v>
      </c>
      <c r="F77" s="5" t="s">
        <v>423</v>
      </c>
    </row>
    <row r="78" ht="12.75" customHeight="1">
      <c r="A78" s="5" t="s">
        <v>424</v>
      </c>
      <c r="B78" s="5" t="s">
        <v>425</v>
      </c>
      <c r="C78" s="5" t="s">
        <v>424</v>
      </c>
      <c r="D78" s="5" t="s">
        <v>124</v>
      </c>
      <c r="E78" s="5" t="s">
        <v>42</v>
      </c>
      <c r="F78" s="5" t="s">
        <v>426</v>
      </c>
    </row>
    <row r="79" ht="12.75" customHeight="1">
      <c r="A79" s="5" t="s">
        <v>427</v>
      </c>
      <c r="B79" s="5" t="s">
        <v>428</v>
      </c>
      <c r="C79" s="5" t="s">
        <v>427</v>
      </c>
      <c r="D79" s="5" t="s">
        <v>34</v>
      </c>
      <c r="E79" s="5" t="s">
        <v>35</v>
      </c>
      <c r="F79" s="5" t="s">
        <v>429</v>
      </c>
      <c r="G79" s="10" t="s">
        <v>72</v>
      </c>
    </row>
    <row r="80" ht="12.75" customHeight="1">
      <c r="A80" s="5" t="s">
        <v>430</v>
      </c>
      <c r="B80" s="5" t="s">
        <v>431</v>
      </c>
      <c r="C80" s="5" t="s">
        <v>427</v>
      </c>
      <c r="D80" s="5" t="s">
        <v>191</v>
      </c>
      <c r="E80" s="5" t="s">
        <v>35</v>
      </c>
      <c r="F80" s="5" t="s">
        <v>77</v>
      </c>
    </row>
    <row r="81" ht="12.75" customHeight="1">
      <c r="A81" s="5" t="s">
        <v>432</v>
      </c>
      <c r="B81" s="10" t="s">
        <v>433</v>
      </c>
      <c r="C81" s="5" t="s">
        <v>434</v>
      </c>
      <c r="D81" s="5" t="s">
        <v>74</v>
      </c>
      <c r="E81" s="5" t="s">
        <v>42</v>
      </c>
      <c r="F81" s="5" t="s">
        <v>435</v>
      </c>
    </row>
    <row r="82" ht="12.75" customHeight="1">
      <c r="A82" s="5" t="s">
        <v>436</v>
      </c>
      <c r="B82" s="5" t="s">
        <v>437</v>
      </c>
      <c r="C82" s="5" t="s">
        <v>438</v>
      </c>
      <c r="D82" s="5" t="s">
        <v>55</v>
      </c>
      <c r="E82" s="5" t="s">
        <v>35</v>
      </c>
      <c r="F82" s="5" t="s">
        <v>439</v>
      </c>
    </row>
    <row r="83" ht="12.75" customHeight="1">
      <c r="A83" s="5" t="s">
        <v>440</v>
      </c>
      <c r="B83" s="10" t="s">
        <v>442</v>
      </c>
      <c r="C83" s="5" t="s">
        <v>440</v>
      </c>
      <c r="D83" s="5" t="s">
        <v>34</v>
      </c>
      <c r="E83" s="5" t="s">
        <v>42</v>
      </c>
      <c r="F83" s="5" t="s">
        <v>445</v>
      </c>
      <c r="G83" s="10" t="s">
        <v>72</v>
      </c>
    </row>
    <row r="84" ht="12.75" customHeight="1">
      <c r="A84" s="5" t="s">
        <v>446</v>
      </c>
      <c r="B84" s="5" t="s">
        <v>447</v>
      </c>
      <c r="C84" s="5" t="s">
        <v>446</v>
      </c>
      <c r="D84" s="5" t="s">
        <v>30</v>
      </c>
      <c r="E84" s="5" t="s">
        <v>42</v>
      </c>
      <c r="F84" s="5" t="s">
        <v>211</v>
      </c>
      <c r="G84" s="10" t="s">
        <v>72</v>
      </c>
    </row>
    <row r="85" ht="12.75" customHeight="1">
      <c r="A85" s="5" t="s">
        <v>448</v>
      </c>
      <c r="B85" s="10" t="s">
        <v>449</v>
      </c>
      <c r="C85" s="5" t="s">
        <v>448</v>
      </c>
      <c r="D85" s="5" t="s">
        <v>67</v>
      </c>
      <c r="E85" s="5" t="s">
        <v>35</v>
      </c>
      <c r="F85" s="5" t="s">
        <v>450</v>
      </c>
      <c r="G85" s="10" t="s">
        <v>72</v>
      </c>
    </row>
    <row r="86" ht="12.75" customHeight="1">
      <c r="A86" s="5" t="s">
        <v>451</v>
      </c>
      <c r="B86" s="5" t="s">
        <v>452</v>
      </c>
      <c r="C86" s="5" t="s">
        <v>451</v>
      </c>
      <c r="D86" s="5" t="s">
        <v>453</v>
      </c>
      <c r="E86" s="5" t="s">
        <v>42</v>
      </c>
      <c r="F86" s="5" t="s">
        <v>454</v>
      </c>
    </row>
    <row r="87" ht="12.75" customHeight="1">
      <c r="A87" s="5" t="s">
        <v>455</v>
      </c>
      <c r="B87" s="5" t="s">
        <v>456</v>
      </c>
      <c r="C87" s="5" t="s">
        <v>455</v>
      </c>
      <c r="D87" s="5" t="s">
        <v>453</v>
      </c>
      <c r="E87" s="5" t="s">
        <v>42</v>
      </c>
      <c r="F87" s="5" t="s">
        <v>454</v>
      </c>
    </row>
    <row r="88" ht="12.75" customHeight="1">
      <c r="A88" s="5" t="s">
        <v>457</v>
      </c>
      <c r="B88" s="5" t="s">
        <v>458</v>
      </c>
      <c r="C88" s="5" t="s">
        <v>457</v>
      </c>
      <c r="D88" s="5" t="s">
        <v>453</v>
      </c>
      <c r="E88" s="5" t="s">
        <v>42</v>
      </c>
      <c r="F88" s="5" t="s">
        <v>454</v>
      </c>
    </row>
    <row r="89" ht="12.75" customHeight="1">
      <c r="A89" s="5" t="s">
        <v>459</v>
      </c>
      <c r="B89" s="5" t="s">
        <v>460</v>
      </c>
      <c r="C89" s="5" t="s">
        <v>459</v>
      </c>
      <c r="D89" s="5" t="s">
        <v>453</v>
      </c>
      <c r="E89" s="5" t="s">
        <v>42</v>
      </c>
      <c r="F89" s="5" t="s">
        <v>454</v>
      </c>
    </row>
    <row r="90" ht="12.75" customHeight="1">
      <c r="A90" s="5" t="s">
        <v>463</v>
      </c>
      <c r="B90" s="5" t="s">
        <v>465</v>
      </c>
      <c r="C90" s="5" t="s">
        <v>463</v>
      </c>
      <c r="D90" s="5" t="s">
        <v>453</v>
      </c>
      <c r="E90" s="5" t="s">
        <v>42</v>
      </c>
      <c r="F90" s="5" t="s">
        <v>454</v>
      </c>
    </row>
    <row r="91" ht="12.75" customHeight="1">
      <c r="A91" s="5" t="s">
        <v>466</v>
      </c>
      <c r="B91" s="5" t="s">
        <v>467</v>
      </c>
      <c r="C91" s="5" t="s">
        <v>466</v>
      </c>
      <c r="D91" s="5" t="s">
        <v>453</v>
      </c>
      <c r="E91" s="5" t="s">
        <v>42</v>
      </c>
      <c r="F91" s="5" t="s">
        <v>454</v>
      </c>
    </row>
    <row r="92" ht="12.75" customHeight="1">
      <c r="A92" s="5" t="s">
        <v>468</v>
      </c>
      <c r="B92" s="5" t="s">
        <v>469</v>
      </c>
      <c r="C92" s="5" t="s">
        <v>468</v>
      </c>
      <c r="D92" s="5" t="s">
        <v>453</v>
      </c>
      <c r="E92" s="5" t="s">
        <v>42</v>
      </c>
      <c r="F92" s="5" t="s">
        <v>454</v>
      </c>
    </row>
    <row r="93" ht="12.75" customHeight="1">
      <c r="A93" s="5" t="s">
        <v>470</v>
      </c>
      <c r="B93" s="5" t="s">
        <v>471</v>
      </c>
      <c r="C93" s="5" t="s">
        <v>470</v>
      </c>
      <c r="D93" s="5" t="s">
        <v>453</v>
      </c>
      <c r="E93" s="5" t="s">
        <v>42</v>
      </c>
      <c r="F93" s="5" t="s">
        <v>454</v>
      </c>
    </row>
    <row r="94" ht="12.75" customHeight="1">
      <c r="A94" s="5" t="s">
        <v>472</v>
      </c>
      <c r="B94" s="5" t="s">
        <v>473</v>
      </c>
      <c r="C94" s="5" t="s">
        <v>472</v>
      </c>
      <c r="D94" s="5" t="s">
        <v>453</v>
      </c>
      <c r="E94" s="5" t="s">
        <v>42</v>
      </c>
      <c r="F94" s="5" t="s">
        <v>454</v>
      </c>
    </row>
    <row r="95" ht="12.75" customHeight="1">
      <c r="A95" s="5" t="s">
        <v>474</v>
      </c>
      <c r="B95" s="5" t="s">
        <v>475</v>
      </c>
      <c r="C95" s="5" t="s">
        <v>474</v>
      </c>
      <c r="D95" s="5" t="s">
        <v>453</v>
      </c>
      <c r="E95" s="5" t="s">
        <v>42</v>
      </c>
      <c r="F95" s="5" t="s">
        <v>454</v>
      </c>
    </row>
    <row r="96" ht="12.75" customHeight="1">
      <c r="A96" s="5" t="s">
        <v>476</v>
      </c>
      <c r="B96" s="5" t="s">
        <v>477</v>
      </c>
      <c r="C96" s="5" t="s">
        <v>476</v>
      </c>
      <c r="D96" s="5" t="s">
        <v>453</v>
      </c>
      <c r="E96" s="5" t="s">
        <v>42</v>
      </c>
      <c r="F96" s="5" t="s">
        <v>454</v>
      </c>
    </row>
    <row r="97" ht="12.75" customHeight="1">
      <c r="A97" s="5" t="s">
        <v>481</v>
      </c>
      <c r="B97" s="5" t="s">
        <v>482</v>
      </c>
      <c r="C97" s="5" t="s">
        <v>481</v>
      </c>
      <c r="D97" s="5" t="s">
        <v>453</v>
      </c>
      <c r="E97" s="5" t="s">
        <v>42</v>
      </c>
      <c r="F97" s="5" t="s">
        <v>454</v>
      </c>
    </row>
    <row r="98" ht="12.75" customHeight="1">
      <c r="A98" s="5" t="s">
        <v>483</v>
      </c>
      <c r="B98" s="5" t="s">
        <v>484</v>
      </c>
      <c r="C98" s="5" t="s">
        <v>483</v>
      </c>
      <c r="D98" s="5" t="s">
        <v>453</v>
      </c>
      <c r="E98" s="5" t="s">
        <v>42</v>
      </c>
      <c r="F98" s="5" t="s">
        <v>454</v>
      </c>
    </row>
    <row r="99" ht="12.75" customHeight="1">
      <c r="A99" s="5" t="s">
        <v>485</v>
      </c>
      <c r="B99" s="5" t="s">
        <v>489</v>
      </c>
      <c r="C99" s="5" t="s">
        <v>485</v>
      </c>
      <c r="D99" s="5" t="s">
        <v>453</v>
      </c>
      <c r="E99" s="5" t="s">
        <v>42</v>
      </c>
      <c r="F99" s="5" t="s">
        <v>454</v>
      </c>
    </row>
    <row r="100" ht="12.75" customHeight="1">
      <c r="A100" s="5" t="s">
        <v>490</v>
      </c>
      <c r="B100" s="5" t="s">
        <v>491</v>
      </c>
      <c r="C100" s="5" t="s">
        <v>490</v>
      </c>
      <c r="D100" s="5" t="s">
        <v>453</v>
      </c>
      <c r="E100" s="5" t="s">
        <v>42</v>
      </c>
      <c r="F100" s="5" t="s">
        <v>454</v>
      </c>
    </row>
    <row r="101" ht="12.75" customHeight="1">
      <c r="A101" s="5" t="s">
        <v>492</v>
      </c>
      <c r="B101" s="5" t="s">
        <v>493</v>
      </c>
      <c r="C101" s="5" t="s">
        <v>492</v>
      </c>
      <c r="D101" s="5" t="s">
        <v>453</v>
      </c>
      <c r="E101" s="5" t="s">
        <v>42</v>
      </c>
      <c r="F101" s="5" t="s">
        <v>454</v>
      </c>
    </row>
    <row r="102" ht="12.75" customHeight="1">
      <c r="A102" s="5" t="s">
        <v>494</v>
      </c>
      <c r="B102" s="5" t="s">
        <v>495</v>
      </c>
      <c r="C102" s="5" t="s">
        <v>494</v>
      </c>
      <c r="D102" s="5" t="s">
        <v>453</v>
      </c>
      <c r="E102" s="5" t="s">
        <v>42</v>
      </c>
      <c r="F102" s="5" t="s">
        <v>454</v>
      </c>
    </row>
    <row r="103" ht="12.75" customHeight="1">
      <c r="A103" s="5" t="s">
        <v>496</v>
      </c>
      <c r="B103" s="5" t="s">
        <v>497</v>
      </c>
      <c r="C103" s="5" t="s">
        <v>496</v>
      </c>
      <c r="D103" s="5" t="s">
        <v>453</v>
      </c>
      <c r="E103" s="5" t="s">
        <v>42</v>
      </c>
      <c r="F103" s="5" t="s">
        <v>454</v>
      </c>
    </row>
    <row r="104" ht="12.75" customHeight="1">
      <c r="A104" s="5" t="s">
        <v>498</v>
      </c>
      <c r="B104" s="10" t="s">
        <v>499</v>
      </c>
      <c r="C104" s="5" t="s">
        <v>498</v>
      </c>
      <c r="D104" s="5" t="s">
        <v>453</v>
      </c>
      <c r="E104" s="5" t="s">
        <v>42</v>
      </c>
      <c r="F104" s="5" t="s">
        <v>454</v>
      </c>
    </row>
    <row r="105" ht="12.75" customHeight="1">
      <c r="A105" s="5" t="s">
        <v>500</v>
      </c>
      <c r="B105" s="10" t="s">
        <v>501</v>
      </c>
      <c r="C105" s="5" t="s">
        <v>500</v>
      </c>
      <c r="D105" s="5" t="s">
        <v>453</v>
      </c>
      <c r="E105" s="5" t="s">
        <v>42</v>
      </c>
      <c r="F105" s="5" t="s">
        <v>454</v>
      </c>
    </row>
    <row r="106" ht="12.75" customHeight="1">
      <c r="A106" s="5" t="s">
        <v>504</v>
      </c>
      <c r="B106" s="5" t="s">
        <v>506</v>
      </c>
      <c r="C106" s="5" t="s">
        <v>504</v>
      </c>
      <c r="D106" s="5" t="s">
        <v>453</v>
      </c>
      <c r="E106" s="5" t="s">
        <v>42</v>
      </c>
      <c r="F106" s="5" t="s">
        <v>454</v>
      </c>
    </row>
    <row r="107" ht="12.75" customHeight="1">
      <c r="A107" s="5" t="s">
        <v>507</v>
      </c>
      <c r="B107" s="5" t="s">
        <v>508</v>
      </c>
      <c r="C107" s="5" t="s">
        <v>507</v>
      </c>
      <c r="D107" s="5" t="s">
        <v>453</v>
      </c>
      <c r="E107" s="5" t="s">
        <v>42</v>
      </c>
      <c r="F107" s="5" t="s">
        <v>454</v>
      </c>
    </row>
    <row r="108" ht="12.75" customHeight="1">
      <c r="A108" s="5" t="s">
        <v>509</v>
      </c>
      <c r="B108" s="5" t="s">
        <v>510</v>
      </c>
      <c r="C108" s="5" t="s">
        <v>509</v>
      </c>
      <c r="D108" s="5" t="s">
        <v>453</v>
      </c>
      <c r="E108" s="5" t="s">
        <v>42</v>
      </c>
      <c r="F108" s="5" t="s">
        <v>454</v>
      </c>
    </row>
    <row r="109" ht="12.75" customHeight="1">
      <c r="A109" s="5" t="s">
        <v>511</v>
      </c>
      <c r="B109" s="5" t="s">
        <v>512</v>
      </c>
      <c r="C109" s="5" t="s">
        <v>511</v>
      </c>
      <c r="D109" s="5" t="s">
        <v>453</v>
      </c>
      <c r="E109" s="5" t="s">
        <v>42</v>
      </c>
      <c r="F109" s="5" t="s">
        <v>454</v>
      </c>
    </row>
    <row r="110" ht="12.75" customHeight="1">
      <c r="A110" s="5" t="s">
        <v>513</v>
      </c>
      <c r="B110" s="5" t="s">
        <v>514</v>
      </c>
      <c r="C110" s="5" t="s">
        <v>513</v>
      </c>
      <c r="D110" s="5" t="s">
        <v>453</v>
      </c>
      <c r="E110" s="5" t="s">
        <v>42</v>
      </c>
      <c r="F110" s="5" t="s">
        <v>454</v>
      </c>
    </row>
    <row r="111" ht="12.75" customHeight="1">
      <c r="A111" s="5" t="s">
        <v>515</v>
      </c>
      <c r="B111" s="5" t="s">
        <v>516</v>
      </c>
      <c r="C111" s="5" t="s">
        <v>515</v>
      </c>
      <c r="D111" s="5" t="s">
        <v>453</v>
      </c>
      <c r="E111" s="5" t="s">
        <v>42</v>
      </c>
      <c r="F111" s="5" t="s">
        <v>454</v>
      </c>
    </row>
    <row r="112" ht="12.75" customHeight="1">
      <c r="A112" s="5" t="s">
        <v>517</v>
      </c>
      <c r="B112" s="5" t="s">
        <v>518</v>
      </c>
      <c r="C112" s="5" t="s">
        <v>517</v>
      </c>
      <c r="D112" s="5" t="s">
        <v>453</v>
      </c>
      <c r="E112" s="5" t="s">
        <v>42</v>
      </c>
      <c r="F112" s="5" t="s">
        <v>454</v>
      </c>
    </row>
    <row r="113" ht="12.75" customHeight="1">
      <c r="A113" s="5" t="s">
        <v>522</v>
      </c>
      <c r="B113" s="5" t="s">
        <v>523</v>
      </c>
      <c r="C113" s="5" t="s">
        <v>522</v>
      </c>
      <c r="D113" s="5" t="s">
        <v>453</v>
      </c>
      <c r="E113" s="5" t="s">
        <v>42</v>
      </c>
      <c r="F113" s="5" t="s">
        <v>454</v>
      </c>
    </row>
    <row r="114" ht="12.75" customHeight="1">
      <c r="A114" s="5" t="s">
        <v>524</v>
      </c>
      <c r="B114" s="5" t="s">
        <v>525</v>
      </c>
      <c r="C114" s="5" t="s">
        <v>524</v>
      </c>
      <c r="D114" s="5" t="s">
        <v>453</v>
      </c>
      <c r="E114" s="5" t="s">
        <v>42</v>
      </c>
      <c r="F114" s="5" t="s">
        <v>454</v>
      </c>
    </row>
    <row r="115" ht="12.75" customHeight="1">
      <c r="A115" s="5" t="s">
        <v>526</v>
      </c>
      <c r="B115" s="5" t="s">
        <v>527</v>
      </c>
      <c r="C115" s="5" t="s">
        <v>526</v>
      </c>
      <c r="D115" s="5" t="s">
        <v>453</v>
      </c>
      <c r="E115" s="5" t="s">
        <v>42</v>
      </c>
      <c r="F115" s="5" t="s">
        <v>454</v>
      </c>
    </row>
    <row r="116" ht="12.75" customHeight="1">
      <c r="A116" s="5" t="s">
        <v>528</v>
      </c>
      <c r="B116" s="5" t="s">
        <v>529</v>
      </c>
      <c r="C116" s="5" t="s">
        <v>528</v>
      </c>
      <c r="D116" s="5" t="s">
        <v>453</v>
      </c>
      <c r="E116" s="5" t="s">
        <v>42</v>
      </c>
      <c r="F116" s="5" t="s">
        <v>454</v>
      </c>
    </row>
    <row r="117" ht="12.75" customHeight="1">
      <c r="A117" s="5" t="s">
        <v>530</v>
      </c>
      <c r="B117" s="5" t="s">
        <v>531</v>
      </c>
      <c r="C117" s="5" t="s">
        <v>530</v>
      </c>
      <c r="D117" s="5" t="s">
        <v>453</v>
      </c>
      <c r="E117" s="5" t="s">
        <v>42</v>
      </c>
      <c r="F117" s="5" t="s">
        <v>454</v>
      </c>
    </row>
    <row r="118" ht="12.75" customHeight="1">
      <c r="A118" s="5" t="s">
        <v>532</v>
      </c>
      <c r="B118" s="10" t="s">
        <v>533</v>
      </c>
      <c r="C118" s="5" t="s">
        <v>534</v>
      </c>
      <c r="D118" s="5" t="s">
        <v>30</v>
      </c>
      <c r="E118" s="5" t="s">
        <v>42</v>
      </c>
      <c r="F118" s="5" t="s">
        <v>535</v>
      </c>
    </row>
    <row r="119" ht="12.75" customHeight="1">
      <c r="A119" s="5" t="s">
        <v>536</v>
      </c>
      <c r="B119" s="10" t="s">
        <v>537</v>
      </c>
      <c r="C119" s="5" t="s">
        <v>539</v>
      </c>
      <c r="D119" s="5" t="s">
        <v>124</v>
      </c>
      <c r="E119" s="5" t="s">
        <v>42</v>
      </c>
      <c r="F119" s="5" t="s">
        <v>426</v>
      </c>
    </row>
    <row r="120" ht="12.75" customHeight="1">
      <c r="A120" s="5" t="s">
        <v>542</v>
      </c>
      <c r="B120" s="5" t="s">
        <v>543</v>
      </c>
      <c r="C120" s="5" t="s">
        <v>544</v>
      </c>
      <c r="D120" s="5" t="s">
        <v>30</v>
      </c>
      <c r="E120" s="5" t="s">
        <v>35</v>
      </c>
      <c r="F120" s="5" t="s">
        <v>545</v>
      </c>
      <c r="G120" s="10" t="s">
        <v>72</v>
      </c>
    </row>
    <row r="121" ht="12.75" customHeight="1">
      <c r="A121" s="5" t="s">
        <v>546</v>
      </c>
      <c r="B121" s="5" t="s">
        <v>547</v>
      </c>
      <c r="C121" s="5" t="s">
        <v>548</v>
      </c>
      <c r="D121" s="5" t="s">
        <v>34</v>
      </c>
      <c r="E121" s="5" t="s">
        <v>42</v>
      </c>
      <c r="F121" s="5" t="s">
        <v>167</v>
      </c>
      <c r="G121" s="10" t="s">
        <v>72</v>
      </c>
    </row>
    <row r="122" ht="12.75" customHeight="1">
      <c r="A122" s="5" t="s">
        <v>549</v>
      </c>
      <c r="B122" s="5" t="s">
        <v>550</v>
      </c>
      <c r="C122" s="5" t="s">
        <v>551</v>
      </c>
      <c r="D122" s="5" t="s">
        <v>74</v>
      </c>
      <c r="E122" s="5" t="s">
        <v>42</v>
      </c>
      <c r="F122" s="5" t="s">
        <v>435</v>
      </c>
    </row>
    <row r="123" ht="12.75" customHeight="1">
      <c r="A123" s="5" t="s">
        <v>552</v>
      </c>
      <c r="B123" s="5" t="s">
        <v>553</v>
      </c>
      <c r="C123" s="5" t="s">
        <v>552</v>
      </c>
      <c r="D123" s="5" t="s">
        <v>161</v>
      </c>
      <c r="E123" s="5" t="s">
        <v>35</v>
      </c>
      <c r="F123" s="5" t="s">
        <v>125</v>
      </c>
    </row>
    <row r="124" ht="12.75" customHeight="1">
      <c r="A124" s="5" t="s">
        <v>554</v>
      </c>
      <c r="B124" s="5" t="s">
        <v>555</v>
      </c>
      <c r="C124" s="5" t="s">
        <v>554</v>
      </c>
      <c r="D124" s="5" t="s">
        <v>34</v>
      </c>
      <c r="E124" s="5" t="s">
        <v>42</v>
      </c>
      <c r="F124" s="5" t="s">
        <v>556</v>
      </c>
    </row>
    <row r="125" ht="12.75" customHeight="1">
      <c r="A125" s="5" t="s">
        <v>557</v>
      </c>
      <c r="B125" s="10" t="s">
        <v>558</v>
      </c>
      <c r="C125" s="5" t="s">
        <v>557</v>
      </c>
      <c r="D125" s="5" t="s">
        <v>67</v>
      </c>
      <c r="E125" s="5" t="s">
        <v>35</v>
      </c>
      <c r="F125" s="5" t="s">
        <v>561</v>
      </c>
    </row>
    <row r="126" ht="12.75" customHeight="1">
      <c r="A126" s="5" t="s">
        <v>563</v>
      </c>
      <c r="B126" s="5" t="s">
        <v>564</v>
      </c>
      <c r="C126" s="5" t="s">
        <v>565</v>
      </c>
      <c r="D126" s="5" t="s">
        <v>67</v>
      </c>
      <c r="E126" s="5" t="s">
        <v>42</v>
      </c>
      <c r="F126" s="5" t="s">
        <v>566</v>
      </c>
    </row>
    <row r="127" ht="12.75" customHeight="1">
      <c r="A127" s="5" t="s">
        <v>567</v>
      </c>
      <c r="B127" s="5" t="s">
        <v>568</v>
      </c>
      <c r="C127" s="5" t="s">
        <v>569</v>
      </c>
      <c r="D127" s="5" t="s">
        <v>34</v>
      </c>
      <c r="E127" s="5" t="s">
        <v>42</v>
      </c>
      <c r="F127" s="5" t="s">
        <v>423</v>
      </c>
      <c r="G127" s="10" t="s">
        <v>72</v>
      </c>
    </row>
    <row r="128" ht="12.75" customHeight="1">
      <c r="A128" s="5" t="s">
        <v>570</v>
      </c>
      <c r="B128" s="5" t="s">
        <v>571</v>
      </c>
      <c r="C128" s="5" t="s">
        <v>570</v>
      </c>
      <c r="D128" s="5" t="s">
        <v>34</v>
      </c>
      <c r="E128" s="5" t="s">
        <v>42</v>
      </c>
      <c r="F128" s="5" t="s">
        <v>572</v>
      </c>
    </row>
    <row r="129" ht="12.75" customHeight="1">
      <c r="A129" s="5" t="s">
        <v>573</v>
      </c>
      <c r="B129" s="5" t="s">
        <v>574</v>
      </c>
      <c r="C129" s="5" t="s">
        <v>573</v>
      </c>
      <c r="D129" s="5" t="s">
        <v>22</v>
      </c>
      <c r="E129" s="5" t="s">
        <v>42</v>
      </c>
      <c r="F129" s="5" t="s">
        <v>575</v>
      </c>
    </row>
    <row r="130" ht="12.75" customHeight="1">
      <c r="A130" s="5" t="s">
        <v>576</v>
      </c>
      <c r="B130" s="5" t="s">
        <v>577</v>
      </c>
      <c r="C130" s="5" t="s">
        <v>578</v>
      </c>
      <c r="D130" s="5" t="s">
        <v>34</v>
      </c>
      <c r="E130" s="5" t="s">
        <v>42</v>
      </c>
      <c r="F130" s="5" t="s">
        <v>400</v>
      </c>
    </row>
    <row r="131" ht="12.75" customHeight="1">
      <c r="A131" s="5" t="s">
        <v>579</v>
      </c>
      <c r="B131" s="10" t="s">
        <v>580</v>
      </c>
      <c r="C131" s="5" t="s">
        <v>579</v>
      </c>
      <c r="D131" s="5" t="s">
        <v>34</v>
      </c>
      <c r="E131" s="5" t="s">
        <v>42</v>
      </c>
      <c r="F131" s="5" t="s">
        <v>162</v>
      </c>
    </row>
    <row r="132" ht="12.75" customHeight="1">
      <c r="A132" s="5" t="s">
        <v>581</v>
      </c>
      <c r="B132" s="10" t="s">
        <v>583</v>
      </c>
      <c r="C132" s="5" t="s">
        <v>581</v>
      </c>
      <c r="D132" s="5" t="s">
        <v>34</v>
      </c>
      <c r="E132" s="5" t="s">
        <v>35</v>
      </c>
      <c r="F132" s="5" t="s">
        <v>77</v>
      </c>
    </row>
    <row r="133" ht="12.75" customHeight="1">
      <c r="A133" s="5" t="s">
        <v>586</v>
      </c>
      <c r="B133" s="5" t="s">
        <v>587</v>
      </c>
      <c r="C133" s="5" t="s">
        <v>586</v>
      </c>
      <c r="D133" s="5" t="s">
        <v>22</v>
      </c>
      <c r="E133" s="5" t="s">
        <v>42</v>
      </c>
      <c r="F133" s="5" t="s">
        <v>572</v>
      </c>
    </row>
    <row r="134" ht="12.75" customHeight="1">
      <c r="A134" s="5" t="s">
        <v>588</v>
      </c>
      <c r="B134" s="5" t="s">
        <v>589</v>
      </c>
      <c r="C134" s="5" t="s">
        <v>588</v>
      </c>
      <c r="D134" s="5" t="s">
        <v>22</v>
      </c>
      <c r="E134" s="5" t="s">
        <v>42</v>
      </c>
      <c r="F134" s="5" t="s">
        <v>199</v>
      </c>
    </row>
    <row r="135" ht="12.75" customHeight="1">
      <c r="A135" s="5" t="s">
        <v>590</v>
      </c>
      <c r="B135" s="10" t="s">
        <v>591</v>
      </c>
      <c r="C135" s="5" t="s">
        <v>592</v>
      </c>
      <c r="D135" s="5" t="s">
        <v>30</v>
      </c>
      <c r="E135" s="5" t="s">
        <v>42</v>
      </c>
      <c r="F135" s="5" t="s">
        <v>535</v>
      </c>
    </row>
    <row r="136" ht="12.75" customHeight="1">
      <c r="A136" s="5" t="s">
        <v>593</v>
      </c>
      <c r="B136" s="5" t="s">
        <v>594</v>
      </c>
      <c r="C136" s="5" t="s">
        <v>593</v>
      </c>
      <c r="D136" s="5" t="s">
        <v>38</v>
      </c>
      <c r="E136" s="5" t="s">
        <v>42</v>
      </c>
      <c r="F136" s="5" t="s">
        <v>228</v>
      </c>
    </row>
    <row r="137" ht="12.75" customHeight="1">
      <c r="A137" s="5" t="s">
        <v>595</v>
      </c>
      <c r="B137" s="5" t="s">
        <v>596</v>
      </c>
      <c r="C137" s="5" t="s">
        <v>595</v>
      </c>
      <c r="D137" s="5" t="s">
        <v>34</v>
      </c>
      <c r="E137" s="5" t="s">
        <v>42</v>
      </c>
      <c r="F137" s="5" t="s">
        <v>199</v>
      </c>
    </row>
    <row r="138" ht="12.75" customHeight="1">
      <c r="A138" s="5" t="s">
        <v>597</v>
      </c>
      <c r="B138" s="10" t="s">
        <v>598</v>
      </c>
      <c r="C138" s="5" t="s">
        <v>597</v>
      </c>
      <c r="D138" s="5" t="s">
        <v>34</v>
      </c>
      <c r="E138" s="5" t="s">
        <v>42</v>
      </c>
      <c r="F138" s="5" t="s">
        <v>599</v>
      </c>
      <c r="G138" s="10" t="s">
        <v>72</v>
      </c>
    </row>
    <row r="139" ht="12.75" customHeight="1">
      <c r="A139" s="5" t="s">
        <v>600</v>
      </c>
      <c r="B139" s="5" t="s">
        <v>601</v>
      </c>
      <c r="C139" s="5" t="s">
        <v>602</v>
      </c>
      <c r="D139" s="5" t="s">
        <v>38</v>
      </c>
      <c r="E139" s="5" t="s">
        <v>35</v>
      </c>
      <c r="F139" s="5" t="s">
        <v>605</v>
      </c>
    </row>
    <row r="140" ht="12.75" customHeight="1">
      <c r="A140" s="5" t="s">
        <v>607</v>
      </c>
      <c r="B140" s="5" t="s">
        <v>608</v>
      </c>
      <c r="C140" s="5" t="s">
        <v>609</v>
      </c>
      <c r="D140" s="5" t="s">
        <v>34</v>
      </c>
      <c r="E140" s="5" t="s">
        <v>42</v>
      </c>
      <c r="F140" s="5" t="s">
        <v>610</v>
      </c>
    </row>
    <row r="141" ht="12.75" customHeight="1">
      <c r="A141" s="5" t="s">
        <v>611</v>
      </c>
      <c r="B141" s="10" t="s">
        <v>612</v>
      </c>
      <c r="C141" s="5" t="s">
        <v>613</v>
      </c>
      <c r="D141" s="5" t="s">
        <v>34</v>
      </c>
      <c r="E141" s="5" t="s">
        <v>35</v>
      </c>
      <c r="F141" s="5" t="s">
        <v>429</v>
      </c>
    </row>
    <row r="142" ht="12.75" customHeight="1">
      <c r="A142" s="5" t="s">
        <v>614</v>
      </c>
      <c r="B142" s="5" t="s">
        <v>615</v>
      </c>
      <c r="C142" s="5" t="s">
        <v>614</v>
      </c>
      <c r="D142" s="5" t="s">
        <v>34</v>
      </c>
      <c r="E142" s="5" t="s">
        <v>35</v>
      </c>
      <c r="F142" s="5" t="s">
        <v>616</v>
      </c>
    </row>
    <row r="143" ht="12.75" customHeight="1">
      <c r="A143" s="5" t="s">
        <v>617</v>
      </c>
      <c r="B143" s="10" t="s">
        <v>618</v>
      </c>
      <c r="C143" s="5" t="s">
        <v>617</v>
      </c>
      <c r="D143" s="5" t="s">
        <v>34</v>
      </c>
      <c r="E143" s="5" t="s">
        <v>35</v>
      </c>
      <c r="F143" s="5" t="s">
        <v>619</v>
      </c>
    </row>
    <row r="144" ht="12.75" customHeight="1">
      <c r="A144" s="5" t="s">
        <v>620</v>
      </c>
      <c r="B144" s="5" t="s">
        <v>621</v>
      </c>
      <c r="C144" s="5" t="s">
        <v>620</v>
      </c>
      <c r="D144" s="5" t="s">
        <v>34</v>
      </c>
      <c r="E144" s="5" t="s">
        <v>35</v>
      </c>
      <c r="F144" s="5" t="s">
        <v>77</v>
      </c>
    </row>
    <row r="145" ht="12.75" customHeight="1">
      <c r="A145" s="5" t="s">
        <v>622</v>
      </c>
      <c r="B145" s="5" t="s">
        <v>623</v>
      </c>
      <c r="C145" s="5" t="s">
        <v>622</v>
      </c>
      <c r="D145" s="5" t="s">
        <v>67</v>
      </c>
      <c r="E145" s="5" t="s">
        <v>35</v>
      </c>
      <c r="F145" s="5" t="s">
        <v>624</v>
      </c>
    </row>
    <row r="146" ht="12.75" customHeight="1">
      <c r="A146" s="5" t="s">
        <v>625</v>
      </c>
      <c r="B146" s="10" t="s">
        <v>626</v>
      </c>
      <c r="C146" s="5" t="s">
        <v>627</v>
      </c>
      <c r="D146" s="5" t="s">
        <v>34</v>
      </c>
      <c r="E146" s="5" t="s">
        <v>35</v>
      </c>
      <c r="F146" s="5" t="s">
        <v>605</v>
      </c>
    </row>
    <row r="147" ht="12.75" customHeight="1">
      <c r="A147" s="5" t="s">
        <v>630</v>
      </c>
      <c r="B147" s="10" t="s">
        <v>632</v>
      </c>
      <c r="C147" s="5" t="s">
        <v>633</v>
      </c>
      <c r="D147" s="5" t="s">
        <v>34</v>
      </c>
      <c r="E147" s="5" t="s">
        <v>42</v>
      </c>
      <c r="F147" s="5" t="s">
        <v>634</v>
      </c>
    </row>
    <row r="148" ht="12.75" customHeight="1">
      <c r="A148" s="5" t="s">
        <v>635</v>
      </c>
      <c r="B148" s="5" t="s">
        <v>636</v>
      </c>
      <c r="C148" s="5" t="s">
        <v>635</v>
      </c>
      <c r="D148" s="5" t="s">
        <v>34</v>
      </c>
      <c r="E148" s="5" t="s">
        <v>42</v>
      </c>
      <c r="F148" s="5" t="s">
        <v>637</v>
      </c>
    </row>
    <row r="149" ht="12.75" customHeight="1">
      <c r="A149" s="5" t="s">
        <v>638</v>
      </c>
      <c r="B149" s="10" t="s">
        <v>639</v>
      </c>
      <c r="C149" s="5" t="s">
        <v>638</v>
      </c>
      <c r="D149" s="5" t="s">
        <v>34</v>
      </c>
      <c r="E149" s="5" t="s">
        <v>42</v>
      </c>
      <c r="F149" s="5" t="s">
        <v>572</v>
      </c>
    </row>
    <row r="150" ht="12.75" customHeight="1">
      <c r="A150" s="5" t="s">
        <v>640</v>
      </c>
      <c r="B150" s="5" t="s">
        <v>641</v>
      </c>
      <c r="C150" s="5" t="s">
        <v>640</v>
      </c>
      <c r="D150" s="5" t="s">
        <v>67</v>
      </c>
      <c r="E150" s="5" t="s">
        <v>35</v>
      </c>
      <c r="F150" s="5" t="s">
        <v>642</v>
      </c>
    </row>
    <row r="151" ht="12.75" customHeight="1">
      <c r="A151" s="5" t="s">
        <v>643</v>
      </c>
      <c r="B151" s="10" t="s">
        <v>644</v>
      </c>
      <c r="C151" s="5" t="s">
        <v>645</v>
      </c>
      <c r="D151" s="5" t="s">
        <v>67</v>
      </c>
      <c r="E151" s="5" t="s">
        <v>35</v>
      </c>
      <c r="F151" s="5" t="s">
        <v>411</v>
      </c>
      <c r="G151" s="10" t="s">
        <v>72</v>
      </c>
    </row>
    <row r="152" ht="12.75" customHeight="1">
      <c r="A152" s="5" t="s">
        <v>646</v>
      </c>
      <c r="B152" s="5" t="s">
        <v>648</v>
      </c>
      <c r="C152" s="5" t="s">
        <v>646</v>
      </c>
      <c r="D152" s="5" t="s">
        <v>34</v>
      </c>
      <c r="E152" s="5" t="s">
        <v>42</v>
      </c>
      <c r="F152" s="5" t="s">
        <v>572</v>
      </c>
    </row>
    <row r="153" ht="12.75" customHeight="1">
      <c r="A153" s="5" t="s">
        <v>651</v>
      </c>
      <c r="B153" s="5" t="s">
        <v>652</v>
      </c>
      <c r="C153" s="5" t="s">
        <v>653</v>
      </c>
      <c r="D153" s="5" t="s">
        <v>67</v>
      </c>
      <c r="E153" s="5" t="s">
        <v>42</v>
      </c>
      <c r="F153" s="5" t="s">
        <v>654</v>
      </c>
      <c r="G153" s="10" t="s">
        <v>72</v>
      </c>
    </row>
    <row r="154" ht="12.75" customHeight="1">
      <c r="A154" s="5" t="s">
        <v>655</v>
      </c>
      <c r="B154" s="5" t="s">
        <v>656</v>
      </c>
      <c r="C154" s="5" t="s">
        <v>655</v>
      </c>
      <c r="D154" s="5" t="s">
        <v>38</v>
      </c>
      <c r="E154" s="5" t="s">
        <v>42</v>
      </c>
      <c r="F154" s="5" t="s">
        <v>657</v>
      </c>
    </row>
    <row r="155" ht="12.75" customHeight="1">
      <c r="A155" s="5" t="s">
        <v>658</v>
      </c>
      <c r="B155" s="5" t="s">
        <v>659</v>
      </c>
      <c r="C155" s="5" t="s">
        <v>658</v>
      </c>
      <c r="D155" s="5" t="s">
        <v>22</v>
      </c>
      <c r="E155" s="5" t="s">
        <v>35</v>
      </c>
      <c r="F155" s="5" t="s">
        <v>104</v>
      </c>
    </row>
    <row r="156" ht="12.75" customHeight="1">
      <c r="A156" s="5" t="s">
        <v>661</v>
      </c>
      <c r="B156" s="5" t="s">
        <v>662</v>
      </c>
      <c r="C156" s="5" t="s">
        <v>661</v>
      </c>
      <c r="D156" s="5" t="s">
        <v>34</v>
      </c>
      <c r="E156" s="5" t="s">
        <v>35</v>
      </c>
      <c r="F156" s="5" t="s">
        <v>110</v>
      </c>
    </row>
    <row r="157" ht="12.75" customHeight="1">
      <c r="A157" s="5" t="s">
        <v>670</v>
      </c>
      <c r="B157" s="10" t="s">
        <v>671</v>
      </c>
      <c r="C157" s="5" t="s">
        <v>670</v>
      </c>
      <c r="D157" s="5" t="s">
        <v>22</v>
      </c>
      <c r="E157" s="5" t="s">
        <v>42</v>
      </c>
      <c r="F157" s="5" t="s">
        <v>672</v>
      </c>
      <c r="G157" s="10" t="s">
        <v>72</v>
      </c>
    </row>
    <row r="158" ht="12.75" customHeight="1">
      <c r="A158" s="5" t="s">
        <v>673</v>
      </c>
      <c r="B158" s="5" t="s">
        <v>674</v>
      </c>
      <c r="C158" s="5" t="s">
        <v>673</v>
      </c>
      <c r="D158" s="5" t="s">
        <v>48</v>
      </c>
      <c r="E158" s="5" t="s">
        <v>35</v>
      </c>
      <c r="F158" s="5" t="s">
        <v>49</v>
      </c>
    </row>
    <row r="159" ht="12.75" customHeight="1">
      <c r="A159" s="5" t="s">
        <v>675</v>
      </c>
      <c r="B159" s="5" t="s">
        <v>676</v>
      </c>
      <c r="C159" s="5" t="s">
        <v>677</v>
      </c>
      <c r="D159" s="5" t="s">
        <v>30</v>
      </c>
      <c r="E159" s="5" t="s">
        <v>42</v>
      </c>
      <c r="F159" s="5" t="s">
        <v>157</v>
      </c>
    </row>
    <row r="160" ht="12.75" customHeight="1">
      <c r="A160" s="5" t="s">
        <v>678</v>
      </c>
      <c r="B160" s="5" t="s">
        <v>679</v>
      </c>
      <c r="C160" s="5" t="s">
        <v>678</v>
      </c>
      <c r="D160" s="5" t="s">
        <v>80</v>
      </c>
      <c r="E160" s="5" t="s">
        <v>35</v>
      </c>
      <c r="F160" s="5" t="s">
        <v>680</v>
      </c>
    </row>
    <row r="161" ht="12.75" customHeight="1">
      <c r="A161" s="5" t="s">
        <v>681</v>
      </c>
      <c r="B161" s="5" t="s">
        <v>682</v>
      </c>
      <c r="C161" s="5" t="s">
        <v>683</v>
      </c>
      <c r="D161" s="5" t="s">
        <v>30</v>
      </c>
      <c r="E161" s="5" t="s">
        <v>35</v>
      </c>
      <c r="F161" s="5" t="s">
        <v>263</v>
      </c>
      <c r="G161" s="10" t="s">
        <v>72</v>
      </c>
    </row>
    <row r="162" ht="12.75" customHeight="1">
      <c r="A162" s="5" t="s">
        <v>684</v>
      </c>
      <c r="B162" s="5" t="s">
        <v>685</v>
      </c>
      <c r="C162" s="5" t="s">
        <v>684</v>
      </c>
      <c r="D162" s="5" t="s">
        <v>74</v>
      </c>
      <c r="E162" s="5" t="s">
        <v>42</v>
      </c>
      <c r="F162" s="5" t="s">
        <v>686</v>
      </c>
    </row>
    <row r="163" ht="12.75" customHeight="1">
      <c r="A163" s="5" t="s">
        <v>687</v>
      </c>
      <c r="B163" s="5" t="s">
        <v>689</v>
      </c>
      <c r="C163" s="5" t="s">
        <v>691</v>
      </c>
      <c r="D163" s="5" t="s">
        <v>22</v>
      </c>
      <c r="E163" s="5" t="s">
        <v>35</v>
      </c>
      <c r="F163" s="5" t="s">
        <v>110</v>
      </c>
    </row>
    <row r="164" ht="12.75" customHeight="1">
      <c r="A164" s="5" t="s">
        <v>693</v>
      </c>
      <c r="B164" s="5" t="s">
        <v>694</v>
      </c>
      <c r="C164" s="5" t="s">
        <v>691</v>
      </c>
      <c r="D164" s="5" t="s">
        <v>22</v>
      </c>
      <c r="E164" s="5" t="s">
        <v>35</v>
      </c>
      <c r="F164" s="5" t="s">
        <v>695</v>
      </c>
    </row>
    <row r="165" ht="12.75" customHeight="1">
      <c r="A165" s="5" t="s">
        <v>696</v>
      </c>
      <c r="B165" s="5" t="s">
        <v>697</v>
      </c>
      <c r="C165" s="5" t="s">
        <v>691</v>
      </c>
      <c r="D165" s="5" t="s">
        <v>22</v>
      </c>
      <c r="E165" s="5" t="s">
        <v>35</v>
      </c>
      <c r="F165" s="5" t="s">
        <v>90</v>
      </c>
    </row>
    <row r="166" ht="12.75" customHeight="1">
      <c r="A166" s="5" t="s">
        <v>698</v>
      </c>
      <c r="B166" s="5" t="s">
        <v>699</v>
      </c>
      <c r="C166" s="5" t="s">
        <v>691</v>
      </c>
      <c r="D166" s="5" t="s">
        <v>22</v>
      </c>
      <c r="E166" s="5" t="s">
        <v>35</v>
      </c>
      <c r="F166" s="5" t="s">
        <v>104</v>
      </c>
    </row>
    <row r="167" ht="12.75" customHeight="1">
      <c r="A167" s="5" t="s">
        <v>700</v>
      </c>
      <c r="B167" s="5" t="s">
        <v>701</v>
      </c>
      <c r="C167" s="5" t="s">
        <v>691</v>
      </c>
      <c r="D167" s="5" t="s">
        <v>22</v>
      </c>
      <c r="E167" s="5" t="s">
        <v>35</v>
      </c>
      <c r="F167" s="5" t="s">
        <v>702</v>
      </c>
    </row>
    <row r="168" ht="12.75" customHeight="1">
      <c r="A168" s="5" t="s">
        <v>703</v>
      </c>
      <c r="B168" s="5" t="s">
        <v>704</v>
      </c>
      <c r="C168" s="5" t="s">
        <v>691</v>
      </c>
      <c r="D168" s="5" t="s">
        <v>22</v>
      </c>
      <c r="E168" s="5" t="s">
        <v>35</v>
      </c>
      <c r="F168" s="5" t="s">
        <v>619</v>
      </c>
    </row>
    <row r="169" ht="12.75" customHeight="1">
      <c r="A169" s="5" t="s">
        <v>706</v>
      </c>
      <c r="B169" s="5" t="s">
        <v>708</v>
      </c>
      <c r="C169" s="5" t="s">
        <v>691</v>
      </c>
      <c r="D169" s="5" t="s">
        <v>22</v>
      </c>
      <c r="E169" s="5" t="s">
        <v>35</v>
      </c>
      <c r="F169" s="5" t="s">
        <v>710</v>
      </c>
    </row>
    <row r="170" ht="12.75" customHeight="1">
      <c r="A170" s="5" t="s">
        <v>711</v>
      </c>
      <c r="B170" s="5" t="s">
        <v>712</v>
      </c>
      <c r="C170" s="5" t="s">
        <v>691</v>
      </c>
      <c r="D170" s="5" t="s">
        <v>22</v>
      </c>
      <c r="E170" s="5" t="s">
        <v>35</v>
      </c>
      <c r="F170" s="5" t="s">
        <v>713</v>
      </c>
    </row>
    <row r="171" ht="12.75" customHeight="1">
      <c r="A171" s="5" t="s">
        <v>714</v>
      </c>
      <c r="B171" s="5" t="s">
        <v>715</v>
      </c>
      <c r="C171" s="5" t="s">
        <v>691</v>
      </c>
      <c r="D171" s="5" t="s">
        <v>22</v>
      </c>
      <c r="E171" s="5" t="s">
        <v>35</v>
      </c>
      <c r="F171" s="5" t="s">
        <v>267</v>
      </c>
    </row>
    <row r="172" ht="12.75" customHeight="1">
      <c r="A172" s="5" t="s">
        <v>716</v>
      </c>
      <c r="B172" s="5" t="s">
        <v>717</v>
      </c>
      <c r="C172" s="5" t="s">
        <v>691</v>
      </c>
      <c r="D172" s="5" t="s">
        <v>22</v>
      </c>
      <c r="E172" s="5" t="s">
        <v>35</v>
      </c>
      <c r="F172" s="5" t="s">
        <v>605</v>
      </c>
    </row>
    <row r="173" ht="12.75" customHeight="1">
      <c r="A173" s="5" t="s">
        <v>718</v>
      </c>
      <c r="B173" s="5" t="s">
        <v>719</v>
      </c>
      <c r="C173" s="5" t="s">
        <v>691</v>
      </c>
      <c r="D173" s="5" t="s">
        <v>22</v>
      </c>
      <c r="E173" s="5" t="s">
        <v>42</v>
      </c>
      <c r="F173" s="5" t="s">
        <v>720</v>
      </c>
    </row>
    <row r="174" ht="12.75" customHeight="1">
      <c r="A174" s="5" t="s">
        <v>721</v>
      </c>
      <c r="B174" s="5" t="s">
        <v>722</v>
      </c>
      <c r="C174" s="5" t="s">
        <v>691</v>
      </c>
      <c r="D174" s="5" t="s">
        <v>22</v>
      </c>
      <c r="E174" s="5" t="s">
        <v>42</v>
      </c>
      <c r="F174" s="5" t="s">
        <v>228</v>
      </c>
    </row>
    <row r="175" ht="12.75" customHeight="1">
      <c r="A175" s="5" t="s">
        <v>726</v>
      </c>
      <c r="B175" s="5" t="s">
        <v>727</v>
      </c>
      <c r="C175" s="5" t="s">
        <v>691</v>
      </c>
      <c r="D175" s="5" t="s">
        <v>22</v>
      </c>
      <c r="E175" s="5" t="s">
        <v>42</v>
      </c>
      <c r="F175" s="5" t="s">
        <v>575</v>
      </c>
    </row>
    <row r="176" ht="12.75" customHeight="1">
      <c r="A176" s="5" t="s">
        <v>728</v>
      </c>
      <c r="B176" s="5" t="s">
        <v>729</v>
      </c>
      <c r="C176" s="5" t="s">
        <v>691</v>
      </c>
      <c r="D176" s="5" t="s">
        <v>22</v>
      </c>
      <c r="E176" s="5" t="s">
        <v>42</v>
      </c>
      <c r="F176" s="5" t="s">
        <v>672</v>
      </c>
    </row>
    <row r="177" ht="12.75" customHeight="1">
      <c r="A177" s="5" t="s">
        <v>730</v>
      </c>
      <c r="B177" s="5" t="s">
        <v>731</v>
      </c>
      <c r="C177" s="5" t="s">
        <v>691</v>
      </c>
      <c r="D177" s="5" t="s">
        <v>22</v>
      </c>
      <c r="E177" s="5" t="s">
        <v>42</v>
      </c>
      <c r="F177" s="5" t="s">
        <v>732</v>
      </c>
    </row>
    <row r="178" ht="12.75" customHeight="1">
      <c r="A178" s="5" t="s">
        <v>733</v>
      </c>
      <c r="B178" s="5" t="s">
        <v>734</v>
      </c>
      <c r="C178" s="5" t="s">
        <v>691</v>
      </c>
      <c r="D178" s="5" t="s">
        <v>22</v>
      </c>
      <c r="E178" s="5" t="s">
        <v>42</v>
      </c>
      <c r="F178" s="5" t="s">
        <v>572</v>
      </c>
    </row>
    <row r="179" ht="12.75" customHeight="1">
      <c r="A179" s="5" t="s">
        <v>735</v>
      </c>
      <c r="B179" s="5" t="s">
        <v>736</v>
      </c>
      <c r="C179" s="5" t="s">
        <v>691</v>
      </c>
      <c r="D179" s="5" t="s">
        <v>22</v>
      </c>
      <c r="E179" s="5" t="s">
        <v>42</v>
      </c>
      <c r="F179" s="5" t="s">
        <v>575</v>
      </c>
    </row>
    <row r="180" ht="12.75" customHeight="1">
      <c r="A180" s="5" t="s">
        <v>737</v>
      </c>
      <c r="B180" s="5" t="s">
        <v>738</v>
      </c>
      <c r="C180" s="5" t="s">
        <v>691</v>
      </c>
      <c r="D180" s="5" t="s">
        <v>22</v>
      </c>
      <c r="E180" s="5" t="s">
        <v>42</v>
      </c>
      <c r="F180" s="5" t="s">
        <v>54</v>
      </c>
    </row>
    <row r="181" ht="12.75" customHeight="1">
      <c r="A181" s="5" t="s">
        <v>741</v>
      </c>
      <c r="B181" s="5" t="s">
        <v>743</v>
      </c>
      <c r="C181" s="5" t="s">
        <v>691</v>
      </c>
      <c r="D181" s="5" t="s">
        <v>22</v>
      </c>
      <c r="E181" s="5" t="s">
        <v>42</v>
      </c>
      <c r="F181" s="5" t="s">
        <v>65</v>
      </c>
    </row>
    <row r="182" ht="12.75" customHeight="1">
      <c r="A182" s="5" t="s">
        <v>744</v>
      </c>
      <c r="B182" s="5" t="s">
        <v>745</v>
      </c>
      <c r="C182" s="5" t="s">
        <v>691</v>
      </c>
      <c r="D182" s="5" t="s">
        <v>22</v>
      </c>
      <c r="E182" s="5" t="s">
        <v>42</v>
      </c>
      <c r="F182" s="5" t="s">
        <v>423</v>
      </c>
    </row>
    <row r="183" ht="12.75" customHeight="1">
      <c r="A183" s="5" t="s">
        <v>746</v>
      </c>
      <c r="B183" s="5" t="s">
        <v>747</v>
      </c>
      <c r="C183" s="5" t="s">
        <v>746</v>
      </c>
      <c r="D183" s="5" t="s">
        <v>34</v>
      </c>
      <c r="E183" s="5" t="s">
        <v>35</v>
      </c>
      <c r="F183" s="5" t="s">
        <v>605</v>
      </c>
      <c r="L183" s="5" t="s">
        <v>748</v>
      </c>
    </row>
    <row r="184" ht="12.75" customHeight="1">
      <c r="A184" s="5" t="s">
        <v>748</v>
      </c>
      <c r="B184" s="5" t="s">
        <v>749</v>
      </c>
      <c r="C184" s="5" t="s">
        <v>746</v>
      </c>
      <c r="D184" s="5" t="s">
        <v>34</v>
      </c>
      <c r="E184" s="5" t="s">
        <v>35</v>
      </c>
      <c r="F184" s="5" t="s">
        <v>605</v>
      </c>
      <c r="H184" s="5" t="s">
        <v>746</v>
      </c>
      <c r="I184" s="10" t="s">
        <v>72</v>
      </c>
    </row>
    <row r="185" ht="12.75" customHeight="1">
      <c r="A185" s="5" t="s">
        <v>750</v>
      </c>
      <c r="B185" s="5" t="s">
        <v>751</v>
      </c>
      <c r="C185" s="5" t="s">
        <v>750</v>
      </c>
      <c r="D185" s="5" t="s">
        <v>34</v>
      </c>
      <c r="E185" s="5" t="s">
        <v>42</v>
      </c>
      <c r="F185" s="5" t="s">
        <v>599</v>
      </c>
    </row>
    <row r="186" ht="12.75" customHeight="1">
      <c r="A186" s="5" t="s">
        <v>752</v>
      </c>
      <c r="B186" s="5" t="s">
        <v>753</v>
      </c>
      <c r="C186" s="5" t="s">
        <v>752</v>
      </c>
      <c r="D186" s="5" t="s">
        <v>34</v>
      </c>
      <c r="E186" s="5" t="s">
        <v>42</v>
      </c>
      <c r="F186" s="5" t="s">
        <v>756</v>
      </c>
    </row>
    <row r="187" ht="12.75" customHeight="1">
      <c r="A187" s="5" t="s">
        <v>758</v>
      </c>
      <c r="B187" s="5" t="s">
        <v>759</v>
      </c>
      <c r="C187" s="5" t="s">
        <v>760</v>
      </c>
      <c r="D187" s="5" t="s">
        <v>34</v>
      </c>
      <c r="E187" s="5" t="s">
        <v>35</v>
      </c>
      <c r="F187" s="5" t="s">
        <v>278</v>
      </c>
      <c r="G187" s="10" t="s">
        <v>72</v>
      </c>
    </row>
    <row r="188" ht="12.75" customHeight="1">
      <c r="A188" s="5" t="s">
        <v>761</v>
      </c>
      <c r="B188" s="5" t="s">
        <v>762</v>
      </c>
      <c r="C188" s="5" t="s">
        <v>761</v>
      </c>
      <c r="D188" s="5" t="s">
        <v>124</v>
      </c>
      <c r="E188" s="5" t="s">
        <v>35</v>
      </c>
      <c r="F188" s="5" t="s">
        <v>763</v>
      </c>
    </row>
    <row r="189" ht="12.75" customHeight="1">
      <c r="A189" s="5" t="s">
        <v>764</v>
      </c>
      <c r="B189" s="10" t="s">
        <v>765</v>
      </c>
      <c r="C189" s="5" t="s">
        <v>764</v>
      </c>
      <c r="D189" s="5" t="s">
        <v>34</v>
      </c>
      <c r="E189" s="5" t="s">
        <v>42</v>
      </c>
      <c r="F189" s="5" t="s">
        <v>556</v>
      </c>
    </row>
    <row r="190" ht="12.75" customHeight="1">
      <c r="A190" s="5" t="s">
        <v>766</v>
      </c>
      <c r="B190" s="5" t="s">
        <v>767</v>
      </c>
      <c r="C190" s="5" t="s">
        <v>768</v>
      </c>
      <c r="D190" s="5" t="s">
        <v>50</v>
      </c>
      <c r="E190" s="5" t="s">
        <v>42</v>
      </c>
      <c r="F190" s="5" t="s">
        <v>720</v>
      </c>
    </row>
    <row r="191" ht="12.75" customHeight="1">
      <c r="A191" s="5" t="s">
        <v>772</v>
      </c>
      <c r="B191" s="10" t="s">
        <v>773</v>
      </c>
      <c r="C191" s="5" t="s">
        <v>774</v>
      </c>
      <c r="D191" s="5" t="s">
        <v>34</v>
      </c>
      <c r="E191" s="5" t="s">
        <v>42</v>
      </c>
      <c r="F191" s="5" t="s">
        <v>162</v>
      </c>
    </row>
    <row r="192" ht="12.75" customHeight="1">
      <c r="A192" s="5" t="s">
        <v>775</v>
      </c>
      <c r="B192" s="10" t="s">
        <v>776</v>
      </c>
      <c r="C192" s="5" t="s">
        <v>775</v>
      </c>
      <c r="D192" s="5" t="s">
        <v>34</v>
      </c>
      <c r="E192" s="5" t="s">
        <v>35</v>
      </c>
      <c r="F192" s="5" t="s">
        <v>710</v>
      </c>
    </row>
    <row r="193" ht="12.75" customHeight="1">
      <c r="A193" s="5" t="s">
        <v>777</v>
      </c>
      <c r="B193" s="5" t="s">
        <v>778</v>
      </c>
      <c r="C193" s="5" t="s">
        <v>777</v>
      </c>
      <c r="D193" s="5" t="s">
        <v>34</v>
      </c>
      <c r="E193" s="5" t="s">
        <v>42</v>
      </c>
      <c r="F193" s="5" t="s">
        <v>556</v>
      </c>
      <c r="G193" s="10" t="s">
        <v>72</v>
      </c>
    </row>
    <row r="194" ht="12.75" customHeight="1">
      <c r="A194" s="5" t="s">
        <v>779</v>
      </c>
      <c r="B194" s="10" t="s">
        <v>780</v>
      </c>
      <c r="C194" s="5" t="s">
        <v>779</v>
      </c>
      <c r="D194" s="5" t="s">
        <v>34</v>
      </c>
      <c r="E194" s="5" t="s">
        <v>42</v>
      </c>
      <c r="F194" s="5" t="s">
        <v>575</v>
      </c>
    </row>
    <row r="195" ht="12.75" customHeight="1">
      <c r="A195" s="5" t="s">
        <v>781</v>
      </c>
      <c r="B195" s="5" t="s">
        <v>782</v>
      </c>
      <c r="C195" s="5" t="s">
        <v>783</v>
      </c>
      <c r="D195" s="5" t="s">
        <v>67</v>
      </c>
      <c r="E195" s="5" t="s">
        <v>42</v>
      </c>
      <c r="F195" s="5" t="s">
        <v>784</v>
      </c>
    </row>
    <row r="196" ht="12.75" customHeight="1">
      <c r="A196" s="5" t="s">
        <v>785</v>
      </c>
      <c r="B196" s="5" t="s">
        <v>786</v>
      </c>
      <c r="C196" s="5" t="s">
        <v>787</v>
      </c>
      <c r="D196" s="5" t="s">
        <v>34</v>
      </c>
      <c r="E196" s="5" t="s">
        <v>42</v>
      </c>
      <c r="F196" s="5" t="s">
        <v>756</v>
      </c>
      <c r="H196" s="5" t="s">
        <v>788</v>
      </c>
    </row>
    <row r="197" ht="12.75" customHeight="1">
      <c r="A197" s="5" t="s">
        <v>790</v>
      </c>
      <c r="B197" s="5" t="s">
        <v>792</v>
      </c>
      <c r="C197" s="5" t="s">
        <v>793</v>
      </c>
      <c r="D197" s="5" t="s">
        <v>34</v>
      </c>
      <c r="E197" s="5" t="s">
        <v>42</v>
      </c>
      <c r="F197" s="5" t="s">
        <v>65</v>
      </c>
      <c r="H197" s="5" t="s">
        <v>788</v>
      </c>
    </row>
    <row r="198" ht="12.75" customHeight="1">
      <c r="A198" s="5" t="s">
        <v>795</v>
      </c>
      <c r="B198" s="5" t="s">
        <v>796</v>
      </c>
      <c r="C198" s="5" t="s">
        <v>797</v>
      </c>
      <c r="D198" s="5" t="s">
        <v>34</v>
      </c>
      <c r="E198" s="5" t="s">
        <v>42</v>
      </c>
      <c r="F198" s="5" t="s">
        <v>167</v>
      </c>
      <c r="H198" s="5" t="s">
        <v>788</v>
      </c>
    </row>
    <row r="199" ht="12.75" customHeight="1">
      <c r="A199" s="5" t="s">
        <v>798</v>
      </c>
      <c r="B199" s="5" t="s">
        <v>799</v>
      </c>
      <c r="C199" s="5" t="s">
        <v>800</v>
      </c>
      <c r="D199" s="5" t="s">
        <v>34</v>
      </c>
      <c r="E199" s="5" t="s">
        <v>42</v>
      </c>
      <c r="F199" s="5" t="s">
        <v>575</v>
      </c>
    </row>
    <row r="200" ht="12.75" customHeight="1">
      <c r="A200" s="5" t="s">
        <v>801</v>
      </c>
      <c r="B200" s="5" t="s">
        <v>802</v>
      </c>
      <c r="C200" s="5" t="s">
        <v>803</v>
      </c>
      <c r="D200" s="5" t="s">
        <v>34</v>
      </c>
      <c r="E200" s="5" t="s">
        <v>42</v>
      </c>
      <c r="F200" s="5" t="s">
        <v>720</v>
      </c>
      <c r="G200" s="10" t="s">
        <v>72</v>
      </c>
    </row>
    <row r="201" ht="12.75" customHeight="1">
      <c r="A201" s="5" t="s">
        <v>804</v>
      </c>
      <c r="B201" s="10" t="s">
        <v>805</v>
      </c>
      <c r="C201" s="5" t="s">
        <v>806</v>
      </c>
      <c r="D201" s="5" t="s">
        <v>34</v>
      </c>
      <c r="E201" s="5" t="s">
        <v>35</v>
      </c>
      <c r="F201" s="5" t="s">
        <v>278</v>
      </c>
      <c r="G201" s="10" t="s">
        <v>72</v>
      </c>
    </row>
    <row r="202" ht="12.75" customHeight="1">
      <c r="A202" s="5" t="s">
        <v>807</v>
      </c>
      <c r="B202" s="10" t="s">
        <v>808</v>
      </c>
      <c r="C202" s="5" t="s">
        <v>809</v>
      </c>
      <c r="D202" s="5" t="s">
        <v>34</v>
      </c>
      <c r="E202" s="5" t="s">
        <v>35</v>
      </c>
      <c r="F202" s="5" t="s">
        <v>713</v>
      </c>
      <c r="G202" s="10" t="s">
        <v>72</v>
      </c>
    </row>
    <row r="203" ht="12.75" customHeight="1">
      <c r="A203" s="5" t="s">
        <v>810</v>
      </c>
      <c r="B203" s="10" t="s">
        <v>811</v>
      </c>
      <c r="C203" s="5" t="s">
        <v>812</v>
      </c>
      <c r="D203" s="5" t="s">
        <v>74</v>
      </c>
      <c r="E203" s="5" t="s">
        <v>35</v>
      </c>
      <c r="F203" s="5" t="s">
        <v>813</v>
      </c>
      <c r="G203" s="10" t="s">
        <v>72</v>
      </c>
    </row>
    <row r="204" ht="12.75" customHeight="1">
      <c r="A204" s="5" t="s">
        <v>814</v>
      </c>
      <c r="B204" s="5" t="s">
        <v>815</v>
      </c>
      <c r="C204" s="5" t="s">
        <v>816</v>
      </c>
      <c r="D204" s="5" t="s">
        <v>34</v>
      </c>
      <c r="E204" s="5" t="s">
        <v>42</v>
      </c>
      <c r="F204" s="5" t="s">
        <v>228</v>
      </c>
      <c r="G204" s="10" t="s">
        <v>72</v>
      </c>
    </row>
    <row r="205" ht="12.75" customHeight="1">
      <c r="A205" s="5" t="s">
        <v>817</v>
      </c>
      <c r="B205" s="5" t="s">
        <v>818</v>
      </c>
      <c r="C205" s="5" t="s">
        <v>819</v>
      </c>
      <c r="D205" s="5" t="s">
        <v>34</v>
      </c>
      <c r="E205" s="5" t="s">
        <v>42</v>
      </c>
      <c r="F205" s="5" t="s">
        <v>228</v>
      </c>
      <c r="G205" s="10" t="s">
        <v>72</v>
      </c>
    </row>
    <row r="206" ht="12.75" customHeight="1">
      <c r="A206" s="5" t="s">
        <v>820</v>
      </c>
      <c r="B206" s="5" t="s">
        <v>821</v>
      </c>
      <c r="D206" s="5" t="s">
        <v>822</v>
      </c>
      <c r="E206" s="5" t="s">
        <v>42</v>
      </c>
      <c r="F206" s="5" t="s">
        <v>454</v>
      </c>
    </row>
    <row r="207" ht="12.75" customHeight="1">
      <c r="A207" s="5" t="s">
        <v>823</v>
      </c>
      <c r="B207" s="10" t="s">
        <v>824</v>
      </c>
      <c r="C207" s="5" t="s">
        <v>825</v>
      </c>
      <c r="D207" s="5" t="s">
        <v>34</v>
      </c>
      <c r="E207" s="5" t="s">
        <v>42</v>
      </c>
      <c r="F207" s="5" t="s">
        <v>199</v>
      </c>
    </row>
    <row r="208" ht="12.75" customHeight="1">
      <c r="A208" s="5" t="s">
        <v>826</v>
      </c>
      <c r="B208" s="5" t="s">
        <v>827</v>
      </c>
      <c r="C208" s="5" t="s">
        <v>828</v>
      </c>
      <c r="D208" s="5" t="s">
        <v>48</v>
      </c>
      <c r="E208" s="5" t="s">
        <v>42</v>
      </c>
      <c r="F208" s="5" t="s">
        <v>829</v>
      </c>
    </row>
    <row r="209" ht="12.75" customHeight="1">
      <c r="A209" s="5" t="s">
        <v>830</v>
      </c>
      <c r="B209" s="5" t="s">
        <v>831</v>
      </c>
      <c r="C209" s="5" t="s">
        <v>832</v>
      </c>
      <c r="D209" s="5" t="s">
        <v>155</v>
      </c>
      <c r="E209" s="5" t="s">
        <v>42</v>
      </c>
      <c r="F209" s="5" t="s">
        <v>426</v>
      </c>
    </row>
    <row r="210" ht="12.75" customHeight="1">
      <c r="A210" s="5" t="s">
        <v>833</v>
      </c>
      <c r="B210" s="5" t="s">
        <v>834</v>
      </c>
      <c r="C210" s="5" t="s">
        <v>835</v>
      </c>
      <c r="D210" s="5" t="s">
        <v>168</v>
      </c>
      <c r="E210" s="5" t="s">
        <v>35</v>
      </c>
      <c r="F210" s="5" t="s">
        <v>49</v>
      </c>
    </row>
    <row r="211" ht="12.75" customHeight="1">
      <c r="A211" s="5" t="s">
        <v>836</v>
      </c>
      <c r="B211" s="5" t="s">
        <v>837</v>
      </c>
      <c r="C211" s="5" t="s">
        <v>838</v>
      </c>
      <c r="D211" s="5" t="s">
        <v>124</v>
      </c>
      <c r="E211" s="5" t="s">
        <v>35</v>
      </c>
      <c r="F211" s="5" t="s">
        <v>125</v>
      </c>
    </row>
    <row r="212" ht="12.75" customHeight="1">
      <c r="A212" s="5" t="s">
        <v>839</v>
      </c>
      <c r="B212" s="5" t="s">
        <v>840</v>
      </c>
      <c r="D212" s="5" t="s">
        <v>34</v>
      </c>
      <c r="E212" s="5" t="s">
        <v>42</v>
      </c>
      <c r="F212" s="5" t="s">
        <v>657</v>
      </c>
      <c r="G212" s="10" t="s">
        <v>72</v>
      </c>
      <c r="H212" s="5" t="s">
        <v>841</v>
      </c>
      <c r="I212" s="10" t="s">
        <v>72</v>
      </c>
    </row>
    <row r="213" ht="12.75" customHeight="1">
      <c r="A213" s="5" t="s">
        <v>842</v>
      </c>
      <c r="B213" s="5" t="s">
        <v>843</v>
      </c>
      <c r="D213" s="5" t="s">
        <v>34</v>
      </c>
      <c r="E213" s="5" t="s">
        <v>42</v>
      </c>
      <c r="F213" s="5" t="s">
        <v>657</v>
      </c>
      <c r="G213" s="10" t="s">
        <v>72</v>
      </c>
      <c r="H213" s="5" t="s">
        <v>841</v>
      </c>
      <c r="I213" s="10" t="s">
        <v>72</v>
      </c>
    </row>
    <row r="214" ht="12.75" customHeight="1">
      <c r="A214" s="5" t="s">
        <v>844</v>
      </c>
      <c r="B214" s="5" t="s">
        <v>845</v>
      </c>
      <c r="D214" s="5" t="s">
        <v>34</v>
      </c>
      <c r="E214" s="5" t="s">
        <v>42</v>
      </c>
      <c r="F214" s="5" t="s">
        <v>657</v>
      </c>
      <c r="G214" s="10" t="s">
        <v>72</v>
      </c>
      <c r="H214" s="5" t="s">
        <v>841</v>
      </c>
      <c r="I214" s="10" t="s">
        <v>72</v>
      </c>
    </row>
    <row r="215" ht="12.75" customHeight="1">
      <c r="A215" s="5" t="s">
        <v>846</v>
      </c>
      <c r="B215" s="5" t="s">
        <v>847</v>
      </c>
      <c r="C215" s="5" t="s">
        <v>846</v>
      </c>
      <c r="D215" s="5" t="s">
        <v>22</v>
      </c>
      <c r="E215" s="5" t="s">
        <v>35</v>
      </c>
      <c r="F215" s="5" t="s">
        <v>616</v>
      </c>
    </row>
    <row r="216" ht="12.75" customHeight="1">
      <c r="A216" s="5" t="s">
        <v>848</v>
      </c>
      <c r="B216" s="5" t="s">
        <v>849</v>
      </c>
      <c r="C216" s="5" t="s">
        <v>848</v>
      </c>
      <c r="D216" s="5" t="s">
        <v>46</v>
      </c>
      <c r="E216" s="5" t="s">
        <v>42</v>
      </c>
      <c r="F216" s="5" t="s">
        <v>157</v>
      </c>
      <c r="G216" s="10" t="s">
        <v>72</v>
      </c>
    </row>
    <row r="217" ht="12.75" customHeight="1">
      <c r="A217" s="5" t="s">
        <v>850</v>
      </c>
      <c r="B217" s="5" t="s">
        <v>851</v>
      </c>
      <c r="C217" s="5" t="s">
        <v>852</v>
      </c>
      <c r="D217" s="5" t="s">
        <v>50</v>
      </c>
      <c r="E217" s="5" t="s">
        <v>42</v>
      </c>
      <c r="F217" s="5" t="s">
        <v>575</v>
      </c>
    </row>
    <row r="218" ht="12.75" customHeight="1">
      <c r="A218" s="5" t="s">
        <v>853</v>
      </c>
      <c r="B218" s="5" t="s">
        <v>854</v>
      </c>
      <c r="C218" s="5" t="s">
        <v>855</v>
      </c>
      <c r="D218" s="5" t="s">
        <v>50</v>
      </c>
      <c r="E218" s="5" t="s">
        <v>35</v>
      </c>
      <c r="F218" s="5" t="s">
        <v>710</v>
      </c>
    </row>
    <row r="219" ht="12.75" customHeight="1">
      <c r="A219" s="5" t="s">
        <v>856</v>
      </c>
      <c r="B219" s="5" t="s">
        <v>857</v>
      </c>
      <c r="C219" s="5" t="s">
        <v>858</v>
      </c>
      <c r="D219" s="5" t="s">
        <v>34</v>
      </c>
      <c r="E219" s="5" t="s">
        <v>42</v>
      </c>
      <c r="F219" s="5" t="s">
        <v>423</v>
      </c>
      <c r="G219" s="10" t="s">
        <v>72</v>
      </c>
    </row>
    <row r="220" ht="12.75" customHeight="1">
      <c r="A220" s="5" t="s">
        <v>859</v>
      </c>
      <c r="B220" s="10" t="s">
        <v>860</v>
      </c>
      <c r="C220" s="5" t="s">
        <v>861</v>
      </c>
      <c r="D220" s="5" t="s">
        <v>34</v>
      </c>
      <c r="E220" s="5" t="s">
        <v>42</v>
      </c>
      <c r="F220" s="5" t="s">
        <v>199</v>
      </c>
    </row>
    <row r="221" ht="12.75" customHeight="1">
      <c r="A221" s="5" t="s">
        <v>862</v>
      </c>
      <c r="B221" s="5" t="s">
        <v>863</v>
      </c>
      <c r="C221" s="5" t="s">
        <v>864</v>
      </c>
      <c r="D221" s="5" t="s">
        <v>34</v>
      </c>
      <c r="E221" s="5" t="s">
        <v>42</v>
      </c>
      <c r="F221" s="5" t="s">
        <v>720</v>
      </c>
      <c r="G221" s="10" t="s">
        <v>72</v>
      </c>
    </row>
    <row r="222" ht="12.75" customHeight="1">
      <c r="A222" s="5" t="s">
        <v>865</v>
      </c>
      <c r="B222" s="5" t="s">
        <v>866</v>
      </c>
      <c r="C222" s="5" t="s">
        <v>867</v>
      </c>
      <c r="D222" s="5" t="s">
        <v>50</v>
      </c>
      <c r="E222" s="5" t="s">
        <v>35</v>
      </c>
      <c r="F222" s="5" t="s">
        <v>868</v>
      </c>
    </row>
    <row r="223" ht="12.75" customHeight="1">
      <c r="A223" s="5" t="s">
        <v>869</v>
      </c>
      <c r="B223" s="5" t="s">
        <v>870</v>
      </c>
      <c r="C223" s="5" t="s">
        <v>871</v>
      </c>
      <c r="D223" s="5" t="s">
        <v>34</v>
      </c>
      <c r="E223" s="5" t="s">
        <v>42</v>
      </c>
      <c r="F223" s="5" t="s">
        <v>756</v>
      </c>
      <c r="H223" s="5" t="s">
        <v>788</v>
      </c>
    </row>
    <row r="224" ht="12.75" customHeight="1">
      <c r="A224" s="5" t="s">
        <v>872</v>
      </c>
      <c r="B224" s="5" t="s">
        <v>873</v>
      </c>
      <c r="C224" s="5" t="s">
        <v>874</v>
      </c>
      <c r="D224" s="5" t="s">
        <v>34</v>
      </c>
      <c r="E224" s="5" t="s">
        <v>42</v>
      </c>
      <c r="F224" s="5" t="s">
        <v>572</v>
      </c>
      <c r="H224" s="5" t="s">
        <v>788</v>
      </c>
    </row>
    <row r="225" ht="12.75" customHeight="1">
      <c r="A225" s="5" t="s">
        <v>875</v>
      </c>
      <c r="B225" s="5" t="s">
        <v>876</v>
      </c>
      <c r="C225" s="5" t="s">
        <v>877</v>
      </c>
      <c r="D225" s="5" t="s">
        <v>34</v>
      </c>
      <c r="E225" s="5" t="s">
        <v>42</v>
      </c>
      <c r="F225" s="5" t="s">
        <v>878</v>
      </c>
      <c r="H225" s="5" t="s">
        <v>788</v>
      </c>
    </row>
    <row r="226" ht="12.75" customHeight="1">
      <c r="A226" s="5" t="s">
        <v>879</v>
      </c>
      <c r="B226" s="5" t="s">
        <v>880</v>
      </c>
      <c r="C226" s="5" t="s">
        <v>881</v>
      </c>
      <c r="D226" s="5" t="s">
        <v>34</v>
      </c>
      <c r="E226" s="5" t="s">
        <v>42</v>
      </c>
      <c r="F226" s="5" t="s">
        <v>199</v>
      </c>
    </row>
    <row r="227" ht="12.75" customHeight="1">
      <c r="A227" s="5" t="s">
        <v>788</v>
      </c>
      <c r="B227" s="5" t="s">
        <v>882</v>
      </c>
      <c r="C227" s="5" t="s">
        <v>881</v>
      </c>
      <c r="D227" s="5" t="s">
        <v>34</v>
      </c>
      <c r="E227" s="5" t="s">
        <v>42</v>
      </c>
      <c r="F227" s="5" t="s">
        <v>599</v>
      </c>
      <c r="K227" s="5" t="s">
        <v>883</v>
      </c>
    </row>
    <row r="228" ht="12.75" customHeight="1">
      <c r="A228" s="5" t="s">
        <v>884</v>
      </c>
      <c r="B228" s="10" t="s">
        <v>885</v>
      </c>
      <c r="C228" s="5" t="s">
        <v>886</v>
      </c>
      <c r="D228" s="5" t="s">
        <v>34</v>
      </c>
      <c r="E228" s="5" t="s">
        <v>42</v>
      </c>
      <c r="F228" s="5" t="s">
        <v>65</v>
      </c>
      <c r="H228" s="5" t="s">
        <v>788</v>
      </c>
    </row>
    <row r="229" ht="12.75" customHeight="1">
      <c r="A229" s="5" t="s">
        <v>887</v>
      </c>
      <c r="B229" s="5" t="s">
        <v>888</v>
      </c>
      <c r="C229" s="5" t="s">
        <v>889</v>
      </c>
      <c r="D229" s="5" t="s">
        <v>34</v>
      </c>
      <c r="E229" s="5" t="s">
        <v>42</v>
      </c>
      <c r="F229" s="5" t="s">
        <v>54</v>
      </c>
      <c r="H229" s="5" t="s">
        <v>788</v>
      </c>
    </row>
    <row r="230" ht="12.75" customHeight="1">
      <c r="A230" s="5" t="s">
        <v>890</v>
      </c>
      <c r="B230" s="5" t="s">
        <v>891</v>
      </c>
      <c r="C230" s="5" t="s">
        <v>890</v>
      </c>
      <c r="D230" s="5" t="s">
        <v>22</v>
      </c>
      <c r="E230" s="5" t="s">
        <v>42</v>
      </c>
      <c r="F230" s="5" t="s">
        <v>756</v>
      </c>
    </row>
    <row r="231" ht="12.75" customHeight="1">
      <c r="A231" s="5" t="s">
        <v>892</v>
      </c>
      <c r="B231" s="5" t="s">
        <v>893</v>
      </c>
      <c r="C231" s="5" t="s">
        <v>892</v>
      </c>
      <c r="D231" s="5" t="s">
        <v>50</v>
      </c>
      <c r="E231" s="5" t="s">
        <v>42</v>
      </c>
      <c r="F231" s="5" t="s">
        <v>556</v>
      </c>
    </row>
    <row r="232" ht="12.75" customHeight="1">
      <c r="A232" s="5" t="s">
        <v>894</v>
      </c>
      <c r="B232" s="5" t="s">
        <v>895</v>
      </c>
      <c r="C232" s="5" t="s">
        <v>892</v>
      </c>
      <c r="D232" s="5" t="s">
        <v>50</v>
      </c>
      <c r="E232" s="5" t="s">
        <v>42</v>
      </c>
      <c r="F232" s="5" t="s">
        <v>556</v>
      </c>
      <c r="G232" s="10" t="s">
        <v>72</v>
      </c>
    </row>
    <row r="233" ht="12.75" customHeight="1">
      <c r="A233" s="5" t="s">
        <v>896</v>
      </c>
      <c r="B233" s="5" t="s">
        <v>897</v>
      </c>
      <c r="C233" s="5" t="s">
        <v>892</v>
      </c>
      <c r="D233" s="5" t="s">
        <v>50</v>
      </c>
      <c r="E233" s="5" t="s">
        <v>42</v>
      </c>
      <c r="F233" s="5" t="s">
        <v>556</v>
      </c>
    </row>
    <row r="234" ht="12.75" customHeight="1">
      <c r="A234" s="5" t="s">
        <v>898</v>
      </c>
      <c r="B234" s="5" t="s">
        <v>899</v>
      </c>
      <c r="C234" s="5" t="s">
        <v>900</v>
      </c>
      <c r="D234" s="5" t="s">
        <v>155</v>
      </c>
      <c r="E234" s="5" t="s">
        <v>42</v>
      </c>
      <c r="F234" s="5" t="s">
        <v>829</v>
      </c>
    </row>
    <row r="235" ht="12.75" customHeight="1">
      <c r="A235" s="5" t="s">
        <v>901</v>
      </c>
      <c r="B235" s="5" t="s">
        <v>902</v>
      </c>
      <c r="C235" s="5" t="s">
        <v>903</v>
      </c>
      <c r="D235" s="5" t="s">
        <v>22</v>
      </c>
      <c r="E235" s="5" t="s">
        <v>35</v>
      </c>
      <c r="F235" s="5" t="s">
        <v>605</v>
      </c>
      <c r="G235" s="10" t="s">
        <v>72</v>
      </c>
    </row>
    <row r="236" ht="12.75" customHeight="1">
      <c r="A236" s="5" t="s">
        <v>904</v>
      </c>
      <c r="B236" s="10" t="s">
        <v>905</v>
      </c>
      <c r="C236" s="5" t="s">
        <v>906</v>
      </c>
      <c r="D236" s="5" t="s">
        <v>50</v>
      </c>
      <c r="E236" s="5" t="s">
        <v>42</v>
      </c>
      <c r="F236" s="5" t="s">
        <v>83</v>
      </c>
    </row>
    <row r="237" ht="12.75" customHeight="1">
      <c r="A237" s="5" t="s">
        <v>907</v>
      </c>
      <c r="B237" s="5" t="s">
        <v>908</v>
      </c>
      <c r="C237" s="5" t="s">
        <v>909</v>
      </c>
      <c r="D237" s="5" t="s">
        <v>50</v>
      </c>
      <c r="E237" s="5" t="s">
        <v>42</v>
      </c>
      <c r="F237" s="5" t="s">
        <v>575</v>
      </c>
      <c r="G237" s="10" t="s">
        <v>72</v>
      </c>
    </row>
    <row r="238" ht="12.75" customHeight="1">
      <c r="A238" s="5" t="s">
        <v>910</v>
      </c>
      <c r="B238" s="10" t="s">
        <v>911</v>
      </c>
      <c r="C238" s="5" t="s">
        <v>912</v>
      </c>
      <c r="D238" s="5" t="s">
        <v>50</v>
      </c>
      <c r="E238" s="5" t="s">
        <v>35</v>
      </c>
      <c r="F238" s="5" t="s">
        <v>913</v>
      </c>
    </row>
    <row r="239" ht="12.75" customHeight="1">
      <c r="A239" s="5" t="s">
        <v>914</v>
      </c>
      <c r="B239" s="5" t="s">
        <v>915</v>
      </c>
      <c r="D239" s="5" t="s">
        <v>34</v>
      </c>
      <c r="E239" s="5" t="s">
        <v>42</v>
      </c>
      <c r="F239" s="5" t="s">
        <v>572</v>
      </c>
      <c r="H239" s="5" t="s">
        <v>916</v>
      </c>
      <c r="I239" s="10" t="s">
        <v>72</v>
      </c>
    </row>
    <row r="240" ht="12.75" customHeight="1">
      <c r="A240" s="5" t="s">
        <v>917</v>
      </c>
      <c r="B240" s="10" t="s">
        <v>918</v>
      </c>
      <c r="C240" s="5" t="s">
        <v>919</v>
      </c>
      <c r="D240" s="5" t="s">
        <v>50</v>
      </c>
      <c r="E240" s="5" t="s">
        <v>42</v>
      </c>
      <c r="F240" s="5" t="s">
        <v>65</v>
      </c>
    </row>
    <row r="241" ht="12.75" customHeight="1">
      <c r="A241" s="5" t="s">
        <v>920</v>
      </c>
      <c r="B241" s="10" t="s">
        <v>921</v>
      </c>
      <c r="C241" s="5" t="s">
        <v>920</v>
      </c>
      <c r="D241" s="5" t="s">
        <v>22</v>
      </c>
      <c r="E241" s="5" t="s">
        <v>42</v>
      </c>
      <c r="F241" s="5" t="s">
        <v>599</v>
      </c>
      <c r="G241" s="10" t="s">
        <v>72</v>
      </c>
    </row>
    <row r="242" ht="12.75" customHeight="1">
      <c r="A242" s="5" t="s">
        <v>922</v>
      </c>
      <c r="B242" s="5" t="s">
        <v>923</v>
      </c>
      <c r="C242" s="5" t="s">
        <v>922</v>
      </c>
      <c r="D242" s="5" t="s">
        <v>46</v>
      </c>
      <c r="E242" s="5" t="s">
        <v>35</v>
      </c>
      <c r="F242" s="5" t="s">
        <v>924</v>
      </c>
    </row>
    <row r="243" ht="12.75" customHeight="1">
      <c r="A243" s="5" t="s">
        <v>925</v>
      </c>
      <c r="B243" s="5" t="s">
        <v>926</v>
      </c>
      <c r="C243" s="5" t="s">
        <v>922</v>
      </c>
      <c r="D243" s="5" t="s">
        <v>46</v>
      </c>
      <c r="E243" s="5" t="s">
        <v>35</v>
      </c>
      <c r="F243" s="5" t="s">
        <v>924</v>
      </c>
    </row>
    <row r="244" ht="12.75" customHeight="1">
      <c r="A244" s="5" t="s">
        <v>927</v>
      </c>
      <c r="B244" s="5" t="s">
        <v>928</v>
      </c>
      <c r="D244" s="5" t="s">
        <v>50</v>
      </c>
      <c r="E244" s="5" t="s">
        <v>42</v>
      </c>
      <c r="F244" s="5" t="s">
        <v>54</v>
      </c>
      <c r="G244" s="10" t="s">
        <v>72</v>
      </c>
    </row>
    <row r="245" ht="12.75" customHeight="1">
      <c r="A245" s="5" t="s">
        <v>929</v>
      </c>
      <c r="B245" s="5" t="s">
        <v>930</v>
      </c>
      <c r="C245" s="5" t="s">
        <v>931</v>
      </c>
      <c r="D245" s="5" t="s">
        <v>34</v>
      </c>
      <c r="E245" s="5" t="s">
        <v>42</v>
      </c>
      <c r="F245" s="5" t="s">
        <v>65</v>
      </c>
      <c r="G245" s="10" t="s">
        <v>72</v>
      </c>
    </row>
    <row r="246" ht="12.75" customHeight="1">
      <c r="A246" s="5" t="s">
        <v>932</v>
      </c>
      <c r="B246" s="5" t="s">
        <v>933</v>
      </c>
      <c r="C246" s="5" t="s">
        <v>934</v>
      </c>
      <c r="D246" s="5" t="s">
        <v>34</v>
      </c>
      <c r="E246" s="5" t="s">
        <v>35</v>
      </c>
      <c r="F246" s="5" t="s">
        <v>172</v>
      </c>
      <c r="G246" s="10" t="s">
        <v>72</v>
      </c>
    </row>
    <row r="247" ht="12.75" customHeight="1">
      <c r="A247" s="5" t="s">
        <v>935</v>
      </c>
      <c r="B247" s="5" t="s">
        <v>936</v>
      </c>
      <c r="C247" s="5" t="s">
        <v>937</v>
      </c>
      <c r="D247" s="5" t="s">
        <v>50</v>
      </c>
      <c r="E247" s="5" t="s">
        <v>42</v>
      </c>
      <c r="F247" s="5" t="s">
        <v>720</v>
      </c>
      <c r="G247" s="10" t="s">
        <v>72</v>
      </c>
    </row>
    <row r="248" ht="12.75" customHeight="1">
      <c r="A248" s="5" t="s">
        <v>938</v>
      </c>
      <c r="B248" s="5" t="s">
        <v>939</v>
      </c>
      <c r="C248" s="5" t="s">
        <v>940</v>
      </c>
      <c r="D248" s="5" t="s">
        <v>34</v>
      </c>
      <c r="E248" s="5" t="s">
        <v>42</v>
      </c>
      <c r="F248" s="5" t="s">
        <v>657</v>
      </c>
      <c r="G248" s="10" t="s">
        <v>72</v>
      </c>
    </row>
    <row r="249" ht="12.75" customHeight="1">
      <c r="A249" s="5" t="s">
        <v>941</v>
      </c>
      <c r="B249" s="5" t="s">
        <v>942</v>
      </c>
      <c r="C249" s="5" t="s">
        <v>943</v>
      </c>
      <c r="D249" s="5" t="s">
        <v>50</v>
      </c>
      <c r="E249" s="5" t="s">
        <v>42</v>
      </c>
      <c r="F249" s="5" t="s">
        <v>720</v>
      </c>
      <c r="G249" s="10" t="s">
        <v>72</v>
      </c>
      <c r="H249" s="5" t="s">
        <v>944</v>
      </c>
      <c r="K249" s="5" t="s">
        <v>945</v>
      </c>
    </row>
    <row r="250" ht="12.75" customHeight="1">
      <c r="A250" s="5" t="s">
        <v>946</v>
      </c>
      <c r="B250" s="5" t="s">
        <v>947</v>
      </c>
      <c r="C250" s="5" t="s">
        <v>948</v>
      </c>
      <c r="D250" s="5" t="s">
        <v>34</v>
      </c>
      <c r="E250" s="5" t="s">
        <v>42</v>
      </c>
      <c r="F250" s="5" t="s">
        <v>720</v>
      </c>
      <c r="G250" s="10" t="s">
        <v>72</v>
      </c>
      <c r="H250" s="5" t="s">
        <v>941</v>
      </c>
    </row>
    <row r="251" ht="12.75" customHeight="1">
      <c r="A251" s="5" t="s">
        <v>949</v>
      </c>
      <c r="B251" s="5" t="s">
        <v>950</v>
      </c>
      <c r="C251" s="5" t="s">
        <v>951</v>
      </c>
      <c r="D251" s="5" t="s">
        <v>34</v>
      </c>
      <c r="E251" s="5" t="s">
        <v>42</v>
      </c>
      <c r="F251" s="5" t="s">
        <v>720</v>
      </c>
      <c r="G251" s="10" t="s">
        <v>72</v>
      </c>
      <c r="H251" s="5" t="s">
        <v>941</v>
      </c>
    </row>
    <row r="252" ht="12.75" customHeight="1">
      <c r="A252" s="5" t="s">
        <v>952</v>
      </c>
      <c r="B252" s="5" t="s">
        <v>953</v>
      </c>
      <c r="C252" s="5" t="s">
        <v>954</v>
      </c>
      <c r="D252" s="5" t="s">
        <v>50</v>
      </c>
      <c r="E252" s="5" t="s">
        <v>42</v>
      </c>
      <c r="F252" s="5" t="s">
        <v>445</v>
      </c>
      <c r="G252" s="10" t="s">
        <v>72</v>
      </c>
      <c r="H252" s="5" t="s">
        <v>941</v>
      </c>
    </row>
    <row r="253" ht="12.75" customHeight="1">
      <c r="A253" s="5" t="s">
        <v>955</v>
      </c>
      <c r="B253" s="5" t="s">
        <v>956</v>
      </c>
      <c r="C253" s="5" t="s">
        <v>957</v>
      </c>
      <c r="D253" s="5" t="s">
        <v>50</v>
      </c>
      <c r="E253" s="5" t="s">
        <v>42</v>
      </c>
      <c r="F253" s="5" t="s">
        <v>199</v>
      </c>
      <c r="G253" s="10" t="s">
        <v>72</v>
      </c>
      <c r="H253" s="5" t="s">
        <v>941</v>
      </c>
    </row>
    <row r="254" ht="12.75" customHeight="1">
      <c r="A254" s="5" t="s">
        <v>958</v>
      </c>
      <c r="B254" s="10" t="s">
        <v>959</v>
      </c>
      <c r="C254" s="5" t="s">
        <v>960</v>
      </c>
      <c r="D254" s="5" t="s">
        <v>50</v>
      </c>
      <c r="E254" s="5" t="s">
        <v>42</v>
      </c>
      <c r="F254" s="5" t="s">
        <v>720</v>
      </c>
      <c r="G254" s="10" t="s">
        <v>72</v>
      </c>
      <c r="H254" s="5" t="s">
        <v>941</v>
      </c>
    </row>
    <row r="255" ht="12.75" customHeight="1">
      <c r="A255" s="5" t="s">
        <v>961</v>
      </c>
      <c r="B255" s="5" t="s">
        <v>962</v>
      </c>
      <c r="C255" s="5" t="s">
        <v>963</v>
      </c>
      <c r="D255" s="5" t="s">
        <v>22</v>
      </c>
      <c r="E255" s="5" t="s">
        <v>42</v>
      </c>
      <c r="F255" s="5" t="s">
        <v>162</v>
      </c>
      <c r="G255" s="10" t="s">
        <v>72</v>
      </c>
      <c r="H255" s="5" t="s">
        <v>941</v>
      </c>
    </row>
    <row r="256" ht="12.75" customHeight="1">
      <c r="A256" s="5" t="s">
        <v>964</v>
      </c>
      <c r="B256" s="5" t="s">
        <v>965</v>
      </c>
      <c r="C256" s="5" t="s">
        <v>966</v>
      </c>
      <c r="D256" s="5" t="s">
        <v>46</v>
      </c>
      <c r="E256" s="5" t="s">
        <v>42</v>
      </c>
      <c r="F256" s="5" t="s">
        <v>967</v>
      </c>
      <c r="G256" s="10" t="s">
        <v>72</v>
      </c>
      <c r="H256" s="5" t="s">
        <v>941</v>
      </c>
    </row>
    <row r="257" ht="12.75" customHeight="1">
      <c r="A257" s="5" t="s">
        <v>968</v>
      </c>
      <c r="B257" s="5" t="s">
        <v>969</v>
      </c>
      <c r="C257" s="5" t="s">
        <v>970</v>
      </c>
      <c r="D257" s="5" t="s">
        <v>50</v>
      </c>
      <c r="E257" s="5" t="s">
        <v>42</v>
      </c>
      <c r="F257" s="5" t="s">
        <v>575</v>
      </c>
      <c r="G257" s="10" t="s">
        <v>72</v>
      </c>
      <c r="H257" s="5" t="s">
        <v>941</v>
      </c>
    </row>
    <row r="258" ht="12.75" customHeight="1">
      <c r="A258" s="5" t="s">
        <v>971</v>
      </c>
      <c r="B258" s="5" t="s">
        <v>972</v>
      </c>
      <c r="C258" s="5" t="s">
        <v>973</v>
      </c>
      <c r="D258" s="5" t="s">
        <v>30</v>
      </c>
      <c r="E258" s="5" t="s">
        <v>42</v>
      </c>
      <c r="F258" s="5" t="s">
        <v>974</v>
      </c>
      <c r="G258" s="10" t="s">
        <v>72</v>
      </c>
      <c r="H258" s="5" t="s">
        <v>941</v>
      </c>
    </row>
    <row r="259" ht="12.75" customHeight="1">
      <c r="A259" s="5" t="s">
        <v>975</v>
      </c>
      <c r="B259" s="5" t="s">
        <v>976</v>
      </c>
      <c r="C259" s="5" t="s">
        <v>977</v>
      </c>
      <c r="D259" s="5" t="s">
        <v>34</v>
      </c>
      <c r="E259" s="5" t="s">
        <v>42</v>
      </c>
      <c r="F259" s="5" t="s">
        <v>572</v>
      </c>
      <c r="G259" s="10" t="s">
        <v>72</v>
      </c>
      <c r="H259" s="5" t="s">
        <v>978</v>
      </c>
      <c r="K259" s="5" t="s">
        <v>979</v>
      </c>
    </row>
    <row r="260" ht="12.75" customHeight="1">
      <c r="A260" s="5" t="s">
        <v>980</v>
      </c>
      <c r="B260" s="10" t="s">
        <v>981</v>
      </c>
      <c r="C260" s="5" t="s">
        <v>982</v>
      </c>
      <c r="D260" s="5" t="s">
        <v>34</v>
      </c>
      <c r="E260" s="5" t="s">
        <v>42</v>
      </c>
      <c r="F260" s="5" t="s">
        <v>65</v>
      </c>
      <c r="G260" s="10" t="s">
        <v>72</v>
      </c>
      <c r="H260" s="5" t="s">
        <v>975</v>
      </c>
    </row>
    <row r="261" ht="12.75" customHeight="1">
      <c r="A261" s="5" t="s">
        <v>983</v>
      </c>
      <c r="B261" s="5" t="s">
        <v>984</v>
      </c>
      <c r="C261" s="5" t="s">
        <v>985</v>
      </c>
      <c r="D261" s="5" t="s">
        <v>34</v>
      </c>
      <c r="E261" s="5" t="s">
        <v>42</v>
      </c>
      <c r="F261" s="5" t="s">
        <v>657</v>
      </c>
      <c r="G261" s="10" t="s">
        <v>72</v>
      </c>
      <c r="H261" s="5" t="s">
        <v>975</v>
      </c>
    </row>
    <row r="262" ht="12.75" customHeight="1">
      <c r="A262" s="5" t="s">
        <v>986</v>
      </c>
      <c r="B262" s="10" t="s">
        <v>987</v>
      </c>
      <c r="C262" s="5" t="s">
        <v>988</v>
      </c>
      <c r="D262" s="5" t="s">
        <v>34</v>
      </c>
      <c r="E262" s="5" t="s">
        <v>42</v>
      </c>
      <c r="F262" s="5" t="s">
        <v>637</v>
      </c>
      <c r="G262" s="10" t="s">
        <v>72</v>
      </c>
      <c r="H262" s="5" t="s">
        <v>975</v>
      </c>
    </row>
    <row r="263" ht="12.75" customHeight="1">
      <c r="A263" s="5" t="s">
        <v>989</v>
      </c>
      <c r="B263" s="10" t="s">
        <v>990</v>
      </c>
      <c r="C263" s="5" t="s">
        <v>991</v>
      </c>
      <c r="D263" s="5" t="s">
        <v>34</v>
      </c>
      <c r="E263" s="5" t="s">
        <v>42</v>
      </c>
      <c r="F263" s="5" t="s">
        <v>238</v>
      </c>
      <c r="G263" s="10" t="s">
        <v>72</v>
      </c>
      <c r="H263" s="5" t="s">
        <v>975</v>
      </c>
    </row>
    <row r="264" ht="12.75" customHeight="1">
      <c r="A264" s="5" t="s">
        <v>992</v>
      </c>
      <c r="B264" s="10" t="s">
        <v>993</v>
      </c>
      <c r="C264" s="5" t="s">
        <v>994</v>
      </c>
      <c r="D264" s="5" t="s">
        <v>34</v>
      </c>
      <c r="E264" s="5" t="s">
        <v>42</v>
      </c>
      <c r="F264" s="5" t="s">
        <v>199</v>
      </c>
      <c r="G264" s="10" t="s">
        <v>72</v>
      </c>
      <c r="H264" s="5" t="s">
        <v>975</v>
      </c>
    </row>
    <row r="265" ht="12.75" customHeight="1">
      <c r="A265" s="5" t="s">
        <v>995</v>
      </c>
      <c r="B265" s="10" t="s">
        <v>996</v>
      </c>
      <c r="C265" s="5" t="s">
        <v>997</v>
      </c>
      <c r="D265" s="5" t="s">
        <v>34</v>
      </c>
      <c r="E265" s="5" t="s">
        <v>42</v>
      </c>
      <c r="F265" s="5" t="s">
        <v>575</v>
      </c>
      <c r="G265" s="10" t="s">
        <v>72</v>
      </c>
      <c r="H265" s="5" t="s">
        <v>975</v>
      </c>
    </row>
    <row r="266" ht="12.75" customHeight="1">
      <c r="A266" s="5" t="s">
        <v>998</v>
      </c>
      <c r="B266" s="5" t="s">
        <v>999</v>
      </c>
      <c r="C266" s="5" t="s">
        <v>1000</v>
      </c>
      <c r="D266" s="5" t="s">
        <v>34</v>
      </c>
      <c r="E266" s="5" t="s">
        <v>42</v>
      </c>
      <c r="F266" s="5" t="s">
        <v>228</v>
      </c>
      <c r="G266" s="10" t="s">
        <v>72</v>
      </c>
      <c r="H266" s="5" t="s">
        <v>975</v>
      </c>
    </row>
    <row r="267" ht="12.75" customHeight="1">
      <c r="A267" s="5" t="s">
        <v>1001</v>
      </c>
      <c r="B267" s="5" t="s">
        <v>1002</v>
      </c>
      <c r="C267" s="5" t="s">
        <v>1003</v>
      </c>
      <c r="D267" s="5" t="s">
        <v>34</v>
      </c>
      <c r="E267" s="5" t="s">
        <v>42</v>
      </c>
      <c r="F267" s="5" t="s">
        <v>572</v>
      </c>
      <c r="G267" s="10" t="s">
        <v>72</v>
      </c>
      <c r="H267" s="5" t="s">
        <v>975</v>
      </c>
    </row>
    <row r="268" ht="12.75" customHeight="1">
      <c r="A268" s="5" t="s">
        <v>1004</v>
      </c>
      <c r="B268" s="10" t="s">
        <v>1005</v>
      </c>
      <c r="C268" s="5" t="s">
        <v>1006</v>
      </c>
      <c r="D268" s="5" t="s">
        <v>34</v>
      </c>
      <c r="E268" s="5" t="s">
        <v>42</v>
      </c>
      <c r="F268" s="5" t="s">
        <v>167</v>
      </c>
      <c r="G268" s="10" t="s">
        <v>72</v>
      </c>
      <c r="H268" s="5" t="s">
        <v>975</v>
      </c>
    </row>
    <row r="269" ht="12.75" customHeight="1">
      <c r="A269" s="5" t="s">
        <v>1007</v>
      </c>
      <c r="B269" s="5" t="s">
        <v>1008</v>
      </c>
      <c r="D269" s="5" t="s">
        <v>50</v>
      </c>
      <c r="E269" s="5" t="s">
        <v>42</v>
      </c>
      <c r="F269" s="5" t="s">
        <v>167</v>
      </c>
      <c r="G269" s="10" t="s">
        <v>72</v>
      </c>
      <c r="H269" s="5" t="s">
        <v>1009</v>
      </c>
    </row>
    <row r="270" ht="12.75" customHeight="1">
      <c r="A270" s="5" t="s">
        <v>1010</v>
      </c>
      <c r="B270" s="5" t="s">
        <v>1012</v>
      </c>
      <c r="D270" s="5" t="s">
        <v>34</v>
      </c>
      <c r="E270" s="5" t="s">
        <v>42</v>
      </c>
      <c r="F270" s="5" t="s">
        <v>113</v>
      </c>
      <c r="G270" s="10" t="s">
        <v>72</v>
      </c>
      <c r="H270" s="5" t="s">
        <v>1013</v>
      </c>
    </row>
    <row r="271" ht="12.75" customHeight="1">
      <c r="A271" s="5" t="s">
        <v>1014</v>
      </c>
      <c r="B271" s="5" t="s">
        <v>1015</v>
      </c>
      <c r="D271" s="5" t="s">
        <v>50</v>
      </c>
      <c r="E271" s="5" t="s">
        <v>42</v>
      </c>
      <c r="F271" s="5" t="s">
        <v>756</v>
      </c>
      <c r="G271" s="10" t="s">
        <v>72</v>
      </c>
      <c r="H271" s="5" t="s">
        <v>1009</v>
      </c>
    </row>
    <row r="272" ht="12.75" customHeight="1">
      <c r="A272" s="5" t="s">
        <v>1018</v>
      </c>
      <c r="B272" s="5" t="s">
        <v>1019</v>
      </c>
      <c r="D272" s="5" t="s">
        <v>34</v>
      </c>
      <c r="E272" s="5" t="s">
        <v>42</v>
      </c>
      <c r="F272" s="5" t="s">
        <v>162</v>
      </c>
      <c r="G272" s="10" t="s">
        <v>72</v>
      </c>
      <c r="H272" s="5" t="s">
        <v>1013</v>
      </c>
    </row>
    <row r="273" ht="12.75" customHeight="1">
      <c r="A273" s="5" t="s">
        <v>1024</v>
      </c>
      <c r="B273" s="5" t="s">
        <v>1025</v>
      </c>
      <c r="C273" s="5" t="s">
        <v>1027</v>
      </c>
      <c r="D273" s="5" t="s">
        <v>34</v>
      </c>
      <c r="E273" s="5" t="s">
        <v>42</v>
      </c>
      <c r="F273" s="5" t="s">
        <v>610</v>
      </c>
    </row>
    <row r="274" ht="12.75" customHeight="1">
      <c r="A274" s="5" t="s">
        <v>1029</v>
      </c>
      <c r="B274" s="5" t="s">
        <v>1030</v>
      </c>
      <c r="C274" s="5" t="s">
        <v>1031</v>
      </c>
      <c r="D274" s="5" t="s">
        <v>67</v>
      </c>
      <c r="E274" s="5" t="s">
        <v>42</v>
      </c>
      <c r="F274" s="5" t="s">
        <v>1033</v>
      </c>
      <c r="G274" s="10" t="s">
        <v>72</v>
      </c>
      <c r="H274" s="5" t="s">
        <v>1035</v>
      </c>
    </row>
    <row r="275" ht="12.75" customHeight="1">
      <c r="A275" s="5" t="s">
        <v>1036</v>
      </c>
      <c r="B275" s="5" t="s">
        <v>1038</v>
      </c>
      <c r="D275" s="5" t="s">
        <v>50</v>
      </c>
      <c r="E275" s="5" t="s">
        <v>42</v>
      </c>
      <c r="F275" s="5" t="s">
        <v>556</v>
      </c>
      <c r="G275" s="10" t="s">
        <v>72</v>
      </c>
    </row>
    <row r="276" ht="12.75" customHeight="1">
      <c r="A276" s="5" t="s">
        <v>1039</v>
      </c>
      <c r="B276" s="5" t="s">
        <v>1040</v>
      </c>
      <c r="D276" s="5" t="s">
        <v>50</v>
      </c>
      <c r="E276" s="5" t="s">
        <v>42</v>
      </c>
      <c r="F276" s="5" t="s">
        <v>65</v>
      </c>
      <c r="G276" s="10" t="s">
        <v>72</v>
      </c>
    </row>
    <row r="277" ht="12.75" customHeight="1">
      <c r="A277" s="5" t="s">
        <v>1041</v>
      </c>
      <c r="B277" s="5" t="s">
        <v>1042</v>
      </c>
      <c r="D277" s="5" t="s">
        <v>50</v>
      </c>
      <c r="E277" s="5" t="s">
        <v>42</v>
      </c>
      <c r="F277" s="5" t="s">
        <v>199</v>
      </c>
      <c r="G277" s="10" t="s">
        <v>72</v>
      </c>
    </row>
    <row r="278" ht="12.75" customHeight="1">
      <c r="A278" s="5" t="s">
        <v>1045</v>
      </c>
      <c r="B278" s="5" t="s">
        <v>1046</v>
      </c>
      <c r="D278" s="5" t="s">
        <v>50</v>
      </c>
      <c r="E278" s="5" t="s">
        <v>42</v>
      </c>
      <c r="F278" s="5" t="s">
        <v>575</v>
      </c>
      <c r="G278" s="10" t="s">
        <v>72</v>
      </c>
    </row>
    <row r="279" ht="12.75" customHeight="1">
      <c r="A279" s="5" t="s">
        <v>1048</v>
      </c>
      <c r="B279" s="5" t="s">
        <v>1049</v>
      </c>
      <c r="D279" s="5" t="s">
        <v>50</v>
      </c>
      <c r="E279" s="5" t="s">
        <v>42</v>
      </c>
      <c r="F279" s="5" t="s">
        <v>113</v>
      </c>
      <c r="G279" s="10" t="s">
        <v>72</v>
      </c>
    </row>
    <row r="280" ht="12.75" customHeight="1">
      <c r="A280" s="5" t="s">
        <v>1052</v>
      </c>
      <c r="B280" s="5" t="s">
        <v>1054</v>
      </c>
      <c r="D280" s="5" t="s">
        <v>34</v>
      </c>
      <c r="E280" s="5" t="s">
        <v>42</v>
      </c>
      <c r="F280" s="5" t="s">
        <v>637</v>
      </c>
      <c r="G280" s="10" t="s">
        <v>72</v>
      </c>
    </row>
    <row r="281" ht="12.75" customHeight="1">
      <c r="A281" s="5" t="s">
        <v>1055</v>
      </c>
      <c r="B281" s="5" t="s">
        <v>1056</v>
      </c>
      <c r="D281" s="5" t="s">
        <v>34</v>
      </c>
      <c r="E281" s="5" t="s">
        <v>42</v>
      </c>
      <c r="F281" s="5" t="s">
        <v>610</v>
      </c>
      <c r="G281" s="10" t="s">
        <v>72</v>
      </c>
    </row>
    <row r="282" ht="12.75" customHeight="1">
      <c r="A282" s="5" t="s">
        <v>1057</v>
      </c>
      <c r="B282" s="5" t="s">
        <v>1058</v>
      </c>
      <c r="D282" s="5" t="s">
        <v>34</v>
      </c>
      <c r="E282" s="5" t="s">
        <v>42</v>
      </c>
      <c r="F282" s="5" t="s">
        <v>556</v>
      </c>
      <c r="G282" s="10" t="s">
        <v>72</v>
      </c>
    </row>
    <row r="283" ht="12.75" customHeight="1">
      <c r="A283" s="5" t="s">
        <v>1059</v>
      </c>
      <c r="B283" s="5" t="s">
        <v>1060</v>
      </c>
      <c r="D283" s="5" t="s">
        <v>34</v>
      </c>
      <c r="E283" s="5" t="s">
        <v>42</v>
      </c>
      <c r="F283" s="5" t="s">
        <v>65</v>
      </c>
      <c r="G283" s="10" t="s">
        <v>72</v>
      </c>
    </row>
    <row r="284" ht="12.75" customHeight="1">
      <c r="A284" s="5" t="s">
        <v>1061</v>
      </c>
      <c r="B284" s="5" t="s">
        <v>1062</v>
      </c>
      <c r="D284" s="5" t="s">
        <v>34</v>
      </c>
      <c r="E284" s="5" t="s">
        <v>42</v>
      </c>
      <c r="F284" s="5" t="s">
        <v>572</v>
      </c>
      <c r="G284" s="10" t="s">
        <v>72</v>
      </c>
    </row>
    <row r="285" ht="12.75" customHeight="1">
      <c r="A285" s="5" t="s">
        <v>1063</v>
      </c>
      <c r="B285" s="5" t="s">
        <v>1064</v>
      </c>
      <c r="D285" s="5" t="s">
        <v>50</v>
      </c>
      <c r="E285" s="5" t="s">
        <v>42</v>
      </c>
      <c r="F285" s="5" t="s">
        <v>720</v>
      </c>
      <c r="G285" s="10" t="s">
        <v>72</v>
      </c>
      <c r="H285" s="5" t="s">
        <v>1065</v>
      </c>
      <c r="I285" s="10" t="s">
        <v>72</v>
      </c>
    </row>
    <row r="286" ht="12.75" customHeight="1">
      <c r="A286" s="5" t="s">
        <v>1066</v>
      </c>
      <c r="B286" s="5" t="s">
        <v>1067</v>
      </c>
      <c r="D286" s="5" t="s">
        <v>50</v>
      </c>
      <c r="E286" s="5" t="s">
        <v>42</v>
      </c>
      <c r="F286" s="5" t="s">
        <v>720</v>
      </c>
      <c r="G286" s="10" t="s">
        <v>72</v>
      </c>
      <c r="H286" s="5" t="s">
        <v>1065</v>
      </c>
      <c r="I286" s="10" t="s">
        <v>72</v>
      </c>
    </row>
    <row r="287" ht="12.75" customHeight="1">
      <c r="A287" s="5" t="s">
        <v>1068</v>
      </c>
      <c r="B287" s="5" t="s">
        <v>1069</v>
      </c>
      <c r="D287" s="5" t="s">
        <v>50</v>
      </c>
      <c r="E287" s="5" t="s">
        <v>42</v>
      </c>
      <c r="F287" s="5" t="s">
        <v>720</v>
      </c>
      <c r="G287" s="10" t="s">
        <v>72</v>
      </c>
      <c r="H287" s="5" t="s">
        <v>1070</v>
      </c>
      <c r="I287" s="10" t="s">
        <v>72</v>
      </c>
    </row>
    <row r="288" ht="12.75" customHeight="1">
      <c r="A288" s="5" t="s">
        <v>1071</v>
      </c>
      <c r="B288" s="5" t="s">
        <v>1072</v>
      </c>
      <c r="C288" s="5" t="s">
        <v>1073</v>
      </c>
      <c r="D288" s="5" t="s">
        <v>50</v>
      </c>
      <c r="E288" s="5" t="s">
        <v>42</v>
      </c>
      <c r="F288" s="5" t="s">
        <v>720</v>
      </c>
      <c r="G288" s="10" t="s">
        <v>72</v>
      </c>
      <c r="H288" s="5" t="s">
        <v>1070</v>
      </c>
      <c r="I288" s="10" t="s">
        <v>72</v>
      </c>
    </row>
    <row r="289" ht="12.75" customHeight="1">
      <c r="A289" s="5" t="s">
        <v>1074</v>
      </c>
      <c r="B289" s="5" t="s">
        <v>1075</v>
      </c>
      <c r="C289" s="5" t="s">
        <v>1076</v>
      </c>
      <c r="D289" s="5" t="s">
        <v>50</v>
      </c>
      <c r="E289" s="5" t="s">
        <v>42</v>
      </c>
      <c r="F289" s="5" t="s">
        <v>672</v>
      </c>
      <c r="H289" s="5" t="s">
        <v>1077</v>
      </c>
    </row>
    <row r="290" ht="12.75" customHeight="1">
      <c r="A290" s="5" t="s">
        <v>1078</v>
      </c>
      <c r="B290" s="5" t="s">
        <v>1079</v>
      </c>
      <c r="D290" s="5" t="s">
        <v>34</v>
      </c>
      <c r="E290" s="5" t="s">
        <v>42</v>
      </c>
      <c r="F290" s="5" t="s">
        <v>445</v>
      </c>
      <c r="G290" s="10" t="s">
        <v>72</v>
      </c>
      <c r="H290" s="5" t="s">
        <v>1081</v>
      </c>
      <c r="I290" s="10" t="s">
        <v>72</v>
      </c>
    </row>
    <row r="291" ht="12.75" customHeight="1">
      <c r="A291" s="5" t="s">
        <v>1083</v>
      </c>
      <c r="B291" s="5" t="s">
        <v>1084</v>
      </c>
      <c r="D291" s="5" t="s">
        <v>34</v>
      </c>
      <c r="E291" s="5" t="s">
        <v>42</v>
      </c>
      <c r="F291" s="5" t="s">
        <v>445</v>
      </c>
      <c r="G291" s="10" t="s">
        <v>72</v>
      </c>
      <c r="H291" s="5" t="s">
        <v>1081</v>
      </c>
      <c r="I291" s="10" t="s">
        <v>72</v>
      </c>
    </row>
    <row r="292" ht="12.75" customHeight="1">
      <c r="A292" s="5" t="s">
        <v>1085</v>
      </c>
      <c r="B292" s="5" t="s">
        <v>1086</v>
      </c>
      <c r="D292" s="5" t="s">
        <v>34</v>
      </c>
      <c r="E292" s="5" t="s">
        <v>42</v>
      </c>
      <c r="F292" s="5" t="s">
        <v>445</v>
      </c>
      <c r="G292" s="10" t="s">
        <v>72</v>
      </c>
      <c r="H292" s="5" t="s">
        <v>1081</v>
      </c>
      <c r="I292" s="10" t="s">
        <v>72</v>
      </c>
    </row>
    <row r="293" ht="12.75" customHeight="1">
      <c r="A293" s="5" t="s">
        <v>1089</v>
      </c>
      <c r="B293" s="5" t="s">
        <v>1091</v>
      </c>
      <c r="D293" s="5" t="s">
        <v>34</v>
      </c>
      <c r="E293" s="5" t="s">
        <v>42</v>
      </c>
      <c r="F293" s="5" t="s">
        <v>228</v>
      </c>
      <c r="G293" s="10" t="s">
        <v>72</v>
      </c>
      <c r="H293" s="5" t="s">
        <v>1093</v>
      </c>
      <c r="I293" s="10" t="s">
        <v>72</v>
      </c>
    </row>
    <row r="294" ht="12.75" customHeight="1">
      <c r="A294" s="5" t="s">
        <v>1094</v>
      </c>
      <c r="B294" s="5" t="s">
        <v>1095</v>
      </c>
      <c r="C294" s="5" t="s">
        <v>1096</v>
      </c>
      <c r="D294" s="5" t="s">
        <v>34</v>
      </c>
      <c r="E294" s="5" t="s">
        <v>42</v>
      </c>
      <c r="F294" s="5" t="s">
        <v>54</v>
      </c>
      <c r="H294" s="5" t="s">
        <v>1097</v>
      </c>
    </row>
    <row r="295" ht="12.75" customHeight="1">
      <c r="A295" s="5" t="s">
        <v>1098</v>
      </c>
      <c r="B295" s="5" t="s">
        <v>1100</v>
      </c>
      <c r="D295" s="5" t="s">
        <v>34</v>
      </c>
      <c r="E295" s="5" t="s">
        <v>42</v>
      </c>
      <c r="F295" s="5" t="s">
        <v>672</v>
      </c>
      <c r="H295" s="5" t="s">
        <v>1097</v>
      </c>
    </row>
    <row r="296" ht="12.75" customHeight="1">
      <c r="A296" s="5" t="s">
        <v>1103</v>
      </c>
      <c r="B296" s="5" t="s">
        <v>1104</v>
      </c>
      <c r="D296" s="5" t="s">
        <v>453</v>
      </c>
      <c r="E296" s="5" t="s">
        <v>35</v>
      </c>
      <c r="F296" s="5" t="s">
        <v>454</v>
      </c>
    </row>
    <row r="297" ht="12.75" customHeight="1">
      <c r="A297" s="5" t="s">
        <v>1105</v>
      </c>
      <c r="B297" s="5" t="s">
        <v>1106</v>
      </c>
      <c r="D297" s="5" t="s">
        <v>453</v>
      </c>
      <c r="E297" s="5" t="s">
        <v>35</v>
      </c>
      <c r="F297" s="5" t="s">
        <v>454</v>
      </c>
    </row>
    <row r="298" ht="12.75" customHeight="1">
      <c r="A298" s="5" t="s">
        <v>1109</v>
      </c>
      <c r="B298" s="5" t="s">
        <v>1110</v>
      </c>
      <c r="D298" s="5" t="s">
        <v>453</v>
      </c>
      <c r="E298" s="5" t="s">
        <v>42</v>
      </c>
      <c r="F298" s="5" t="s">
        <v>454</v>
      </c>
    </row>
    <row r="299" ht="12.75" customHeight="1">
      <c r="A299" s="5" t="s">
        <v>1112</v>
      </c>
      <c r="B299" s="5" t="s">
        <v>1113</v>
      </c>
      <c r="D299" s="5" t="s">
        <v>453</v>
      </c>
      <c r="E299" s="5" t="s">
        <v>42</v>
      </c>
      <c r="F299" s="5" t="s">
        <v>454</v>
      </c>
    </row>
    <row r="300" ht="12.75" customHeight="1">
      <c r="A300" s="5" t="s">
        <v>1114</v>
      </c>
      <c r="B300" s="5" t="s">
        <v>1116</v>
      </c>
      <c r="D300" s="5" t="s">
        <v>453</v>
      </c>
      <c r="E300" s="5" t="s">
        <v>42</v>
      </c>
      <c r="F300" s="5" t="s">
        <v>454</v>
      </c>
    </row>
    <row r="301" ht="12.75" customHeight="1">
      <c r="A301" s="5" t="s">
        <v>1119</v>
      </c>
      <c r="B301" s="5" t="s">
        <v>1120</v>
      </c>
      <c r="D301" s="5" t="s">
        <v>453</v>
      </c>
      <c r="E301" s="5" t="s">
        <v>42</v>
      </c>
      <c r="F301" s="5" t="s">
        <v>454</v>
      </c>
    </row>
    <row r="302" ht="12.75" customHeight="1">
      <c r="A302" s="5" t="s">
        <v>1121</v>
      </c>
      <c r="B302" s="5" t="s">
        <v>1122</v>
      </c>
      <c r="C302" s="5" t="s">
        <v>1123</v>
      </c>
      <c r="D302" s="5" t="s">
        <v>22</v>
      </c>
      <c r="E302" s="5" t="s">
        <v>42</v>
      </c>
      <c r="F302" s="5" t="s">
        <v>113</v>
      </c>
      <c r="G302" s="10" t="s">
        <v>72</v>
      </c>
    </row>
    <row r="303" ht="12.75" customHeight="1">
      <c r="A303" s="5" t="s">
        <v>1126</v>
      </c>
      <c r="B303" s="5" t="s">
        <v>1128</v>
      </c>
      <c r="C303" s="5" t="s">
        <v>1129</v>
      </c>
      <c r="D303" s="5" t="s">
        <v>30</v>
      </c>
      <c r="E303" s="5" t="s">
        <v>35</v>
      </c>
      <c r="F303" s="5" t="s">
        <v>680</v>
      </c>
      <c r="G303" s="10" t="s">
        <v>72</v>
      </c>
    </row>
    <row r="304" ht="12.75" customHeight="1">
      <c r="A304" s="5" t="s">
        <v>1130</v>
      </c>
      <c r="B304" s="5" t="s">
        <v>1131</v>
      </c>
      <c r="C304" s="5" t="s">
        <v>1132</v>
      </c>
      <c r="D304" s="5" t="s">
        <v>30</v>
      </c>
      <c r="E304" s="5" t="s">
        <v>35</v>
      </c>
      <c r="F304" s="5" t="s">
        <v>96</v>
      </c>
    </row>
    <row r="305" ht="12.75" customHeight="1">
      <c r="A305" s="5" t="s">
        <v>1135</v>
      </c>
      <c r="B305" s="5" t="s">
        <v>1136</v>
      </c>
      <c r="C305" s="5" t="s">
        <v>1138</v>
      </c>
      <c r="D305" s="5" t="s">
        <v>30</v>
      </c>
      <c r="E305" s="5" t="s">
        <v>42</v>
      </c>
      <c r="F305" s="5" t="s">
        <v>157</v>
      </c>
      <c r="G305" s="10" t="s">
        <v>72</v>
      </c>
    </row>
    <row r="306" ht="12.75" customHeight="1">
      <c r="A306" s="5" t="s">
        <v>1139</v>
      </c>
      <c r="B306" s="5" t="s">
        <v>1140</v>
      </c>
      <c r="C306" s="5" t="s">
        <v>1141</v>
      </c>
      <c r="D306" s="5" t="s">
        <v>30</v>
      </c>
      <c r="E306" s="5" t="s">
        <v>35</v>
      </c>
      <c r="F306" s="5" t="s">
        <v>1143</v>
      </c>
    </row>
    <row r="307" ht="12.75" customHeight="1">
      <c r="A307" s="5" t="s">
        <v>1145</v>
      </c>
      <c r="B307" s="5" t="s">
        <v>1146</v>
      </c>
      <c r="C307" s="5" t="s">
        <v>1147</v>
      </c>
      <c r="D307" s="5" t="s">
        <v>30</v>
      </c>
      <c r="E307" s="5" t="s">
        <v>42</v>
      </c>
      <c r="F307" s="5" t="s">
        <v>211</v>
      </c>
      <c r="G307" s="10" t="s">
        <v>72</v>
      </c>
      <c r="H307" s="5" t="s">
        <v>1149</v>
      </c>
    </row>
    <row r="308" ht="12.75" customHeight="1">
      <c r="A308" s="5" t="s">
        <v>1150</v>
      </c>
      <c r="B308" s="5" t="s">
        <v>1151</v>
      </c>
      <c r="C308" s="5" t="s">
        <v>1152</v>
      </c>
      <c r="D308" s="5" t="s">
        <v>30</v>
      </c>
      <c r="E308" s="5" t="s">
        <v>35</v>
      </c>
      <c r="F308" s="5" t="s">
        <v>1143</v>
      </c>
      <c r="G308" s="10" t="s">
        <v>72</v>
      </c>
      <c r="H308" s="5" t="s">
        <v>1153</v>
      </c>
    </row>
    <row r="309" ht="12.75" customHeight="1">
      <c r="A309" s="5" t="s">
        <v>1156</v>
      </c>
      <c r="B309" s="5" t="s">
        <v>1157</v>
      </c>
      <c r="C309" s="5" t="s">
        <v>1152</v>
      </c>
      <c r="D309" s="5" t="s">
        <v>30</v>
      </c>
      <c r="E309" s="5" t="s">
        <v>35</v>
      </c>
      <c r="F309" s="5" t="s">
        <v>1143</v>
      </c>
      <c r="G309" s="10" t="s">
        <v>72</v>
      </c>
      <c r="H309" s="5" t="s">
        <v>1153</v>
      </c>
    </row>
    <row r="310" ht="12.75" customHeight="1">
      <c r="A310" s="5" t="s">
        <v>1159</v>
      </c>
      <c r="B310" s="5" t="s">
        <v>1160</v>
      </c>
      <c r="C310" s="5" t="s">
        <v>1152</v>
      </c>
      <c r="D310" s="5" t="s">
        <v>74</v>
      </c>
      <c r="E310" s="5" t="s">
        <v>42</v>
      </c>
      <c r="F310" s="5" t="s">
        <v>445</v>
      </c>
      <c r="G310" s="10" t="s">
        <v>72</v>
      </c>
      <c r="H310" s="5" t="s">
        <v>1153</v>
      </c>
    </row>
    <row r="311" ht="12.75" customHeight="1">
      <c r="A311" s="5" t="s">
        <v>1163</v>
      </c>
      <c r="B311" s="5" t="s">
        <v>1165</v>
      </c>
      <c r="C311" s="5" t="s">
        <v>1152</v>
      </c>
      <c r="D311" s="5" t="s">
        <v>22</v>
      </c>
      <c r="E311" s="5" t="s">
        <v>42</v>
      </c>
      <c r="F311" s="5" t="s">
        <v>228</v>
      </c>
      <c r="G311" s="10" t="s">
        <v>72</v>
      </c>
      <c r="H311" s="5" t="s">
        <v>1166</v>
      </c>
    </row>
    <row r="312" ht="12.75" customHeight="1">
      <c r="A312" s="5" t="s">
        <v>1167</v>
      </c>
      <c r="B312" s="5" t="s">
        <v>1168</v>
      </c>
      <c r="C312" s="5" t="s">
        <v>1152</v>
      </c>
      <c r="D312" s="5" t="s">
        <v>34</v>
      </c>
      <c r="E312" s="5" t="s">
        <v>42</v>
      </c>
      <c r="F312" s="5" t="s">
        <v>228</v>
      </c>
      <c r="G312" s="10" t="s">
        <v>72</v>
      </c>
      <c r="H312" s="5" t="s">
        <v>1171</v>
      </c>
    </row>
    <row r="313" ht="12.75" customHeight="1">
      <c r="A313" s="5" t="s">
        <v>1173</v>
      </c>
      <c r="B313" s="5" t="s">
        <v>1174</v>
      </c>
      <c r="C313" s="5" t="s">
        <v>1175</v>
      </c>
      <c r="D313" s="5" t="s">
        <v>50</v>
      </c>
      <c r="E313" s="5" t="s">
        <v>42</v>
      </c>
      <c r="F313" s="5" t="s">
        <v>720</v>
      </c>
    </row>
    <row r="314" ht="12.75" customHeight="1">
      <c r="A314" s="5" t="s">
        <v>1176</v>
      </c>
      <c r="B314" s="5" t="s">
        <v>1177</v>
      </c>
      <c r="D314" s="5" t="s">
        <v>22</v>
      </c>
      <c r="E314" s="5" t="s">
        <v>42</v>
      </c>
      <c r="F314" s="5" t="s">
        <v>672</v>
      </c>
      <c r="G314" s="10" t="s">
        <v>72</v>
      </c>
    </row>
    <row r="315" ht="12.75" customHeight="1">
      <c r="A315" s="5" t="s">
        <v>1180</v>
      </c>
      <c r="B315" s="5" t="s">
        <v>1181</v>
      </c>
      <c r="C315" s="5" t="s">
        <v>1182</v>
      </c>
      <c r="D315" s="5" t="s">
        <v>38</v>
      </c>
      <c r="E315" s="5" t="s">
        <v>42</v>
      </c>
      <c r="F315" s="5" t="s">
        <v>83</v>
      </c>
    </row>
    <row r="316" ht="12.75" customHeight="1">
      <c r="A316" s="5" t="s">
        <v>1185</v>
      </c>
      <c r="B316" s="5" t="s">
        <v>1186</v>
      </c>
      <c r="D316" s="5" t="s">
        <v>55</v>
      </c>
      <c r="E316" s="5" t="s">
        <v>35</v>
      </c>
      <c r="F316" s="5" t="s">
        <v>454</v>
      </c>
      <c r="G316" s="10" t="s">
        <v>72</v>
      </c>
      <c r="H316" s="5" t="s">
        <v>1187</v>
      </c>
      <c r="K316" s="5" t="s">
        <v>1189</v>
      </c>
    </row>
    <row r="317" ht="12.75" customHeight="1">
      <c r="A317" s="5" t="s">
        <v>1191</v>
      </c>
      <c r="B317" s="5" t="s">
        <v>1192</v>
      </c>
      <c r="D317" s="5" t="s">
        <v>55</v>
      </c>
      <c r="E317" s="5" t="s">
        <v>42</v>
      </c>
      <c r="F317" s="5" t="s">
        <v>1194</v>
      </c>
      <c r="G317" s="10" t="s">
        <v>72</v>
      </c>
      <c r="H317" s="5" t="s">
        <v>1187</v>
      </c>
      <c r="K317" s="5" t="s">
        <v>1195</v>
      </c>
    </row>
    <row r="318" ht="12.75" customHeight="1">
      <c r="A318" s="5" t="s">
        <v>1196</v>
      </c>
      <c r="B318" s="5" t="s">
        <v>1197</v>
      </c>
      <c r="D318" s="5" t="s">
        <v>34</v>
      </c>
      <c r="E318" s="5" t="s">
        <v>35</v>
      </c>
      <c r="F318" s="5" t="s">
        <v>90</v>
      </c>
      <c r="G318" s="10" t="s">
        <v>72</v>
      </c>
      <c r="H318" s="5" t="s">
        <v>1187</v>
      </c>
      <c r="K318" s="5" t="s">
        <v>1200</v>
      </c>
    </row>
    <row r="319" ht="12.75" customHeight="1">
      <c r="A319" s="5" t="s">
        <v>1202</v>
      </c>
      <c r="B319" s="5" t="s">
        <v>1203</v>
      </c>
      <c r="D319" s="5" t="s">
        <v>34</v>
      </c>
      <c r="E319" s="5" t="s">
        <v>42</v>
      </c>
      <c r="F319" s="5" t="s">
        <v>43</v>
      </c>
      <c r="G319" s="10" t="s">
        <v>72</v>
      </c>
      <c r="H319" s="5" t="s">
        <v>1187</v>
      </c>
      <c r="K319" s="5" t="s">
        <v>1204</v>
      </c>
    </row>
    <row r="320" ht="12.75" customHeight="1">
      <c r="A320" s="5" t="s">
        <v>1205</v>
      </c>
      <c r="B320" s="5" t="s">
        <v>1206</v>
      </c>
      <c r="D320" s="5" t="s">
        <v>67</v>
      </c>
      <c r="E320" s="5" t="s">
        <v>35</v>
      </c>
      <c r="F320" s="5" t="s">
        <v>454</v>
      </c>
      <c r="G320" s="10" t="s">
        <v>72</v>
      </c>
      <c r="H320" s="5" t="s">
        <v>1187</v>
      </c>
      <c r="L320" s="5" t="s">
        <v>1209</v>
      </c>
      <c r="M320" s="5" t="s">
        <v>1209</v>
      </c>
    </row>
    <row r="321" ht="12.75" customHeight="1">
      <c r="A321" s="5" t="s">
        <v>1212</v>
      </c>
      <c r="B321" s="5" t="s">
        <v>1213</v>
      </c>
      <c r="D321" s="5" t="s">
        <v>67</v>
      </c>
      <c r="E321" s="5" t="s">
        <v>42</v>
      </c>
      <c r="F321" s="5" t="s">
        <v>1214</v>
      </c>
      <c r="G321" s="10" t="s">
        <v>72</v>
      </c>
      <c r="H321" s="5" t="s">
        <v>1187</v>
      </c>
      <c r="L321" s="5" t="s">
        <v>1216</v>
      </c>
      <c r="M321" s="5" t="s">
        <v>1216</v>
      </c>
    </row>
    <row r="322" ht="12.75" customHeight="1">
      <c r="A322" s="5" t="s">
        <v>1218</v>
      </c>
      <c r="B322" s="5" t="s">
        <v>1220</v>
      </c>
      <c r="C322" s="5" t="s">
        <v>1221</v>
      </c>
      <c r="D322" s="5" t="s">
        <v>46</v>
      </c>
      <c r="E322" s="5" t="s">
        <v>42</v>
      </c>
      <c r="F322" s="5" t="s">
        <v>1223</v>
      </c>
    </row>
    <row r="323" ht="12.75" customHeight="1">
      <c r="A323" s="5" t="s">
        <v>1224</v>
      </c>
      <c r="B323" s="5" t="s">
        <v>1225</v>
      </c>
      <c r="C323" s="5" t="s">
        <v>1226</v>
      </c>
      <c r="D323" s="5" t="s">
        <v>55</v>
      </c>
      <c r="E323" s="5" t="s">
        <v>42</v>
      </c>
      <c r="F323" s="5" t="s">
        <v>1228</v>
      </c>
      <c r="H323" s="5" t="s">
        <v>1191</v>
      </c>
    </row>
    <row r="324" ht="12.75" customHeight="1">
      <c r="A324" s="5" t="s">
        <v>1229</v>
      </c>
      <c r="B324" s="5" t="s">
        <v>1231</v>
      </c>
      <c r="C324" s="5" t="s">
        <v>1232</v>
      </c>
      <c r="D324" s="5" t="s">
        <v>34</v>
      </c>
      <c r="E324" s="5" t="s">
        <v>42</v>
      </c>
      <c r="F324" s="5" t="s">
        <v>572</v>
      </c>
      <c r="G324" s="10" t="s">
        <v>72</v>
      </c>
      <c r="H324" s="5" t="s">
        <v>1202</v>
      </c>
    </row>
    <row r="325" ht="12.75" customHeight="1">
      <c r="A325" s="5" t="s">
        <v>1235</v>
      </c>
      <c r="B325" s="5" t="s">
        <v>1236</v>
      </c>
      <c r="C325" s="5" t="s">
        <v>1237</v>
      </c>
      <c r="D325" s="5" t="s">
        <v>74</v>
      </c>
      <c r="E325" s="5" t="s">
        <v>35</v>
      </c>
      <c r="F325" s="5" t="s">
        <v>1238</v>
      </c>
      <c r="G325" s="10" t="s">
        <v>72</v>
      </c>
      <c r="H325" s="5" t="s">
        <v>1196</v>
      </c>
    </row>
    <row r="326" ht="12.75" customHeight="1">
      <c r="A326" s="5" t="s">
        <v>1239</v>
      </c>
      <c r="B326" s="5" t="s">
        <v>1241</v>
      </c>
      <c r="C326" s="5" t="s">
        <v>1243</v>
      </c>
      <c r="D326" s="5" t="s">
        <v>55</v>
      </c>
      <c r="E326" s="5" t="s">
        <v>42</v>
      </c>
      <c r="F326" s="5" t="s">
        <v>1244</v>
      </c>
      <c r="G326" s="10" t="s">
        <v>72</v>
      </c>
      <c r="H326" s="5" t="s">
        <v>1191</v>
      </c>
    </row>
    <row r="327" ht="12.75" customHeight="1">
      <c r="A327" s="5" t="s">
        <v>1247</v>
      </c>
      <c r="B327" s="5" t="s">
        <v>1248</v>
      </c>
      <c r="C327" s="5" t="s">
        <v>1249</v>
      </c>
      <c r="D327" s="5" t="s">
        <v>55</v>
      </c>
      <c r="E327" s="5" t="s">
        <v>35</v>
      </c>
      <c r="F327" s="5" t="s">
        <v>1250</v>
      </c>
      <c r="G327" s="10" t="s">
        <v>72</v>
      </c>
      <c r="H327" s="5" t="s">
        <v>1185</v>
      </c>
    </row>
    <row r="328" ht="12.75" customHeight="1">
      <c r="A328" s="5" t="s">
        <v>1209</v>
      </c>
      <c r="B328" s="5" t="s">
        <v>1253</v>
      </c>
      <c r="C328" s="5" t="s">
        <v>1254</v>
      </c>
      <c r="D328" s="5" t="s">
        <v>67</v>
      </c>
      <c r="E328" s="5" t="s">
        <v>35</v>
      </c>
      <c r="F328" s="5" t="s">
        <v>454</v>
      </c>
      <c r="G328" s="10" t="s">
        <v>72</v>
      </c>
      <c r="H328" s="5" t="s">
        <v>1205</v>
      </c>
      <c r="I328" s="10" t="s">
        <v>72</v>
      </c>
    </row>
    <row r="329" ht="12.75" customHeight="1">
      <c r="A329" s="5" t="s">
        <v>1257</v>
      </c>
      <c r="B329" s="5" t="s">
        <v>1258</v>
      </c>
      <c r="C329" s="5" t="s">
        <v>1259</v>
      </c>
      <c r="D329" s="5" t="s">
        <v>34</v>
      </c>
      <c r="E329" s="5" t="s">
        <v>42</v>
      </c>
      <c r="F329" s="5" t="s">
        <v>43</v>
      </c>
      <c r="G329" s="10" t="s">
        <v>72</v>
      </c>
      <c r="H329" s="5" t="s">
        <v>1202</v>
      </c>
    </row>
    <row r="330" ht="12.75" customHeight="1">
      <c r="A330" s="5" t="s">
        <v>1262</v>
      </c>
      <c r="B330" s="5" t="s">
        <v>1264</v>
      </c>
      <c r="C330" s="5" t="s">
        <v>1265</v>
      </c>
      <c r="D330" s="5" t="s">
        <v>34</v>
      </c>
      <c r="E330" s="5" t="s">
        <v>42</v>
      </c>
      <c r="F330" s="5" t="s">
        <v>599</v>
      </c>
      <c r="G330" s="10" t="s">
        <v>72</v>
      </c>
      <c r="H330" s="5" t="s">
        <v>1187</v>
      </c>
    </row>
    <row r="331" ht="12.75" customHeight="1">
      <c r="A331" s="5" t="s">
        <v>1216</v>
      </c>
      <c r="B331" s="5" t="s">
        <v>1266</v>
      </c>
      <c r="C331" s="5" t="s">
        <v>1267</v>
      </c>
      <c r="D331" s="5" t="s">
        <v>67</v>
      </c>
      <c r="E331" s="5" t="s">
        <v>42</v>
      </c>
      <c r="F331" s="5" t="s">
        <v>1214</v>
      </c>
      <c r="G331" s="10" t="s">
        <v>72</v>
      </c>
      <c r="H331" s="5" t="s">
        <v>1212</v>
      </c>
      <c r="I331" s="10" t="s">
        <v>72</v>
      </c>
    </row>
    <row r="332" ht="12.75" customHeight="1">
      <c r="A332" s="5" t="s">
        <v>1270</v>
      </c>
      <c r="B332" s="5" t="s">
        <v>1271</v>
      </c>
      <c r="C332" s="5" t="s">
        <v>1272</v>
      </c>
      <c r="D332" s="5" t="s">
        <v>55</v>
      </c>
      <c r="E332" s="5" t="s">
        <v>35</v>
      </c>
      <c r="F332" s="5" t="s">
        <v>1273</v>
      </c>
      <c r="G332" s="10" t="s">
        <v>72</v>
      </c>
      <c r="H332" s="5" t="s">
        <v>1185</v>
      </c>
    </row>
    <row r="333" ht="12.75" customHeight="1">
      <c r="A333" s="5" t="s">
        <v>1274</v>
      </c>
      <c r="B333" s="5" t="s">
        <v>1276</v>
      </c>
      <c r="C333" s="5" t="s">
        <v>1277</v>
      </c>
      <c r="D333" s="5" t="s">
        <v>34</v>
      </c>
      <c r="E333" s="5" t="s">
        <v>42</v>
      </c>
      <c r="F333" s="5" t="s">
        <v>167</v>
      </c>
      <c r="G333" s="10" t="s">
        <v>72</v>
      </c>
      <c r="H333" s="5" t="s">
        <v>1202</v>
      </c>
    </row>
    <row r="334" ht="12.75" customHeight="1">
      <c r="A334" s="5" t="s">
        <v>1279</v>
      </c>
      <c r="B334" s="5" t="s">
        <v>1280</v>
      </c>
      <c r="C334" s="5" t="s">
        <v>1281</v>
      </c>
      <c r="D334" s="5" t="s">
        <v>34</v>
      </c>
      <c r="E334" s="5" t="s">
        <v>42</v>
      </c>
      <c r="F334" s="5" t="s">
        <v>732</v>
      </c>
      <c r="G334" s="10" t="s">
        <v>72</v>
      </c>
      <c r="H334" s="5" t="s">
        <v>1196</v>
      </c>
    </row>
    <row r="335" ht="12.75" customHeight="1">
      <c r="A335" s="5" t="s">
        <v>1283</v>
      </c>
      <c r="B335" s="5" t="s">
        <v>1285</v>
      </c>
      <c r="C335" s="5" t="s">
        <v>1286</v>
      </c>
      <c r="D335" s="5" t="s">
        <v>34</v>
      </c>
      <c r="E335" s="5" t="s">
        <v>35</v>
      </c>
      <c r="F335" s="5" t="s">
        <v>104</v>
      </c>
      <c r="H335" s="5" t="s">
        <v>1287</v>
      </c>
      <c r="I335" s="10" t="s">
        <v>72</v>
      </c>
    </row>
    <row r="336" ht="12.75" customHeight="1">
      <c r="A336" s="5" t="s">
        <v>1288</v>
      </c>
      <c r="B336" s="5" t="s">
        <v>1289</v>
      </c>
      <c r="C336" s="5" t="s">
        <v>1290</v>
      </c>
      <c r="D336" s="5" t="s">
        <v>55</v>
      </c>
      <c r="E336" s="5" t="s">
        <v>42</v>
      </c>
      <c r="F336" s="5" t="s">
        <v>454</v>
      </c>
      <c r="H336" s="5" t="s">
        <v>1292</v>
      </c>
      <c r="I336" s="10" t="s">
        <v>72</v>
      </c>
    </row>
    <row r="337" ht="12.75" customHeight="1">
      <c r="A337" s="5" t="s">
        <v>1294</v>
      </c>
      <c r="B337" s="5" t="s">
        <v>1295</v>
      </c>
      <c r="C337" s="5" t="s">
        <v>1296</v>
      </c>
      <c r="D337" s="5" t="s">
        <v>67</v>
      </c>
      <c r="E337" s="5" t="s">
        <v>35</v>
      </c>
      <c r="F337" s="5" t="s">
        <v>411</v>
      </c>
      <c r="H337" s="5" t="s">
        <v>1297</v>
      </c>
    </row>
    <row r="338" ht="12.75" customHeight="1">
      <c r="A338" s="5" t="s">
        <v>1298</v>
      </c>
      <c r="B338" s="5" t="s">
        <v>1299</v>
      </c>
      <c r="D338" s="5" t="s">
        <v>34</v>
      </c>
      <c r="E338" s="5" t="s">
        <v>42</v>
      </c>
      <c r="F338" s="5" t="s">
        <v>575</v>
      </c>
      <c r="H338" s="5" t="s">
        <v>1301</v>
      </c>
    </row>
    <row r="339" ht="12.75" customHeight="1">
      <c r="A339" s="5" t="s">
        <v>1301</v>
      </c>
      <c r="B339" s="5" t="s">
        <v>1303</v>
      </c>
      <c r="C339" s="5" t="s">
        <v>1304</v>
      </c>
      <c r="D339" s="5" t="s">
        <v>34</v>
      </c>
      <c r="E339" s="5" t="s">
        <v>42</v>
      </c>
      <c r="F339" s="5" t="s">
        <v>575</v>
      </c>
      <c r="K339" s="5" t="s">
        <v>1298</v>
      </c>
    </row>
    <row r="340" ht="12.75" customHeight="1">
      <c r="A340" s="5" t="s">
        <v>1305</v>
      </c>
      <c r="B340" s="5" t="s">
        <v>1306</v>
      </c>
      <c r="C340" s="5" t="s">
        <v>69</v>
      </c>
      <c r="D340" s="5" t="s">
        <v>67</v>
      </c>
      <c r="E340" s="5" t="s">
        <v>42</v>
      </c>
      <c r="F340" s="5" t="s">
        <v>1308</v>
      </c>
      <c r="G340" s="10" t="s">
        <v>72</v>
      </c>
    </row>
    <row r="341" ht="12.75" customHeight="1">
      <c r="A341" s="5" t="s">
        <v>1311</v>
      </c>
      <c r="B341" s="5" t="s">
        <v>1312</v>
      </c>
      <c r="C341" s="5" t="s">
        <v>1313</v>
      </c>
      <c r="D341" s="5" t="s">
        <v>1314</v>
      </c>
      <c r="E341" s="5" t="s">
        <v>42</v>
      </c>
      <c r="F341" s="5" t="s">
        <v>454</v>
      </c>
    </row>
    <row r="342" ht="12.75" customHeight="1">
      <c r="A342" s="5" t="s">
        <v>1315</v>
      </c>
      <c r="B342" s="5" t="s">
        <v>1316</v>
      </c>
      <c r="C342" s="5" t="s">
        <v>1317</v>
      </c>
      <c r="D342" s="5" t="s">
        <v>55</v>
      </c>
      <c r="E342" s="5" t="s">
        <v>35</v>
      </c>
      <c r="F342" s="5" t="s">
        <v>1319</v>
      </c>
    </row>
    <row r="343" ht="12.75" customHeight="1">
      <c r="A343" s="5" t="s">
        <v>1321</v>
      </c>
      <c r="B343" s="5" t="s">
        <v>1322</v>
      </c>
      <c r="C343" s="5" t="s">
        <v>1323</v>
      </c>
      <c r="D343" s="5" t="s">
        <v>46</v>
      </c>
      <c r="E343" s="5" t="s">
        <v>35</v>
      </c>
      <c r="F343" s="5" t="s">
        <v>1324</v>
      </c>
    </row>
    <row r="344" ht="12.75" customHeight="1">
      <c r="A344" s="5" t="s">
        <v>1325</v>
      </c>
      <c r="B344" s="5" t="s">
        <v>1326</v>
      </c>
      <c r="C344" s="5" t="s">
        <v>1327</v>
      </c>
      <c r="D344" s="5" t="s">
        <v>50</v>
      </c>
      <c r="E344" s="5" t="s">
        <v>42</v>
      </c>
      <c r="F344" s="5" t="s">
        <v>720</v>
      </c>
    </row>
    <row r="345" ht="12.75" customHeight="1">
      <c r="A345" s="5" t="s">
        <v>1328</v>
      </c>
      <c r="B345" s="5" t="s">
        <v>1330</v>
      </c>
      <c r="C345" s="5" t="s">
        <v>1332</v>
      </c>
      <c r="D345" s="5" t="s">
        <v>80</v>
      </c>
      <c r="E345" s="5" t="s">
        <v>35</v>
      </c>
      <c r="F345" s="5" t="s">
        <v>1334</v>
      </c>
      <c r="G345" s="10" t="s">
        <v>72</v>
      </c>
    </row>
    <row r="346" ht="12.75" customHeight="1">
      <c r="A346" s="5" t="s">
        <v>1335</v>
      </c>
      <c r="B346" s="5" t="s">
        <v>1336</v>
      </c>
      <c r="C346" s="5" t="s">
        <v>1337</v>
      </c>
      <c r="D346" s="5" t="s">
        <v>46</v>
      </c>
      <c r="E346" s="5" t="s">
        <v>42</v>
      </c>
      <c r="F346" s="5" t="s">
        <v>395</v>
      </c>
      <c r="G346" s="10" t="s">
        <v>72</v>
      </c>
    </row>
    <row r="347" ht="12.75" customHeight="1">
      <c r="A347" s="5" t="s">
        <v>1339</v>
      </c>
      <c r="B347" s="5" t="s">
        <v>1340</v>
      </c>
      <c r="C347" s="5" t="s">
        <v>1342</v>
      </c>
      <c r="D347" s="5" t="s">
        <v>80</v>
      </c>
      <c r="E347" s="5" t="s">
        <v>35</v>
      </c>
      <c r="F347" s="5" t="s">
        <v>1344</v>
      </c>
    </row>
    <row r="348" ht="12.75" customHeight="1">
      <c r="A348" s="5" t="s">
        <v>1345</v>
      </c>
      <c r="B348" s="5" t="s">
        <v>1346</v>
      </c>
      <c r="C348" s="5" t="s">
        <v>1347</v>
      </c>
      <c r="D348" s="5" t="s">
        <v>185</v>
      </c>
      <c r="E348" s="5" t="s">
        <v>42</v>
      </c>
      <c r="F348" s="5" t="s">
        <v>720</v>
      </c>
      <c r="G348" s="10" t="s">
        <v>72</v>
      </c>
    </row>
    <row r="349" ht="12.75" customHeight="1">
      <c r="A349" s="5" t="s">
        <v>1348</v>
      </c>
      <c r="B349" s="5" t="s">
        <v>1350</v>
      </c>
      <c r="C349" s="5" t="s">
        <v>1352</v>
      </c>
      <c r="D349" s="5" t="s">
        <v>185</v>
      </c>
      <c r="E349" s="5" t="s">
        <v>42</v>
      </c>
      <c r="F349" s="5" t="s">
        <v>720</v>
      </c>
      <c r="J349" s="10" t="s">
        <v>72</v>
      </c>
      <c r="K349" s="5" t="s">
        <v>1355</v>
      </c>
    </row>
    <row r="350" ht="12.75" customHeight="1">
      <c r="A350" s="5" t="s">
        <v>1356</v>
      </c>
      <c r="B350" s="5" t="s">
        <v>1357</v>
      </c>
      <c r="D350" s="5" t="s">
        <v>185</v>
      </c>
      <c r="E350" s="5" t="s">
        <v>35</v>
      </c>
      <c r="F350" s="5" t="s">
        <v>619</v>
      </c>
      <c r="H350" s="5" t="s">
        <v>1359</v>
      </c>
      <c r="J350" s="10" t="s">
        <v>72</v>
      </c>
    </row>
    <row r="351" ht="12.75" customHeight="1">
      <c r="A351" s="5" t="s">
        <v>1361</v>
      </c>
      <c r="B351" s="5" t="s">
        <v>1363</v>
      </c>
      <c r="D351" s="5" t="s">
        <v>185</v>
      </c>
      <c r="E351" s="5" t="s">
        <v>42</v>
      </c>
      <c r="F351" s="5" t="s">
        <v>556</v>
      </c>
      <c r="H351" s="5" t="s">
        <v>1359</v>
      </c>
      <c r="J351" s="10" t="s">
        <v>72</v>
      </c>
    </row>
    <row r="352" ht="12.75" customHeight="1">
      <c r="A352" s="5" t="s">
        <v>1364</v>
      </c>
      <c r="B352" s="5" t="s">
        <v>1365</v>
      </c>
      <c r="D352" s="5" t="s">
        <v>185</v>
      </c>
      <c r="E352" s="5" t="s">
        <v>35</v>
      </c>
      <c r="F352" s="5" t="s">
        <v>619</v>
      </c>
      <c r="H352" s="5" t="s">
        <v>1359</v>
      </c>
      <c r="J352" s="10" t="s">
        <v>72</v>
      </c>
    </row>
    <row r="353" ht="12.75" customHeight="1">
      <c r="A353" s="5" t="s">
        <v>1367</v>
      </c>
      <c r="B353" s="5" t="s">
        <v>1369</v>
      </c>
      <c r="D353" s="5" t="s">
        <v>185</v>
      </c>
      <c r="E353" s="5" t="s">
        <v>42</v>
      </c>
      <c r="F353" s="5" t="s">
        <v>556</v>
      </c>
      <c r="H353" s="5" t="s">
        <v>1359</v>
      </c>
      <c r="J353" s="10" t="s">
        <v>72</v>
      </c>
    </row>
    <row r="354" ht="12.75" customHeight="1">
      <c r="A354" s="5" t="s">
        <v>1371</v>
      </c>
      <c r="B354" s="5" t="s">
        <v>1372</v>
      </c>
      <c r="D354" s="5" t="s">
        <v>185</v>
      </c>
      <c r="E354" s="5" t="s">
        <v>35</v>
      </c>
      <c r="F354" s="5" t="s">
        <v>619</v>
      </c>
      <c r="H354" s="5" t="s">
        <v>1374</v>
      </c>
      <c r="J354" s="10" t="s">
        <v>72</v>
      </c>
      <c r="L354" s="5" t="s">
        <v>1376</v>
      </c>
    </row>
    <row r="355" ht="12.75" customHeight="1">
      <c r="A355" s="5" t="s">
        <v>1378</v>
      </c>
      <c r="B355" s="5" t="s">
        <v>1379</v>
      </c>
      <c r="D355" s="5" t="s">
        <v>185</v>
      </c>
      <c r="E355" s="5" t="s">
        <v>42</v>
      </c>
      <c r="F355" s="5" t="s">
        <v>556</v>
      </c>
      <c r="H355" s="5" t="s">
        <v>1374</v>
      </c>
      <c r="J355" s="10" t="s">
        <v>72</v>
      </c>
      <c r="L355" s="5" t="s">
        <v>1381</v>
      </c>
    </row>
    <row r="356" ht="12.75" customHeight="1">
      <c r="A356" s="5" t="s">
        <v>1382</v>
      </c>
      <c r="B356" s="5" t="s">
        <v>1383</v>
      </c>
      <c r="D356" s="5" t="s">
        <v>185</v>
      </c>
      <c r="E356" s="5" t="s">
        <v>35</v>
      </c>
      <c r="F356" s="5" t="s">
        <v>619</v>
      </c>
      <c r="H356" s="5" t="s">
        <v>1374</v>
      </c>
      <c r="J356" s="10" t="s">
        <v>72</v>
      </c>
      <c r="L356" s="5" t="s">
        <v>1386</v>
      </c>
    </row>
    <row r="357" ht="12.75" customHeight="1">
      <c r="A357" s="5" t="s">
        <v>1388</v>
      </c>
      <c r="B357" s="5" t="s">
        <v>1389</v>
      </c>
      <c r="D357" s="5" t="s">
        <v>185</v>
      </c>
      <c r="E357" s="5" t="s">
        <v>42</v>
      </c>
      <c r="F357" s="5" t="s">
        <v>556</v>
      </c>
      <c r="H357" s="5" t="s">
        <v>1374</v>
      </c>
      <c r="J357" s="10" t="s">
        <v>72</v>
      </c>
      <c r="L357" s="5" t="s">
        <v>1390</v>
      </c>
    </row>
    <row r="358" ht="12.75" customHeight="1">
      <c r="A358" s="5" t="s">
        <v>1376</v>
      </c>
      <c r="B358" s="5" t="s">
        <v>1393</v>
      </c>
      <c r="D358" s="5" t="s">
        <v>185</v>
      </c>
      <c r="E358" s="5" t="s">
        <v>35</v>
      </c>
      <c r="F358" s="5" t="s">
        <v>619</v>
      </c>
      <c r="H358" s="5" t="s">
        <v>1371</v>
      </c>
      <c r="I358" s="10" t="s">
        <v>72</v>
      </c>
      <c r="J358" s="10" t="s">
        <v>72</v>
      </c>
    </row>
    <row r="359" ht="12.75" customHeight="1">
      <c r="A359" s="5" t="s">
        <v>1381</v>
      </c>
      <c r="B359" s="5" t="s">
        <v>1395</v>
      </c>
      <c r="D359" s="5" t="s">
        <v>185</v>
      </c>
      <c r="E359" s="5" t="s">
        <v>42</v>
      </c>
      <c r="F359" s="5" t="s">
        <v>556</v>
      </c>
      <c r="H359" s="5" t="s">
        <v>1378</v>
      </c>
      <c r="I359" s="10" t="s">
        <v>72</v>
      </c>
      <c r="J359" s="10" t="s">
        <v>72</v>
      </c>
    </row>
    <row r="360" ht="12.75" customHeight="1">
      <c r="A360" s="5" t="s">
        <v>1386</v>
      </c>
      <c r="B360" s="5" t="s">
        <v>1398</v>
      </c>
      <c r="D360" s="5" t="s">
        <v>185</v>
      </c>
      <c r="E360" s="5" t="s">
        <v>35</v>
      </c>
      <c r="F360" s="5" t="s">
        <v>619</v>
      </c>
      <c r="H360" s="5" t="s">
        <v>1382</v>
      </c>
      <c r="I360" s="10" t="s">
        <v>72</v>
      </c>
      <c r="J360" s="10" t="s">
        <v>72</v>
      </c>
    </row>
    <row r="361" ht="12.75" customHeight="1">
      <c r="A361" s="5" t="s">
        <v>1390</v>
      </c>
      <c r="B361" s="5" t="s">
        <v>1399</v>
      </c>
      <c r="D361" s="5" t="s">
        <v>185</v>
      </c>
      <c r="E361" s="5" t="s">
        <v>42</v>
      </c>
      <c r="F361" s="5" t="s">
        <v>556</v>
      </c>
      <c r="H361" s="5" t="s">
        <v>1388</v>
      </c>
      <c r="I361" s="10" t="s">
        <v>72</v>
      </c>
      <c r="J361" s="10" t="s">
        <v>72</v>
      </c>
    </row>
    <row r="362" ht="12.75" customHeight="1">
      <c r="A362" s="5" t="s">
        <v>1401</v>
      </c>
      <c r="B362" s="5" t="s">
        <v>1402</v>
      </c>
      <c r="D362" s="5" t="s">
        <v>22</v>
      </c>
      <c r="E362" s="5" t="s">
        <v>35</v>
      </c>
      <c r="F362" s="5" t="s">
        <v>619</v>
      </c>
      <c r="H362" s="5" t="s">
        <v>1404</v>
      </c>
      <c r="J362" s="10" t="s">
        <v>72</v>
      </c>
    </row>
    <row r="363" ht="12.75" customHeight="1">
      <c r="A363" s="5" t="s">
        <v>1406</v>
      </c>
      <c r="B363" s="5" t="s">
        <v>1408</v>
      </c>
      <c r="D363" s="5" t="s">
        <v>22</v>
      </c>
      <c r="E363" s="5" t="s">
        <v>42</v>
      </c>
      <c r="F363" s="5" t="s">
        <v>672</v>
      </c>
      <c r="H363" s="5" t="s">
        <v>1404</v>
      </c>
      <c r="J363" s="10" t="s">
        <v>72</v>
      </c>
    </row>
    <row r="364" ht="12.75" customHeight="1">
      <c r="A364" s="5" t="s">
        <v>1409</v>
      </c>
      <c r="B364" s="5" t="s">
        <v>1410</v>
      </c>
      <c r="D364" s="5" t="s">
        <v>22</v>
      </c>
      <c r="E364" s="5" t="s">
        <v>35</v>
      </c>
      <c r="F364" s="5" t="s">
        <v>702</v>
      </c>
      <c r="H364" s="5" t="s">
        <v>1404</v>
      </c>
      <c r="J364" s="10" t="s">
        <v>72</v>
      </c>
    </row>
    <row r="365" ht="12.75" customHeight="1">
      <c r="A365" s="5" t="s">
        <v>1413</v>
      </c>
      <c r="B365" s="5" t="s">
        <v>1415</v>
      </c>
      <c r="D365" s="5" t="s">
        <v>185</v>
      </c>
      <c r="E365" s="5" t="s">
        <v>42</v>
      </c>
      <c r="F365" s="5" t="s">
        <v>556</v>
      </c>
      <c r="H365" s="5" t="s">
        <v>1404</v>
      </c>
      <c r="J365" s="10" t="s">
        <v>72</v>
      </c>
    </row>
    <row r="366" ht="12.75" customHeight="1">
      <c r="A366" s="5" t="s">
        <v>1359</v>
      </c>
      <c r="B366" s="5" t="s">
        <v>1416</v>
      </c>
      <c r="D366" s="5" t="s">
        <v>185</v>
      </c>
      <c r="E366" s="5" t="s">
        <v>42</v>
      </c>
      <c r="F366" s="5" t="s">
        <v>556</v>
      </c>
      <c r="H366" s="5" t="s">
        <v>1348</v>
      </c>
      <c r="J366" s="10" t="s">
        <v>72</v>
      </c>
      <c r="K366" s="5" t="s">
        <v>1419</v>
      </c>
    </row>
    <row r="367" ht="12.75" customHeight="1">
      <c r="A367" s="5" t="s">
        <v>1374</v>
      </c>
      <c r="B367" s="5" t="s">
        <v>1421</v>
      </c>
      <c r="D367" s="5" t="s">
        <v>185</v>
      </c>
      <c r="E367" s="5" t="s">
        <v>42</v>
      </c>
      <c r="F367" s="5" t="s">
        <v>556</v>
      </c>
      <c r="H367" s="5" t="s">
        <v>1348</v>
      </c>
      <c r="J367" s="10" t="s">
        <v>72</v>
      </c>
      <c r="K367" s="5" t="s">
        <v>1422</v>
      </c>
    </row>
    <row r="368" ht="12.75" customHeight="1">
      <c r="A368" s="5" t="s">
        <v>1404</v>
      </c>
      <c r="B368" s="5" t="s">
        <v>1423</v>
      </c>
      <c r="D368" s="5" t="s">
        <v>185</v>
      </c>
      <c r="E368" s="5" t="s">
        <v>42</v>
      </c>
      <c r="F368" s="5" t="s">
        <v>556</v>
      </c>
      <c r="H368" s="5" t="s">
        <v>1348</v>
      </c>
      <c r="J368" s="10" t="s">
        <v>72</v>
      </c>
      <c r="K368" s="5" t="s">
        <v>1426</v>
      </c>
    </row>
    <row r="369" ht="12.75" customHeight="1">
      <c r="A369" s="5" t="s">
        <v>1428</v>
      </c>
      <c r="B369" s="5" t="s">
        <v>1429</v>
      </c>
      <c r="D369" s="5" t="s">
        <v>185</v>
      </c>
      <c r="E369" s="5" t="s">
        <v>35</v>
      </c>
      <c r="F369" s="5" t="s">
        <v>619</v>
      </c>
      <c r="H369" s="5" t="s">
        <v>1430</v>
      </c>
      <c r="J369" s="10" t="s">
        <v>72</v>
      </c>
    </row>
    <row r="370" ht="12.75" customHeight="1">
      <c r="A370" s="5" t="s">
        <v>1431</v>
      </c>
      <c r="B370" s="5" t="s">
        <v>1432</v>
      </c>
      <c r="D370" s="5" t="s">
        <v>185</v>
      </c>
      <c r="E370" s="5" t="s">
        <v>42</v>
      </c>
      <c r="F370" s="5" t="s">
        <v>556</v>
      </c>
      <c r="H370" s="5" t="s">
        <v>1430</v>
      </c>
      <c r="J370" s="10" t="s">
        <v>72</v>
      </c>
    </row>
    <row r="371" ht="12.75" customHeight="1">
      <c r="A371" s="5" t="s">
        <v>1433</v>
      </c>
      <c r="B371" s="5" t="s">
        <v>1434</v>
      </c>
      <c r="D371" s="5" t="s">
        <v>185</v>
      </c>
      <c r="E371" s="5" t="s">
        <v>35</v>
      </c>
      <c r="F371" s="5" t="s">
        <v>619</v>
      </c>
      <c r="H371" s="5" t="s">
        <v>1430</v>
      </c>
      <c r="J371" s="10" t="s">
        <v>72</v>
      </c>
    </row>
    <row r="372" ht="12.75" customHeight="1">
      <c r="A372" s="5" t="s">
        <v>1435</v>
      </c>
      <c r="B372" s="5" t="s">
        <v>1436</v>
      </c>
      <c r="D372" s="5" t="s">
        <v>185</v>
      </c>
      <c r="E372" s="5" t="s">
        <v>42</v>
      </c>
      <c r="F372" s="5" t="s">
        <v>556</v>
      </c>
      <c r="H372" s="5" t="s">
        <v>1430</v>
      </c>
      <c r="J372" s="10" t="s">
        <v>72</v>
      </c>
    </row>
    <row r="373" ht="12.75" customHeight="1">
      <c r="A373" s="5" t="s">
        <v>1440</v>
      </c>
      <c r="B373" s="5" t="s">
        <v>1441</v>
      </c>
      <c r="D373" s="5" t="s">
        <v>185</v>
      </c>
      <c r="E373" s="5" t="s">
        <v>35</v>
      </c>
      <c r="F373" s="5" t="s">
        <v>619</v>
      </c>
      <c r="H373" s="5" t="s">
        <v>1442</v>
      </c>
      <c r="J373" s="10" t="s">
        <v>72</v>
      </c>
      <c r="L373" s="5" t="s">
        <v>1443</v>
      </c>
    </row>
    <row r="374" ht="12.75" customHeight="1">
      <c r="A374" s="5" t="s">
        <v>1444</v>
      </c>
      <c r="B374" s="5" t="s">
        <v>1445</v>
      </c>
      <c r="D374" s="5" t="s">
        <v>185</v>
      </c>
      <c r="E374" s="5" t="s">
        <v>42</v>
      </c>
      <c r="F374" s="5" t="s">
        <v>556</v>
      </c>
      <c r="H374" s="5" t="s">
        <v>1442</v>
      </c>
      <c r="J374" s="10" t="s">
        <v>72</v>
      </c>
      <c r="L374" s="5" t="s">
        <v>1447</v>
      </c>
    </row>
    <row r="375" ht="12.75" customHeight="1">
      <c r="A375" s="5" t="s">
        <v>1449</v>
      </c>
      <c r="B375" s="5" t="s">
        <v>1450</v>
      </c>
      <c r="D375" s="5" t="s">
        <v>185</v>
      </c>
      <c r="E375" s="5" t="s">
        <v>35</v>
      </c>
      <c r="F375" s="5" t="s">
        <v>619</v>
      </c>
      <c r="H375" s="5" t="s">
        <v>1442</v>
      </c>
      <c r="J375" s="10" t="s">
        <v>72</v>
      </c>
      <c r="L375" s="5" t="s">
        <v>1451</v>
      </c>
    </row>
    <row r="376" ht="12.75" customHeight="1">
      <c r="A376" s="5" t="s">
        <v>1452</v>
      </c>
      <c r="B376" s="5" t="s">
        <v>1453</v>
      </c>
      <c r="D376" s="5" t="s">
        <v>185</v>
      </c>
      <c r="E376" s="5" t="s">
        <v>42</v>
      </c>
      <c r="F376" s="5" t="s">
        <v>556</v>
      </c>
      <c r="H376" s="5" t="s">
        <v>1442</v>
      </c>
      <c r="J376" s="10" t="s">
        <v>72</v>
      </c>
      <c r="L376" s="5" t="s">
        <v>1456</v>
      </c>
    </row>
    <row r="377" ht="12.75" customHeight="1">
      <c r="A377" s="5" t="s">
        <v>1443</v>
      </c>
      <c r="B377" s="5" t="s">
        <v>1458</v>
      </c>
      <c r="D377" s="5" t="s">
        <v>185</v>
      </c>
      <c r="E377" s="5" t="s">
        <v>35</v>
      </c>
      <c r="F377" s="5" t="s">
        <v>619</v>
      </c>
      <c r="H377" s="5" t="s">
        <v>1440</v>
      </c>
      <c r="I377" s="10" t="s">
        <v>72</v>
      </c>
      <c r="J377" s="10" t="s">
        <v>72</v>
      </c>
    </row>
    <row r="378" ht="12.75" customHeight="1">
      <c r="A378" s="5" t="s">
        <v>1447</v>
      </c>
      <c r="B378" s="5" t="s">
        <v>1460</v>
      </c>
      <c r="D378" s="5" t="s">
        <v>185</v>
      </c>
      <c r="E378" s="5" t="s">
        <v>42</v>
      </c>
      <c r="F378" s="5" t="s">
        <v>556</v>
      </c>
      <c r="H378" s="5" t="s">
        <v>1444</v>
      </c>
      <c r="I378" s="10" t="s">
        <v>72</v>
      </c>
      <c r="J378" s="10" t="s">
        <v>72</v>
      </c>
    </row>
    <row r="379" ht="12.75" customHeight="1">
      <c r="A379" s="5" t="s">
        <v>1451</v>
      </c>
      <c r="B379" s="5" t="s">
        <v>1464</v>
      </c>
      <c r="D379" s="5" t="s">
        <v>185</v>
      </c>
      <c r="E379" s="5" t="s">
        <v>35</v>
      </c>
      <c r="F379" s="5" t="s">
        <v>619</v>
      </c>
      <c r="H379" s="5" t="s">
        <v>1449</v>
      </c>
      <c r="I379" s="10" t="s">
        <v>72</v>
      </c>
      <c r="J379" s="10" t="s">
        <v>72</v>
      </c>
    </row>
    <row r="380" ht="12.75" customHeight="1">
      <c r="A380" s="5" t="s">
        <v>1456</v>
      </c>
      <c r="B380" s="5" t="s">
        <v>1467</v>
      </c>
      <c r="D380" s="5" t="s">
        <v>185</v>
      </c>
      <c r="E380" s="5" t="s">
        <v>42</v>
      </c>
      <c r="F380" s="5" t="s">
        <v>556</v>
      </c>
      <c r="H380" s="5" t="s">
        <v>1452</v>
      </c>
      <c r="I380" s="10" t="s">
        <v>72</v>
      </c>
      <c r="J380" s="10" t="s">
        <v>72</v>
      </c>
    </row>
    <row r="381" ht="12.75" customHeight="1">
      <c r="A381" s="5" t="s">
        <v>1469</v>
      </c>
      <c r="B381" s="5" t="s">
        <v>1470</v>
      </c>
      <c r="D381" s="5" t="s">
        <v>185</v>
      </c>
      <c r="E381" s="5" t="s">
        <v>35</v>
      </c>
      <c r="F381" s="5" t="s">
        <v>619</v>
      </c>
      <c r="H381" s="5" t="s">
        <v>1471</v>
      </c>
      <c r="J381" s="10" t="s">
        <v>72</v>
      </c>
    </row>
    <row r="382" ht="12.75" customHeight="1">
      <c r="A382" s="5" t="s">
        <v>1474</v>
      </c>
      <c r="B382" s="5" t="s">
        <v>1475</v>
      </c>
      <c r="D382" s="5" t="s">
        <v>185</v>
      </c>
      <c r="E382" s="5" t="s">
        <v>42</v>
      </c>
      <c r="F382" s="5" t="s">
        <v>556</v>
      </c>
      <c r="H382" s="5" t="s">
        <v>1404</v>
      </c>
      <c r="J382" s="10" t="s">
        <v>72</v>
      </c>
    </row>
    <row r="383" ht="12.75" customHeight="1">
      <c r="A383" s="5" t="s">
        <v>1477</v>
      </c>
      <c r="B383" s="5" t="s">
        <v>1478</v>
      </c>
      <c r="D383" s="5" t="s">
        <v>185</v>
      </c>
      <c r="E383" s="5" t="s">
        <v>35</v>
      </c>
      <c r="F383" s="5" t="s">
        <v>619</v>
      </c>
      <c r="H383" s="5" t="s">
        <v>1471</v>
      </c>
      <c r="J383" s="10" t="s">
        <v>72</v>
      </c>
    </row>
    <row r="384" ht="12.75" customHeight="1">
      <c r="A384" s="5" t="s">
        <v>1481</v>
      </c>
      <c r="B384" s="5" t="s">
        <v>1482</v>
      </c>
      <c r="D384" s="5" t="s">
        <v>185</v>
      </c>
      <c r="E384" s="5" t="s">
        <v>42</v>
      </c>
      <c r="F384" s="5" t="s">
        <v>556</v>
      </c>
      <c r="H384" s="5" t="s">
        <v>1404</v>
      </c>
      <c r="J384" s="10" t="s">
        <v>72</v>
      </c>
    </row>
    <row r="385" ht="12.75" customHeight="1">
      <c r="A385" s="5" t="s">
        <v>1430</v>
      </c>
      <c r="B385" s="5" t="s">
        <v>1484</v>
      </c>
      <c r="D385" s="5" t="s">
        <v>185</v>
      </c>
      <c r="E385" s="5" t="s">
        <v>42</v>
      </c>
      <c r="F385" s="5" t="s">
        <v>556</v>
      </c>
      <c r="H385" s="5" t="s">
        <v>1348</v>
      </c>
      <c r="J385" s="10" t="s">
        <v>72</v>
      </c>
      <c r="K385" s="5" t="s">
        <v>1485</v>
      </c>
    </row>
    <row r="386" ht="12.75" customHeight="1">
      <c r="A386" s="5" t="s">
        <v>1442</v>
      </c>
      <c r="B386" s="5" t="s">
        <v>1487</v>
      </c>
      <c r="D386" s="5" t="s">
        <v>185</v>
      </c>
      <c r="E386" s="5" t="s">
        <v>42</v>
      </c>
      <c r="F386" s="5" t="s">
        <v>556</v>
      </c>
      <c r="H386" s="5" t="s">
        <v>1348</v>
      </c>
      <c r="J386" s="10" t="s">
        <v>72</v>
      </c>
      <c r="K386" s="5" t="s">
        <v>1489</v>
      </c>
    </row>
    <row r="387" ht="12.75" customHeight="1">
      <c r="A387" s="5" t="s">
        <v>1471</v>
      </c>
      <c r="B387" s="5" t="s">
        <v>1490</v>
      </c>
      <c r="D387" s="5" t="s">
        <v>185</v>
      </c>
      <c r="E387" s="5" t="s">
        <v>42</v>
      </c>
      <c r="F387" s="5" t="s">
        <v>556</v>
      </c>
      <c r="H387" s="5" t="s">
        <v>1348</v>
      </c>
      <c r="J387" s="10" t="s">
        <v>72</v>
      </c>
      <c r="K387" s="5" t="s">
        <v>1492</v>
      </c>
    </row>
    <row r="388" ht="12.75" customHeight="1">
      <c r="A388" s="5" t="s">
        <v>1493</v>
      </c>
      <c r="B388" s="5" t="s">
        <v>1495</v>
      </c>
      <c r="D388" s="5" t="s">
        <v>185</v>
      </c>
      <c r="E388" s="5" t="s">
        <v>35</v>
      </c>
      <c r="F388" s="5" t="s">
        <v>619</v>
      </c>
      <c r="H388" s="5" t="s">
        <v>1496</v>
      </c>
      <c r="J388" s="10" t="s">
        <v>72</v>
      </c>
    </row>
    <row r="389" ht="12.75" customHeight="1">
      <c r="A389" s="5" t="s">
        <v>1497</v>
      </c>
      <c r="B389" s="5" t="s">
        <v>1498</v>
      </c>
      <c r="D389" s="5" t="s">
        <v>185</v>
      </c>
      <c r="E389" s="5" t="s">
        <v>42</v>
      </c>
      <c r="F389" s="5" t="s">
        <v>556</v>
      </c>
      <c r="H389" s="5" t="s">
        <v>1496</v>
      </c>
      <c r="J389" s="10" t="s">
        <v>72</v>
      </c>
    </row>
    <row r="390" ht="12.75" customHeight="1">
      <c r="A390" s="5" t="s">
        <v>1501</v>
      </c>
      <c r="B390" s="5" t="s">
        <v>1503</v>
      </c>
      <c r="D390" s="5" t="s">
        <v>185</v>
      </c>
      <c r="E390" s="5" t="s">
        <v>35</v>
      </c>
      <c r="F390" s="5" t="s">
        <v>619</v>
      </c>
      <c r="H390" s="5" t="s">
        <v>1496</v>
      </c>
      <c r="J390" s="10" t="s">
        <v>72</v>
      </c>
    </row>
    <row r="391" ht="12.75" customHeight="1">
      <c r="A391" s="5" t="s">
        <v>1504</v>
      </c>
      <c r="B391" s="5" t="s">
        <v>1505</v>
      </c>
      <c r="D391" s="5" t="s">
        <v>185</v>
      </c>
      <c r="E391" s="5" t="s">
        <v>42</v>
      </c>
      <c r="F391" s="5" t="s">
        <v>556</v>
      </c>
      <c r="H391" s="5" t="s">
        <v>1496</v>
      </c>
      <c r="J391" s="10" t="s">
        <v>72</v>
      </c>
    </row>
    <row r="392" ht="12.75" customHeight="1">
      <c r="A392" s="5" t="s">
        <v>1506</v>
      </c>
      <c r="B392" s="5" t="s">
        <v>1508</v>
      </c>
      <c r="D392" s="5" t="s">
        <v>185</v>
      </c>
      <c r="E392" s="5" t="s">
        <v>35</v>
      </c>
      <c r="F392" s="5" t="s">
        <v>619</v>
      </c>
      <c r="H392" s="5" t="s">
        <v>1510</v>
      </c>
      <c r="J392" s="10" t="s">
        <v>72</v>
      </c>
      <c r="L392" s="5" t="s">
        <v>1512</v>
      </c>
    </row>
    <row r="393" ht="12.75" customHeight="1">
      <c r="A393" s="5" t="s">
        <v>1514</v>
      </c>
      <c r="B393" s="5" t="s">
        <v>1515</v>
      </c>
      <c r="D393" s="5" t="s">
        <v>185</v>
      </c>
      <c r="E393" s="5" t="s">
        <v>42</v>
      </c>
      <c r="F393" s="5" t="s">
        <v>556</v>
      </c>
      <c r="H393" s="5" t="s">
        <v>1510</v>
      </c>
      <c r="J393" s="10" t="s">
        <v>72</v>
      </c>
      <c r="L393" s="5" t="s">
        <v>1516</v>
      </c>
    </row>
    <row r="394" ht="12.75" customHeight="1">
      <c r="A394" s="5" t="s">
        <v>1517</v>
      </c>
      <c r="B394" s="5" t="s">
        <v>1519</v>
      </c>
      <c r="D394" s="5" t="s">
        <v>185</v>
      </c>
      <c r="E394" s="5" t="s">
        <v>35</v>
      </c>
      <c r="F394" s="5" t="s">
        <v>619</v>
      </c>
      <c r="H394" s="5" t="s">
        <v>1510</v>
      </c>
      <c r="J394" s="10" t="s">
        <v>72</v>
      </c>
      <c r="L394" s="5" t="s">
        <v>1521</v>
      </c>
    </row>
    <row r="395" ht="12.75" customHeight="1">
      <c r="A395" s="5" t="s">
        <v>1522</v>
      </c>
      <c r="B395" s="5" t="s">
        <v>1523</v>
      </c>
      <c r="D395" s="5" t="s">
        <v>185</v>
      </c>
      <c r="E395" s="5" t="s">
        <v>42</v>
      </c>
      <c r="F395" s="5" t="s">
        <v>556</v>
      </c>
      <c r="H395" s="5" t="s">
        <v>1510</v>
      </c>
      <c r="J395" s="10" t="s">
        <v>72</v>
      </c>
      <c r="L395" s="5" t="s">
        <v>1525</v>
      </c>
    </row>
    <row r="396" ht="12.75" customHeight="1">
      <c r="A396" s="5" t="s">
        <v>1512</v>
      </c>
      <c r="B396" s="5" t="s">
        <v>1527</v>
      </c>
      <c r="D396" s="5" t="s">
        <v>185</v>
      </c>
      <c r="E396" s="5" t="s">
        <v>35</v>
      </c>
      <c r="F396" s="5" t="s">
        <v>619</v>
      </c>
      <c r="H396" s="5" t="s">
        <v>1506</v>
      </c>
      <c r="I396" s="10" t="s">
        <v>72</v>
      </c>
      <c r="J396" s="10" t="s">
        <v>72</v>
      </c>
    </row>
    <row r="397" ht="12.75" customHeight="1">
      <c r="A397" s="5" t="s">
        <v>1516</v>
      </c>
      <c r="B397" s="5" t="s">
        <v>1529</v>
      </c>
      <c r="D397" s="5" t="s">
        <v>185</v>
      </c>
      <c r="E397" s="5" t="s">
        <v>42</v>
      </c>
      <c r="F397" s="5" t="s">
        <v>556</v>
      </c>
      <c r="H397" s="5" t="s">
        <v>1514</v>
      </c>
      <c r="I397" s="10" t="s">
        <v>72</v>
      </c>
      <c r="J397" s="10" t="s">
        <v>72</v>
      </c>
    </row>
    <row r="398" ht="12.75" customHeight="1">
      <c r="A398" s="5" t="s">
        <v>1521</v>
      </c>
      <c r="B398" s="5" t="s">
        <v>1532</v>
      </c>
      <c r="D398" s="5" t="s">
        <v>185</v>
      </c>
      <c r="E398" s="5" t="s">
        <v>35</v>
      </c>
      <c r="F398" s="5" t="s">
        <v>619</v>
      </c>
      <c r="H398" s="5" t="s">
        <v>1517</v>
      </c>
      <c r="I398" s="10" t="s">
        <v>72</v>
      </c>
      <c r="J398" s="10" t="s">
        <v>72</v>
      </c>
    </row>
    <row r="399" ht="12.75" customHeight="1">
      <c r="A399" s="5" t="s">
        <v>1525</v>
      </c>
      <c r="B399" s="5" t="s">
        <v>1534</v>
      </c>
      <c r="D399" s="5" t="s">
        <v>185</v>
      </c>
      <c r="E399" s="5" t="s">
        <v>42</v>
      </c>
      <c r="F399" s="5" t="s">
        <v>556</v>
      </c>
      <c r="H399" s="5" t="s">
        <v>1522</v>
      </c>
      <c r="I399" s="10" t="s">
        <v>72</v>
      </c>
      <c r="J399" s="10" t="s">
        <v>72</v>
      </c>
    </row>
    <row r="400" ht="12.75" customHeight="1">
      <c r="A400" s="5" t="s">
        <v>1538</v>
      </c>
      <c r="B400" s="5" t="s">
        <v>1539</v>
      </c>
      <c r="D400" s="5" t="s">
        <v>185</v>
      </c>
      <c r="E400" s="5" t="s">
        <v>35</v>
      </c>
      <c r="F400" s="5" t="s">
        <v>619</v>
      </c>
      <c r="H400" s="5" t="s">
        <v>1540</v>
      </c>
      <c r="J400" s="10" t="s">
        <v>72</v>
      </c>
    </row>
    <row r="401" ht="12.75" customHeight="1">
      <c r="A401" s="5" t="s">
        <v>1542</v>
      </c>
      <c r="B401" s="5" t="s">
        <v>1544</v>
      </c>
      <c r="D401" s="5" t="s">
        <v>185</v>
      </c>
      <c r="E401" s="5" t="s">
        <v>42</v>
      </c>
      <c r="F401" s="5" t="s">
        <v>556</v>
      </c>
      <c r="H401" s="5" t="s">
        <v>1540</v>
      </c>
      <c r="J401" s="10" t="s">
        <v>72</v>
      </c>
    </row>
    <row r="402" ht="12.75" customHeight="1">
      <c r="A402" s="5" t="s">
        <v>1546</v>
      </c>
      <c r="B402" s="5" t="s">
        <v>1547</v>
      </c>
      <c r="D402" s="5" t="s">
        <v>185</v>
      </c>
      <c r="E402" s="5" t="s">
        <v>35</v>
      </c>
      <c r="F402" s="5" t="s">
        <v>619</v>
      </c>
      <c r="H402" s="5" t="s">
        <v>1540</v>
      </c>
      <c r="J402" s="10" t="s">
        <v>72</v>
      </c>
    </row>
    <row r="403" ht="12.75" customHeight="1">
      <c r="A403" s="5" t="s">
        <v>1548</v>
      </c>
      <c r="B403" s="5" t="s">
        <v>1549</v>
      </c>
      <c r="D403" s="5" t="s">
        <v>185</v>
      </c>
      <c r="E403" s="5" t="s">
        <v>42</v>
      </c>
      <c r="F403" s="5" t="s">
        <v>556</v>
      </c>
      <c r="H403" s="5" t="s">
        <v>1540</v>
      </c>
      <c r="J403" s="10" t="s">
        <v>72</v>
      </c>
    </row>
    <row r="404" ht="12.75" customHeight="1">
      <c r="A404" s="5" t="s">
        <v>1496</v>
      </c>
      <c r="B404" s="5" t="s">
        <v>1553</v>
      </c>
      <c r="D404" s="5" t="s">
        <v>185</v>
      </c>
      <c r="E404" s="5" t="s">
        <v>42</v>
      </c>
      <c r="F404" s="5" t="s">
        <v>556</v>
      </c>
      <c r="H404" s="5" t="s">
        <v>1348</v>
      </c>
      <c r="J404" s="10" t="s">
        <v>72</v>
      </c>
      <c r="K404" s="5" t="s">
        <v>1554</v>
      </c>
    </row>
    <row r="405" ht="12.75" customHeight="1">
      <c r="A405" s="5" t="s">
        <v>1510</v>
      </c>
      <c r="B405" s="5" t="s">
        <v>1556</v>
      </c>
      <c r="D405" s="5" t="s">
        <v>185</v>
      </c>
      <c r="E405" s="5" t="s">
        <v>42</v>
      </c>
      <c r="F405" s="5" t="s">
        <v>556</v>
      </c>
      <c r="H405" s="5" t="s">
        <v>1348</v>
      </c>
      <c r="J405" s="10" t="s">
        <v>72</v>
      </c>
      <c r="K405" s="5" t="s">
        <v>1559</v>
      </c>
    </row>
    <row r="406" ht="12.75" customHeight="1">
      <c r="A406" s="5" t="s">
        <v>1540</v>
      </c>
      <c r="B406" s="5" t="s">
        <v>1560</v>
      </c>
      <c r="D406" s="5" t="s">
        <v>185</v>
      </c>
      <c r="E406" s="5" t="s">
        <v>42</v>
      </c>
      <c r="F406" s="5" t="s">
        <v>556</v>
      </c>
      <c r="H406" s="5" t="s">
        <v>1348</v>
      </c>
      <c r="J406" s="10" t="s">
        <v>72</v>
      </c>
      <c r="K406" s="5" t="s">
        <v>1561</v>
      </c>
    </row>
    <row r="407" ht="12.75" customHeight="1">
      <c r="A407" s="5" t="s">
        <v>1564</v>
      </c>
      <c r="B407" s="5" t="s">
        <v>1565</v>
      </c>
      <c r="D407" s="5" t="s">
        <v>185</v>
      </c>
      <c r="E407" s="5" t="s">
        <v>35</v>
      </c>
      <c r="F407" s="5" t="s">
        <v>619</v>
      </c>
      <c r="H407" s="5" t="s">
        <v>1567</v>
      </c>
      <c r="J407" s="10" t="s">
        <v>72</v>
      </c>
    </row>
    <row r="408" ht="12.75" customHeight="1">
      <c r="A408" s="5" t="s">
        <v>1568</v>
      </c>
      <c r="B408" s="5" t="s">
        <v>1569</v>
      </c>
      <c r="D408" s="5" t="s">
        <v>185</v>
      </c>
      <c r="E408" s="5" t="s">
        <v>42</v>
      </c>
      <c r="F408" s="5" t="s">
        <v>556</v>
      </c>
      <c r="H408" s="5" t="s">
        <v>1567</v>
      </c>
      <c r="J408" s="10" t="s">
        <v>72</v>
      </c>
    </row>
    <row r="409" ht="12.75" customHeight="1">
      <c r="A409" s="5" t="s">
        <v>1571</v>
      </c>
      <c r="B409" s="5" t="s">
        <v>1573</v>
      </c>
      <c r="D409" s="5" t="s">
        <v>185</v>
      </c>
      <c r="E409" s="5" t="s">
        <v>35</v>
      </c>
      <c r="F409" s="5" t="s">
        <v>619</v>
      </c>
      <c r="H409" s="5" t="s">
        <v>1567</v>
      </c>
      <c r="J409" s="10" t="s">
        <v>72</v>
      </c>
    </row>
    <row r="410" ht="12.75" customHeight="1">
      <c r="A410" s="5" t="s">
        <v>1575</v>
      </c>
      <c r="B410" s="5" t="s">
        <v>1576</v>
      </c>
      <c r="D410" s="5" t="s">
        <v>185</v>
      </c>
      <c r="E410" s="5" t="s">
        <v>42</v>
      </c>
      <c r="F410" s="5" t="s">
        <v>556</v>
      </c>
      <c r="H410" s="5" t="s">
        <v>1567</v>
      </c>
      <c r="J410" s="10" t="s">
        <v>72</v>
      </c>
    </row>
    <row r="411" ht="12.75" customHeight="1">
      <c r="A411" s="5" t="s">
        <v>1578</v>
      </c>
      <c r="B411" s="5" t="s">
        <v>1580</v>
      </c>
      <c r="D411" s="5" t="s">
        <v>185</v>
      </c>
      <c r="E411" s="5" t="s">
        <v>35</v>
      </c>
      <c r="F411" s="5" t="s">
        <v>619</v>
      </c>
      <c r="H411" s="5" t="s">
        <v>1582</v>
      </c>
      <c r="J411" s="10" t="s">
        <v>72</v>
      </c>
      <c r="L411" s="5" t="s">
        <v>1584</v>
      </c>
    </row>
    <row r="412" ht="12.75" customHeight="1">
      <c r="A412" s="5" t="s">
        <v>1585</v>
      </c>
      <c r="B412" s="5" t="s">
        <v>1586</v>
      </c>
      <c r="D412" s="5" t="s">
        <v>185</v>
      </c>
      <c r="E412" s="5" t="s">
        <v>42</v>
      </c>
      <c r="F412" s="5" t="s">
        <v>556</v>
      </c>
      <c r="H412" s="5" t="s">
        <v>1582</v>
      </c>
      <c r="J412" s="10" t="s">
        <v>72</v>
      </c>
      <c r="L412" s="5" t="s">
        <v>1589</v>
      </c>
    </row>
    <row r="413" ht="12.75" customHeight="1">
      <c r="A413" s="5" t="s">
        <v>1590</v>
      </c>
      <c r="B413" s="5" t="s">
        <v>1592</v>
      </c>
      <c r="D413" s="5" t="s">
        <v>185</v>
      </c>
      <c r="E413" s="5" t="s">
        <v>35</v>
      </c>
      <c r="F413" s="5" t="s">
        <v>619</v>
      </c>
      <c r="H413" s="5" t="s">
        <v>1582</v>
      </c>
      <c r="J413" s="10" t="s">
        <v>72</v>
      </c>
      <c r="L413" s="5" t="s">
        <v>1594</v>
      </c>
    </row>
    <row r="414" ht="12.75" customHeight="1">
      <c r="A414" s="5" t="s">
        <v>1595</v>
      </c>
      <c r="B414" s="5" t="s">
        <v>1596</v>
      </c>
      <c r="D414" s="5" t="s">
        <v>185</v>
      </c>
      <c r="E414" s="5" t="s">
        <v>42</v>
      </c>
      <c r="F414" s="5" t="s">
        <v>556</v>
      </c>
      <c r="H414" s="5" t="s">
        <v>1582</v>
      </c>
      <c r="J414" s="10" t="s">
        <v>72</v>
      </c>
      <c r="L414" s="5" t="s">
        <v>1598</v>
      </c>
    </row>
    <row r="415" ht="12.75" customHeight="1">
      <c r="A415" s="5" t="s">
        <v>1584</v>
      </c>
      <c r="B415" s="5" t="s">
        <v>1600</v>
      </c>
      <c r="D415" s="5" t="s">
        <v>185</v>
      </c>
      <c r="E415" s="5" t="s">
        <v>35</v>
      </c>
      <c r="F415" s="5" t="s">
        <v>619</v>
      </c>
      <c r="H415" s="5" t="s">
        <v>1578</v>
      </c>
      <c r="I415" s="10" t="s">
        <v>72</v>
      </c>
      <c r="J415" s="10" t="s">
        <v>72</v>
      </c>
    </row>
    <row r="416" ht="12.75" customHeight="1">
      <c r="A416" s="5" t="s">
        <v>1589</v>
      </c>
      <c r="B416" s="5" t="s">
        <v>1602</v>
      </c>
      <c r="D416" s="5" t="s">
        <v>185</v>
      </c>
      <c r="E416" s="5" t="s">
        <v>42</v>
      </c>
      <c r="F416" s="5" t="s">
        <v>556</v>
      </c>
      <c r="H416" s="5" t="s">
        <v>1585</v>
      </c>
      <c r="I416" s="10" t="s">
        <v>72</v>
      </c>
      <c r="J416" s="10" t="s">
        <v>72</v>
      </c>
    </row>
    <row r="417" ht="12.75" customHeight="1">
      <c r="A417" s="5" t="s">
        <v>1594</v>
      </c>
      <c r="B417" s="5" t="s">
        <v>1605</v>
      </c>
      <c r="D417" s="5" t="s">
        <v>185</v>
      </c>
      <c r="E417" s="5" t="s">
        <v>35</v>
      </c>
      <c r="F417" s="5" t="s">
        <v>619</v>
      </c>
      <c r="H417" s="5" t="s">
        <v>1590</v>
      </c>
      <c r="I417" s="10" t="s">
        <v>72</v>
      </c>
      <c r="J417" s="10" t="s">
        <v>72</v>
      </c>
    </row>
    <row r="418" ht="12.75" customHeight="1">
      <c r="A418" s="5" t="s">
        <v>1598</v>
      </c>
      <c r="B418" s="5" t="s">
        <v>1606</v>
      </c>
      <c r="D418" s="5" t="s">
        <v>185</v>
      </c>
      <c r="E418" s="5" t="s">
        <v>42</v>
      </c>
      <c r="F418" s="5" t="s">
        <v>556</v>
      </c>
      <c r="H418" s="5" t="s">
        <v>1595</v>
      </c>
      <c r="I418" s="10" t="s">
        <v>72</v>
      </c>
      <c r="J418" s="10" t="s">
        <v>72</v>
      </c>
    </row>
    <row r="419" ht="12.75" customHeight="1">
      <c r="A419" s="5" t="s">
        <v>1610</v>
      </c>
      <c r="B419" s="5" t="s">
        <v>1611</v>
      </c>
      <c r="D419" s="5" t="s">
        <v>185</v>
      </c>
      <c r="E419" s="5" t="s">
        <v>35</v>
      </c>
      <c r="F419" s="5" t="s">
        <v>619</v>
      </c>
      <c r="H419" s="5" t="s">
        <v>1612</v>
      </c>
      <c r="J419" s="10" t="s">
        <v>72</v>
      </c>
    </row>
    <row r="420" ht="12.75" customHeight="1">
      <c r="A420" s="5" t="s">
        <v>1613</v>
      </c>
      <c r="B420" s="5" t="s">
        <v>1614</v>
      </c>
      <c r="D420" s="5" t="s">
        <v>185</v>
      </c>
      <c r="E420" s="5" t="s">
        <v>42</v>
      </c>
      <c r="F420" s="5" t="s">
        <v>556</v>
      </c>
      <c r="H420" s="5" t="s">
        <v>1612</v>
      </c>
      <c r="J420" s="10" t="s">
        <v>72</v>
      </c>
    </row>
    <row r="421" ht="12.75" customHeight="1">
      <c r="A421" s="5" t="s">
        <v>1618</v>
      </c>
      <c r="B421" s="5" t="s">
        <v>1619</v>
      </c>
      <c r="D421" s="5" t="s">
        <v>185</v>
      </c>
      <c r="E421" s="5" t="s">
        <v>35</v>
      </c>
      <c r="F421" s="5" t="s">
        <v>619</v>
      </c>
      <c r="H421" s="5" t="s">
        <v>1612</v>
      </c>
      <c r="J421" s="10" t="s">
        <v>72</v>
      </c>
    </row>
    <row r="422" ht="12.75" customHeight="1">
      <c r="A422" s="5" t="s">
        <v>1620</v>
      </c>
      <c r="B422" s="5" t="s">
        <v>1621</v>
      </c>
      <c r="D422" s="5" t="s">
        <v>185</v>
      </c>
      <c r="E422" s="5" t="s">
        <v>42</v>
      </c>
      <c r="F422" s="5" t="s">
        <v>556</v>
      </c>
      <c r="H422" s="5" t="s">
        <v>1612</v>
      </c>
      <c r="J422" s="10" t="s">
        <v>72</v>
      </c>
    </row>
    <row r="423" ht="12.75" customHeight="1">
      <c r="A423" s="5" t="s">
        <v>1567</v>
      </c>
      <c r="B423" s="5" t="s">
        <v>1624</v>
      </c>
      <c r="D423" s="5" t="s">
        <v>185</v>
      </c>
      <c r="E423" s="5" t="s">
        <v>42</v>
      </c>
      <c r="F423" s="5" t="s">
        <v>556</v>
      </c>
      <c r="H423" s="5" t="s">
        <v>1348</v>
      </c>
      <c r="J423" s="10" t="s">
        <v>72</v>
      </c>
      <c r="K423" s="5" t="s">
        <v>1625</v>
      </c>
    </row>
    <row r="424" ht="12.75" customHeight="1">
      <c r="A424" s="5" t="s">
        <v>1582</v>
      </c>
      <c r="B424" s="5" t="s">
        <v>1626</v>
      </c>
      <c r="D424" s="5" t="s">
        <v>185</v>
      </c>
      <c r="E424" s="5" t="s">
        <v>42</v>
      </c>
      <c r="F424" s="5" t="s">
        <v>556</v>
      </c>
      <c r="H424" s="5" t="s">
        <v>1348</v>
      </c>
      <c r="J424" s="10" t="s">
        <v>72</v>
      </c>
      <c r="K424" s="5" t="s">
        <v>1629</v>
      </c>
    </row>
    <row r="425" ht="12.75" customHeight="1">
      <c r="A425" s="5" t="s">
        <v>1612</v>
      </c>
      <c r="B425" s="5" t="s">
        <v>1630</v>
      </c>
      <c r="D425" s="5" t="s">
        <v>185</v>
      </c>
      <c r="E425" s="5" t="s">
        <v>42</v>
      </c>
      <c r="F425" s="5" t="s">
        <v>556</v>
      </c>
      <c r="H425" s="5" t="s">
        <v>1348</v>
      </c>
      <c r="J425" s="10" t="s">
        <v>72</v>
      </c>
      <c r="K425" s="5" t="s">
        <v>1631</v>
      </c>
    </row>
    <row r="426" ht="12.75" customHeight="1">
      <c r="A426" s="5" t="s">
        <v>1632</v>
      </c>
      <c r="B426" s="5" t="s">
        <v>1633</v>
      </c>
      <c r="D426" s="5" t="s">
        <v>185</v>
      </c>
      <c r="E426" s="5" t="s">
        <v>35</v>
      </c>
      <c r="F426" s="5" t="s">
        <v>619</v>
      </c>
      <c r="H426" s="5" t="s">
        <v>1636</v>
      </c>
      <c r="J426" s="10" t="s">
        <v>72</v>
      </c>
    </row>
    <row r="427" ht="12.75" customHeight="1">
      <c r="A427" s="5" t="s">
        <v>1638</v>
      </c>
      <c r="B427" s="5" t="s">
        <v>1639</v>
      </c>
      <c r="D427" s="5" t="s">
        <v>185</v>
      </c>
      <c r="E427" s="5" t="s">
        <v>35</v>
      </c>
      <c r="F427" s="5" t="s">
        <v>619</v>
      </c>
      <c r="H427" s="5" t="s">
        <v>1636</v>
      </c>
      <c r="J427" s="10" t="s">
        <v>72</v>
      </c>
    </row>
    <row r="428" ht="12.75" customHeight="1">
      <c r="A428" s="5" t="s">
        <v>1640</v>
      </c>
      <c r="B428" s="5" t="s">
        <v>1641</v>
      </c>
      <c r="D428" s="5" t="s">
        <v>185</v>
      </c>
      <c r="E428" s="5" t="s">
        <v>42</v>
      </c>
      <c r="F428" s="5" t="s">
        <v>556</v>
      </c>
      <c r="H428" s="5" t="s">
        <v>1636</v>
      </c>
      <c r="J428" s="10" t="s">
        <v>72</v>
      </c>
    </row>
    <row r="429" ht="12.75" customHeight="1">
      <c r="A429" s="5" t="s">
        <v>1644</v>
      </c>
      <c r="B429" s="5" t="s">
        <v>1645</v>
      </c>
      <c r="D429" s="5" t="s">
        <v>185</v>
      </c>
      <c r="E429" s="5" t="s">
        <v>35</v>
      </c>
      <c r="F429" s="5" t="s">
        <v>619</v>
      </c>
      <c r="H429" s="5" t="s">
        <v>1647</v>
      </c>
      <c r="J429" s="10" t="s">
        <v>72</v>
      </c>
      <c r="L429" s="5" t="s">
        <v>1648</v>
      </c>
    </row>
    <row r="430" ht="12.75" customHeight="1">
      <c r="A430" s="5" t="s">
        <v>1649</v>
      </c>
      <c r="B430" s="5" t="s">
        <v>1650</v>
      </c>
      <c r="D430" s="5" t="s">
        <v>185</v>
      </c>
      <c r="E430" s="5" t="s">
        <v>42</v>
      </c>
      <c r="F430" s="5" t="s">
        <v>556</v>
      </c>
      <c r="H430" s="5" t="s">
        <v>1647</v>
      </c>
      <c r="J430" s="10" t="s">
        <v>72</v>
      </c>
      <c r="L430" s="5" t="s">
        <v>1653</v>
      </c>
    </row>
    <row r="431" ht="12.75" customHeight="1">
      <c r="A431" s="5" t="s">
        <v>1655</v>
      </c>
      <c r="B431" s="5" t="s">
        <v>1657</v>
      </c>
      <c r="D431" s="5" t="s">
        <v>185</v>
      </c>
      <c r="E431" s="5" t="s">
        <v>35</v>
      </c>
      <c r="F431" s="5" t="s">
        <v>619</v>
      </c>
      <c r="H431" s="5" t="s">
        <v>1647</v>
      </c>
      <c r="J431" s="10" t="s">
        <v>72</v>
      </c>
      <c r="L431" s="5" t="s">
        <v>1658</v>
      </c>
    </row>
    <row r="432" ht="12.75" customHeight="1">
      <c r="A432" s="5" t="s">
        <v>1660</v>
      </c>
      <c r="B432" s="5" t="s">
        <v>1662</v>
      </c>
      <c r="D432" s="5" t="s">
        <v>185</v>
      </c>
      <c r="E432" s="5" t="s">
        <v>42</v>
      </c>
      <c r="F432" s="5" t="s">
        <v>556</v>
      </c>
      <c r="H432" s="5" t="s">
        <v>1647</v>
      </c>
      <c r="J432" s="10" t="s">
        <v>72</v>
      </c>
      <c r="L432" s="5" t="s">
        <v>1664</v>
      </c>
    </row>
    <row r="433" ht="12.75" customHeight="1">
      <c r="A433" s="5" t="s">
        <v>1648</v>
      </c>
      <c r="B433" s="5" t="s">
        <v>1665</v>
      </c>
      <c r="D433" s="5" t="s">
        <v>185</v>
      </c>
      <c r="E433" s="5" t="s">
        <v>35</v>
      </c>
      <c r="F433" s="5" t="s">
        <v>619</v>
      </c>
      <c r="H433" s="5" t="s">
        <v>1644</v>
      </c>
      <c r="I433" s="10" t="s">
        <v>72</v>
      </c>
      <c r="J433" s="10" t="s">
        <v>72</v>
      </c>
    </row>
    <row r="434" ht="12.75" customHeight="1">
      <c r="A434" s="5" t="s">
        <v>1653</v>
      </c>
      <c r="B434" s="5" t="s">
        <v>1668</v>
      </c>
      <c r="D434" s="5" t="s">
        <v>185</v>
      </c>
      <c r="E434" s="5" t="s">
        <v>42</v>
      </c>
      <c r="F434" s="5" t="s">
        <v>556</v>
      </c>
      <c r="H434" s="5" t="s">
        <v>1649</v>
      </c>
      <c r="I434" s="10" t="s">
        <v>72</v>
      </c>
      <c r="J434" s="10" t="s">
        <v>72</v>
      </c>
    </row>
    <row r="435" ht="12.75" customHeight="1">
      <c r="A435" s="5" t="s">
        <v>1658</v>
      </c>
      <c r="B435" s="5" t="s">
        <v>1671</v>
      </c>
      <c r="D435" s="5" t="s">
        <v>185</v>
      </c>
      <c r="E435" s="5" t="s">
        <v>35</v>
      </c>
      <c r="F435" s="5" t="s">
        <v>619</v>
      </c>
      <c r="H435" s="5" t="s">
        <v>1655</v>
      </c>
      <c r="I435" s="10" t="s">
        <v>72</v>
      </c>
      <c r="J435" s="10" t="s">
        <v>72</v>
      </c>
    </row>
    <row r="436" ht="12.75" customHeight="1">
      <c r="A436" s="5" t="s">
        <v>1664</v>
      </c>
      <c r="B436" s="5" t="s">
        <v>1674</v>
      </c>
      <c r="D436" s="5" t="s">
        <v>185</v>
      </c>
      <c r="E436" s="5" t="s">
        <v>42</v>
      </c>
      <c r="F436" s="5" t="s">
        <v>556</v>
      </c>
      <c r="H436" s="5" t="s">
        <v>1660</v>
      </c>
      <c r="I436" s="10" t="s">
        <v>72</v>
      </c>
      <c r="J436" s="10" t="s">
        <v>72</v>
      </c>
    </row>
    <row r="437" ht="12.75" customHeight="1">
      <c r="A437" s="5" t="s">
        <v>1676</v>
      </c>
      <c r="B437" s="5" t="s">
        <v>1677</v>
      </c>
      <c r="D437" s="5" t="s">
        <v>185</v>
      </c>
      <c r="E437" s="5" t="s">
        <v>35</v>
      </c>
      <c r="F437" s="5" t="s">
        <v>619</v>
      </c>
      <c r="H437" s="5" t="s">
        <v>1678</v>
      </c>
      <c r="J437" s="10" t="s">
        <v>72</v>
      </c>
    </row>
    <row r="438" ht="12.75" customHeight="1">
      <c r="A438" s="5" t="s">
        <v>1680</v>
      </c>
      <c r="B438" s="5" t="s">
        <v>1682</v>
      </c>
      <c r="D438" s="5" t="s">
        <v>185</v>
      </c>
      <c r="E438" s="5" t="s">
        <v>42</v>
      </c>
      <c r="F438" s="5" t="s">
        <v>556</v>
      </c>
      <c r="H438" s="5" t="s">
        <v>1678</v>
      </c>
      <c r="J438" s="10" t="s">
        <v>72</v>
      </c>
    </row>
    <row r="439" ht="12.75" customHeight="1">
      <c r="A439" s="5" t="s">
        <v>1684</v>
      </c>
      <c r="B439" s="5" t="s">
        <v>1685</v>
      </c>
      <c r="D439" s="5" t="s">
        <v>185</v>
      </c>
      <c r="E439" s="5" t="s">
        <v>35</v>
      </c>
      <c r="F439" s="5" t="s">
        <v>619</v>
      </c>
      <c r="H439" s="5" t="s">
        <v>1678</v>
      </c>
      <c r="J439" s="10" t="s">
        <v>72</v>
      </c>
    </row>
    <row r="440" ht="12.75" customHeight="1">
      <c r="A440" s="5" t="s">
        <v>1686</v>
      </c>
      <c r="B440" s="5" t="s">
        <v>1687</v>
      </c>
      <c r="D440" s="5" t="s">
        <v>185</v>
      </c>
      <c r="E440" s="5" t="s">
        <v>42</v>
      </c>
      <c r="F440" s="5" t="s">
        <v>556</v>
      </c>
      <c r="H440" s="5" t="s">
        <v>1678</v>
      </c>
      <c r="J440" s="10" t="s">
        <v>72</v>
      </c>
    </row>
    <row r="441" ht="12.75" customHeight="1">
      <c r="A441" s="5" t="s">
        <v>1636</v>
      </c>
      <c r="B441" s="5" t="s">
        <v>1691</v>
      </c>
      <c r="D441" s="5" t="s">
        <v>185</v>
      </c>
      <c r="E441" s="5" t="s">
        <v>42</v>
      </c>
      <c r="F441" s="5" t="s">
        <v>556</v>
      </c>
      <c r="H441" s="5" t="s">
        <v>1348</v>
      </c>
      <c r="J441" s="10" t="s">
        <v>72</v>
      </c>
      <c r="K441" s="5" t="s">
        <v>1692</v>
      </c>
    </row>
    <row r="442" ht="12.75" customHeight="1">
      <c r="A442" s="5" t="s">
        <v>1647</v>
      </c>
      <c r="B442" s="5" t="s">
        <v>1693</v>
      </c>
      <c r="D442" s="5" t="s">
        <v>185</v>
      </c>
      <c r="E442" s="5" t="s">
        <v>42</v>
      </c>
      <c r="F442" s="5" t="s">
        <v>556</v>
      </c>
      <c r="H442" s="5" t="s">
        <v>1348</v>
      </c>
      <c r="J442" s="10" t="s">
        <v>72</v>
      </c>
      <c r="K442" s="5" t="s">
        <v>1697</v>
      </c>
    </row>
    <row r="443" ht="12.75" customHeight="1">
      <c r="A443" s="5" t="s">
        <v>1678</v>
      </c>
      <c r="B443" s="5" t="s">
        <v>1698</v>
      </c>
      <c r="D443" s="5" t="s">
        <v>185</v>
      </c>
      <c r="E443" s="5" t="s">
        <v>42</v>
      </c>
      <c r="F443" s="5" t="s">
        <v>556</v>
      </c>
      <c r="H443" s="5" t="s">
        <v>1348</v>
      </c>
      <c r="J443" s="10" t="s">
        <v>72</v>
      </c>
      <c r="K443" s="5" t="s">
        <v>1699</v>
      </c>
    </row>
    <row r="444" ht="12.75" customHeight="1">
      <c r="A444" s="5" t="s">
        <v>1701</v>
      </c>
      <c r="B444" s="5" t="s">
        <v>1703</v>
      </c>
      <c r="D444" s="5" t="s">
        <v>185</v>
      </c>
      <c r="E444" s="5" t="s">
        <v>35</v>
      </c>
      <c r="F444" s="5" t="s">
        <v>619</v>
      </c>
      <c r="H444" s="5" t="s">
        <v>1705</v>
      </c>
      <c r="J444" s="10" t="s">
        <v>72</v>
      </c>
      <c r="L444" s="5" t="s">
        <v>1706</v>
      </c>
    </row>
    <row r="445" ht="12.75" customHeight="1">
      <c r="A445" s="5" t="s">
        <v>1707</v>
      </c>
      <c r="B445" s="5" t="s">
        <v>1708</v>
      </c>
      <c r="D445" s="5" t="s">
        <v>185</v>
      </c>
      <c r="E445" s="5" t="s">
        <v>42</v>
      </c>
      <c r="F445" s="5" t="s">
        <v>556</v>
      </c>
      <c r="H445" s="5" t="s">
        <v>1705</v>
      </c>
      <c r="J445" s="10" t="s">
        <v>72</v>
      </c>
      <c r="L445" s="5" t="s">
        <v>1710</v>
      </c>
    </row>
    <row r="446" ht="12.75" customHeight="1">
      <c r="A446" s="5" t="s">
        <v>1711</v>
      </c>
      <c r="B446" s="5" t="s">
        <v>1713</v>
      </c>
      <c r="D446" s="5" t="s">
        <v>185</v>
      </c>
      <c r="E446" s="5" t="s">
        <v>35</v>
      </c>
      <c r="F446" s="5" t="s">
        <v>619</v>
      </c>
      <c r="H446" s="5" t="s">
        <v>1705</v>
      </c>
      <c r="J446" s="10" t="s">
        <v>72</v>
      </c>
      <c r="L446" s="5" t="s">
        <v>1716</v>
      </c>
    </row>
    <row r="447" ht="12.75" customHeight="1">
      <c r="A447" s="5" t="s">
        <v>1717</v>
      </c>
      <c r="B447" s="5" t="s">
        <v>1718</v>
      </c>
      <c r="D447" s="5" t="s">
        <v>185</v>
      </c>
      <c r="E447" s="5" t="s">
        <v>42</v>
      </c>
      <c r="F447" s="5" t="s">
        <v>556</v>
      </c>
      <c r="H447" s="5" t="s">
        <v>1705</v>
      </c>
      <c r="J447" s="10" t="s">
        <v>72</v>
      </c>
      <c r="L447" s="5" t="s">
        <v>1720</v>
      </c>
    </row>
    <row r="448" ht="12.75" customHeight="1">
      <c r="A448" s="5" t="s">
        <v>1706</v>
      </c>
      <c r="B448" s="5" t="s">
        <v>1721</v>
      </c>
      <c r="D448" s="5" t="s">
        <v>185</v>
      </c>
      <c r="E448" s="5" t="s">
        <v>35</v>
      </c>
      <c r="F448" s="5" t="s">
        <v>619</v>
      </c>
      <c r="H448" s="5" t="s">
        <v>1701</v>
      </c>
      <c r="I448" s="10" t="s">
        <v>72</v>
      </c>
      <c r="J448" s="10" t="s">
        <v>72</v>
      </c>
    </row>
    <row r="449" ht="12.75" customHeight="1">
      <c r="A449" s="5" t="s">
        <v>1710</v>
      </c>
      <c r="B449" s="5" t="s">
        <v>1725</v>
      </c>
      <c r="D449" s="5" t="s">
        <v>185</v>
      </c>
      <c r="E449" s="5" t="s">
        <v>42</v>
      </c>
      <c r="F449" s="5" t="s">
        <v>556</v>
      </c>
      <c r="H449" s="5" t="s">
        <v>1707</v>
      </c>
      <c r="I449" s="10" t="s">
        <v>72</v>
      </c>
      <c r="J449" s="10" t="s">
        <v>72</v>
      </c>
    </row>
    <row r="450" ht="12.75" customHeight="1">
      <c r="A450" s="5" t="s">
        <v>1716</v>
      </c>
      <c r="B450" s="5" t="s">
        <v>1726</v>
      </c>
      <c r="D450" s="5" t="s">
        <v>185</v>
      </c>
      <c r="E450" s="5" t="s">
        <v>35</v>
      </c>
      <c r="F450" s="5" t="s">
        <v>619</v>
      </c>
      <c r="H450" s="5" t="s">
        <v>1711</v>
      </c>
      <c r="I450" s="10" t="s">
        <v>72</v>
      </c>
      <c r="J450" s="10" t="s">
        <v>72</v>
      </c>
    </row>
    <row r="451" ht="12.75" customHeight="1">
      <c r="A451" s="5" t="s">
        <v>1720</v>
      </c>
      <c r="B451" s="5" t="s">
        <v>1730</v>
      </c>
      <c r="D451" s="5" t="s">
        <v>185</v>
      </c>
      <c r="E451" s="5" t="s">
        <v>42</v>
      </c>
      <c r="F451" s="5" t="s">
        <v>556</v>
      </c>
      <c r="H451" s="5" t="s">
        <v>1717</v>
      </c>
      <c r="I451" s="10" t="s">
        <v>72</v>
      </c>
      <c r="J451" s="10" t="s">
        <v>72</v>
      </c>
    </row>
    <row r="452" ht="12.75" customHeight="1">
      <c r="A452" s="5" t="s">
        <v>1731</v>
      </c>
      <c r="B452" s="5" t="s">
        <v>1732</v>
      </c>
      <c r="D452" s="5" t="s">
        <v>185</v>
      </c>
      <c r="E452" s="5" t="s">
        <v>35</v>
      </c>
      <c r="F452" s="5" t="s">
        <v>619</v>
      </c>
      <c r="H452" s="5" t="s">
        <v>1735</v>
      </c>
      <c r="J452" s="10" t="s">
        <v>72</v>
      </c>
    </row>
    <row r="453" ht="12.75" customHeight="1">
      <c r="A453" s="5" t="s">
        <v>1738</v>
      </c>
      <c r="B453" s="5" t="s">
        <v>1739</v>
      </c>
      <c r="D453" s="5" t="s">
        <v>185</v>
      </c>
      <c r="E453" s="5" t="s">
        <v>42</v>
      </c>
      <c r="F453" s="5" t="s">
        <v>556</v>
      </c>
      <c r="H453" s="5" t="s">
        <v>1735</v>
      </c>
      <c r="J453" s="10" t="s">
        <v>72</v>
      </c>
    </row>
    <row r="454" ht="12.75" customHeight="1">
      <c r="A454" s="5" t="s">
        <v>1740</v>
      </c>
      <c r="B454" s="5" t="s">
        <v>1741</v>
      </c>
      <c r="D454" s="5" t="s">
        <v>185</v>
      </c>
      <c r="E454" s="5" t="s">
        <v>35</v>
      </c>
      <c r="F454" s="5" t="s">
        <v>619</v>
      </c>
      <c r="H454" s="5" t="s">
        <v>1735</v>
      </c>
      <c r="J454" s="10" t="s">
        <v>72</v>
      </c>
    </row>
    <row r="455" ht="12.75" customHeight="1">
      <c r="A455" s="5" t="s">
        <v>1744</v>
      </c>
      <c r="B455" s="5" t="s">
        <v>1745</v>
      </c>
      <c r="D455" s="5" t="s">
        <v>185</v>
      </c>
      <c r="E455" s="5" t="s">
        <v>42</v>
      </c>
      <c r="F455" s="5" t="s">
        <v>556</v>
      </c>
      <c r="H455" s="5" t="s">
        <v>1735</v>
      </c>
      <c r="J455" s="10" t="s">
        <v>72</v>
      </c>
    </row>
    <row r="456" ht="12.75" customHeight="1">
      <c r="A456" s="5" t="s">
        <v>1705</v>
      </c>
      <c r="B456" s="5" t="s">
        <v>1746</v>
      </c>
      <c r="D456" s="5" t="s">
        <v>185</v>
      </c>
      <c r="E456" s="5" t="s">
        <v>42</v>
      </c>
      <c r="F456" s="5" t="s">
        <v>556</v>
      </c>
      <c r="H456" s="5" t="s">
        <v>1348</v>
      </c>
      <c r="J456" s="10" t="s">
        <v>72</v>
      </c>
      <c r="K456" s="5" t="s">
        <v>1748</v>
      </c>
    </row>
    <row r="457" ht="12.75" customHeight="1">
      <c r="A457" s="5" t="s">
        <v>1735</v>
      </c>
      <c r="B457" s="5" t="s">
        <v>1750</v>
      </c>
      <c r="D457" s="5" t="s">
        <v>185</v>
      </c>
      <c r="E457" s="5" t="s">
        <v>42</v>
      </c>
      <c r="F457" s="5" t="s">
        <v>556</v>
      </c>
      <c r="H457" s="5" t="s">
        <v>1348</v>
      </c>
      <c r="J457" s="10" t="s">
        <v>72</v>
      </c>
      <c r="K457" s="5" t="s">
        <v>1751</v>
      </c>
    </row>
    <row r="458" ht="12.75" customHeight="1">
      <c r="A458" s="5" t="s">
        <v>1752</v>
      </c>
      <c r="B458" s="10" t="s">
        <v>1754</v>
      </c>
      <c r="D458" s="5" t="s">
        <v>185</v>
      </c>
      <c r="E458" s="5" t="s">
        <v>42</v>
      </c>
      <c r="F458" s="5" t="s">
        <v>572</v>
      </c>
      <c r="G458" s="10" t="s">
        <v>72</v>
      </c>
      <c r="L458" s="5" t="s">
        <v>1757</v>
      </c>
      <c r="M458" s="5" t="s">
        <v>1757</v>
      </c>
    </row>
    <row r="459" ht="12.75" customHeight="1">
      <c r="A459" s="5" t="s">
        <v>1757</v>
      </c>
      <c r="B459" s="5" t="s">
        <v>1759</v>
      </c>
      <c r="C459" s="5" t="s">
        <v>1760</v>
      </c>
      <c r="D459" s="5" t="s">
        <v>185</v>
      </c>
      <c r="E459" s="5" t="s">
        <v>42</v>
      </c>
      <c r="F459" s="5" t="s">
        <v>572</v>
      </c>
      <c r="G459" s="10" t="s">
        <v>72</v>
      </c>
      <c r="H459" s="5" t="s">
        <v>1752</v>
      </c>
      <c r="I459" s="10" t="s">
        <v>72</v>
      </c>
    </row>
    <row r="460" ht="12.75" customHeight="1">
      <c r="A460" s="5" t="s">
        <v>1764</v>
      </c>
      <c r="B460" s="5" t="s">
        <v>1765</v>
      </c>
      <c r="D460" s="5" t="s">
        <v>185</v>
      </c>
      <c r="E460" s="5" t="s">
        <v>42</v>
      </c>
      <c r="F460" s="5" t="s">
        <v>720</v>
      </c>
      <c r="G460" s="10" t="s">
        <v>72</v>
      </c>
    </row>
    <row r="461" ht="12.75" customHeight="1">
      <c r="A461" s="5" t="s">
        <v>1767</v>
      </c>
      <c r="B461" s="10" t="s">
        <v>1768</v>
      </c>
      <c r="D461" s="5" t="s">
        <v>185</v>
      </c>
      <c r="E461" s="5" t="s">
        <v>42</v>
      </c>
      <c r="F461" s="5" t="s">
        <v>720</v>
      </c>
      <c r="G461" s="10" t="s">
        <v>72</v>
      </c>
    </row>
    <row r="462" ht="12.75" customHeight="1">
      <c r="A462" s="5" t="s">
        <v>1771</v>
      </c>
      <c r="B462" s="10" t="s">
        <v>1773</v>
      </c>
      <c r="D462" s="5" t="s">
        <v>185</v>
      </c>
      <c r="E462" s="5" t="s">
        <v>35</v>
      </c>
      <c r="F462" s="5" t="s">
        <v>189</v>
      </c>
      <c r="G462" s="10" t="s">
        <v>72</v>
      </c>
    </row>
    <row r="463" ht="12.75" customHeight="1">
      <c r="A463" s="5" t="s">
        <v>1774</v>
      </c>
      <c r="B463" s="5" t="s">
        <v>1775</v>
      </c>
      <c r="D463" s="5" t="s">
        <v>185</v>
      </c>
      <c r="E463" s="5" t="s">
        <v>35</v>
      </c>
      <c r="F463" s="5" t="s">
        <v>1776</v>
      </c>
      <c r="G463" s="10" t="s">
        <v>72</v>
      </c>
    </row>
    <row r="464" ht="12.75" customHeight="1">
      <c r="A464" s="5" t="s">
        <v>1777</v>
      </c>
      <c r="B464" s="5" t="s">
        <v>1778</v>
      </c>
      <c r="D464" s="5" t="s">
        <v>185</v>
      </c>
      <c r="E464" s="5" t="s">
        <v>42</v>
      </c>
      <c r="F464" s="5" t="s">
        <v>238</v>
      </c>
      <c r="G464" s="10" t="s">
        <v>72</v>
      </c>
    </row>
    <row r="465" ht="12.75" customHeight="1">
      <c r="A465" s="5" t="s">
        <v>1782</v>
      </c>
      <c r="B465" s="5" t="s">
        <v>1783</v>
      </c>
      <c r="C465" s="5" t="s">
        <v>1785</v>
      </c>
      <c r="D465" s="5" t="s">
        <v>80</v>
      </c>
      <c r="E465" s="5" t="s">
        <v>42</v>
      </c>
      <c r="F465" s="5" t="s">
        <v>1223</v>
      </c>
      <c r="G465" s="10" t="s">
        <v>72</v>
      </c>
    </row>
    <row r="466" ht="12.75" customHeight="1">
      <c r="A466" s="5" t="s">
        <v>1786</v>
      </c>
      <c r="B466" s="10" t="s">
        <v>1787</v>
      </c>
      <c r="C466" s="5" t="s">
        <v>1789</v>
      </c>
      <c r="D466" s="5" t="s">
        <v>55</v>
      </c>
      <c r="E466" s="5" t="s">
        <v>42</v>
      </c>
      <c r="F466" s="5" t="s">
        <v>1454</v>
      </c>
      <c r="G466" s="10" t="s">
        <v>72</v>
      </c>
    </row>
    <row r="467" ht="12.75" customHeight="1">
      <c r="A467" s="5" t="s">
        <v>1792</v>
      </c>
      <c r="B467" s="5" t="s">
        <v>1793</v>
      </c>
      <c r="C467" s="5" t="s">
        <v>1794</v>
      </c>
      <c r="D467" s="5" t="s">
        <v>22</v>
      </c>
      <c r="E467" s="5" t="s">
        <v>35</v>
      </c>
      <c r="F467" s="5" t="s">
        <v>605</v>
      </c>
      <c r="G467" s="10" t="s">
        <v>72</v>
      </c>
    </row>
    <row r="468" ht="12.75" customHeight="1">
      <c r="A468" s="5" t="s">
        <v>1795</v>
      </c>
      <c r="B468" s="5" t="s">
        <v>1796</v>
      </c>
      <c r="C468" s="5" t="s">
        <v>1798</v>
      </c>
      <c r="D468" s="5" t="s">
        <v>22</v>
      </c>
      <c r="E468" s="5" t="s">
        <v>42</v>
      </c>
      <c r="F468" s="5" t="s">
        <v>65</v>
      </c>
    </row>
    <row r="469" ht="12.75" customHeight="1">
      <c r="A469" s="5" t="s">
        <v>1800</v>
      </c>
      <c r="B469" s="5" t="s">
        <v>1801</v>
      </c>
      <c r="C469" s="5" t="s">
        <v>1802</v>
      </c>
      <c r="D469" s="5" t="s">
        <v>1314</v>
      </c>
      <c r="E469" s="5" t="s">
        <v>42</v>
      </c>
      <c r="F469" s="5" t="s">
        <v>454</v>
      </c>
    </row>
    <row r="470" ht="12.75" customHeight="1">
      <c r="A470" s="5" t="s">
        <v>1803</v>
      </c>
      <c r="B470" s="5" t="s">
        <v>1804</v>
      </c>
      <c r="C470" s="5" t="s">
        <v>1805</v>
      </c>
      <c r="D470" s="5" t="s">
        <v>1314</v>
      </c>
      <c r="E470" s="5" t="s">
        <v>42</v>
      </c>
      <c r="F470" s="5" t="s">
        <v>454</v>
      </c>
    </row>
    <row r="471" ht="12.75" customHeight="1">
      <c r="A471" s="5" t="s">
        <v>1807</v>
      </c>
      <c r="B471" s="5" t="s">
        <v>1808</v>
      </c>
      <c r="C471" s="5" t="s">
        <v>1809</v>
      </c>
      <c r="D471" s="5" t="s">
        <v>22</v>
      </c>
      <c r="E471" s="5" t="s">
        <v>42</v>
      </c>
      <c r="F471" s="5" t="s">
        <v>199</v>
      </c>
      <c r="L471" s="5" t="s">
        <v>1811</v>
      </c>
    </row>
    <row r="472" ht="12.75" customHeight="1">
      <c r="A472" s="5" t="s">
        <v>1812</v>
      </c>
      <c r="B472" s="5" t="s">
        <v>1813</v>
      </c>
      <c r="C472" s="5" t="s">
        <v>1814</v>
      </c>
      <c r="D472" s="5" t="s">
        <v>22</v>
      </c>
      <c r="E472" s="5" t="s">
        <v>42</v>
      </c>
      <c r="F472" s="5" t="s">
        <v>575</v>
      </c>
    </row>
    <row r="473" ht="12.75" customHeight="1">
      <c r="A473" s="5" t="s">
        <v>1817</v>
      </c>
      <c r="B473" s="5" t="s">
        <v>1818</v>
      </c>
      <c r="D473" s="5" t="s">
        <v>22</v>
      </c>
      <c r="E473" s="5" t="s">
        <v>35</v>
      </c>
      <c r="F473" s="5" t="s">
        <v>71</v>
      </c>
      <c r="G473" s="10" t="s">
        <v>72</v>
      </c>
      <c r="H473" s="5" t="s">
        <v>1820</v>
      </c>
    </row>
    <row r="474" ht="12.75" customHeight="1">
      <c r="A474" s="5" t="s">
        <v>1821</v>
      </c>
      <c r="B474" s="5" t="s">
        <v>1822</v>
      </c>
      <c r="D474" s="5" t="s">
        <v>34</v>
      </c>
      <c r="E474" s="5" t="s">
        <v>42</v>
      </c>
      <c r="F474" s="5" t="s">
        <v>445</v>
      </c>
      <c r="G474" s="10" t="s">
        <v>72</v>
      </c>
      <c r="H474" s="5" t="s">
        <v>1820</v>
      </c>
    </row>
    <row r="475" ht="12.75" customHeight="1">
      <c r="A475" s="5" t="s">
        <v>1825</v>
      </c>
      <c r="B475" s="5" t="s">
        <v>1826</v>
      </c>
      <c r="D475" s="5" t="s">
        <v>46</v>
      </c>
      <c r="E475" s="5" t="s">
        <v>42</v>
      </c>
      <c r="F475" s="5" t="s">
        <v>974</v>
      </c>
      <c r="G475" s="10" t="s">
        <v>72</v>
      </c>
      <c r="H475" s="5" t="s">
        <v>1820</v>
      </c>
    </row>
    <row r="476" ht="12.75" customHeight="1">
      <c r="A476" s="5" t="s">
        <v>1828</v>
      </c>
      <c r="B476" s="5" t="s">
        <v>1829</v>
      </c>
      <c r="C476" s="5" t="s">
        <v>1830</v>
      </c>
      <c r="D476" s="5" t="s">
        <v>46</v>
      </c>
      <c r="E476" s="5" t="s">
        <v>42</v>
      </c>
      <c r="F476" s="5" t="s">
        <v>211</v>
      </c>
      <c r="G476" s="10" t="s">
        <v>72</v>
      </c>
      <c r="H476" s="5" t="s">
        <v>1833</v>
      </c>
    </row>
    <row r="477" ht="12.75" customHeight="1">
      <c r="A477" s="5" t="s">
        <v>1834</v>
      </c>
      <c r="B477" s="5" t="s">
        <v>1836</v>
      </c>
      <c r="D477" s="5" t="s">
        <v>22</v>
      </c>
      <c r="E477" s="5" t="s">
        <v>42</v>
      </c>
      <c r="F477" s="5" t="s">
        <v>634</v>
      </c>
      <c r="G477" s="10" t="s">
        <v>72</v>
      </c>
      <c r="H477" s="5" t="s">
        <v>1838</v>
      </c>
    </row>
    <row r="478" ht="12.75" customHeight="1">
      <c r="A478" s="5" t="s">
        <v>1839</v>
      </c>
      <c r="B478" s="5" t="s">
        <v>1840</v>
      </c>
      <c r="D478" s="5" t="s">
        <v>34</v>
      </c>
      <c r="E478" s="5" t="s">
        <v>42</v>
      </c>
      <c r="F478" s="5" t="s">
        <v>445</v>
      </c>
      <c r="G478" s="10" t="s">
        <v>72</v>
      </c>
      <c r="H478" s="5" t="s">
        <v>1838</v>
      </c>
    </row>
    <row r="479" ht="12.75" customHeight="1">
      <c r="A479" s="5" t="s">
        <v>1843</v>
      </c>
      <c r="B479" s="5" t="s">
        <v>1845</v>
      </c>
      <c r="D479" s="5" t="s">
        <v>46</v>
      </c>
      <c r="E479" s="5" t="s">
        <v>42</v>
      </c>
      <c r="F479" s="5" t="s">
        <v>974</v>
      </c>
      <c r="G479" s="10" t="s">
        <v>72</v>
      </c>
      <c r="H479" s="5" t="s">
        <v>1838</v>
      </c>
    </row>
    <row r="480" ht="12.75" customHeight="1">
      <c r="A480" s="5" t="s">
        <v>1846</v>
      </c>
      <c r="B480" s="5" t="s">
        <v>1847</v>
      </c>
      <c r="C480" s="5" t="s">
        <v>1846</v>
      </c>
      <c r="D480" s="5" t="s">
        <v>124</v>
      </c>
      <c r="E480" s="5" t="s">
        <v>35</v>
      </c>
      <c r="F480" s="5" t="s">
        <v>125</v>
      </c>
    </row>
    <row r="481" ht="12.75" customHeight="1">
      <c r="A481" s="5" t="s">
        <v>1850</v>
      </c>
      <c r="B481" s="5" t="s">
        <v>1852</v>
      </c>
      <c r="C481" s="5" t="s">
        <v>1850</v>
      </c>
      <c r="D481" s="5" t="s">
        <v>34</v>
      </c>
      <c r="E481" s="5" t="s">
        <v>42</v>
      </c>
      <c r="F481" s="5" t="s">
        <v>199</v>
      </c>
    </row>
    <row r="482" ht="12.75" customHeight="1">
      <c r="A482" s="5" t="s">
        <v>1853</v>
      </c>
      <c r="B482" s="10" t="s">
        <v>1854</v>
      </c>
      <c r="C482" s="5" t="s">
        <v>1853</v>
      </c>
      <c r="D482" s="5" t="s">
        <v>22</v>
      </c>
      <c r="E482" s="5" t="s">
        <v>35</v>
      </c>
      <c r="F482" s="5" t="s">
        <v>605</v>
      </c>
    </row>
    <row r="483" ht="12.75" customHeight="1">
      <c r="A483" s="5" t="s">
        <v>1857</v>
      </c>
      <c r="B483" s="5" t="s">
        <v>1858</v>
      </c>
      <c r="C483" s="5" t="s">
        <v>1859</v>
      </c>
      <c r="D483" s="5" t="s">
        <v>22</v>
      </c>
      <c r="E483" s="5" t="s">
        <v>42</v>
      </c>
      <c r="F483" s="5" t="s">
        <v>575</v>
      </c>
    </row>
    <row r="484" ht="12.75" customHeight="1">
      <c r="A484" s="5" t="s">
        <v>1861</v>
      </c>
      <c r="B484" s="5" t="s">
        <v>1862</v>
      </c>
      <c r="C484" s="5" t="s">
        <v>1863</v>
      </c>
      <c r="D484" s="5" t="s">
        <v>34</v>
      </c>
      <c r="E484" s="5" t="s">
        <v>35</v>
      </c>
      <c r="F484" s="5" t="s">
        <v>710</v>
      </c>
    </row>
    <row r="485" ht="12.75" customHeight="1">
      <c r="A485" s="5" t="s">
        <v>1864</v>
      </c>
      <c r="B485" s="5" t="s">
        <v>1865</v>
      </c>
      <c r="C485" s="5" t="s">
        <v>691</v>
      </c>
      <c r="D485" s="5" t="s">
        <v>30</v>
      </c>
      <c r="E485" s="5" t="s">
        <v>35</v>
      </c>
      <c r="F485" s="5" t="s">
        <v>1868</v>
      </c>
    </row>
    <row r="486" ht="12.75" customHeight="1">
      <c r="A486" s="5" t="s">
        <v>1869</v>
      </c>
      <c r="B486" s="5" t="s">
        <v>1871</v>
      </c>
      <c r="C486" s="5" t="s">
        <v>691</v>
      </c>
      <c r="D486" s="5" t="s">
        <v>30</v>
      </c>
      <c r="E486" s="5" t="s">
        <v>35</v>
      </c>
      <c r="F486" s="5" t="s">
        <v>96</v>
      </c>
    </row>
    <row r="487" ht="12.75" customHeight="1">
      <c r="A487" s="5" t="s">
        <v>1872</v>
      </c>
      <c r="B487" s="5" t="s">
        <v>1873</v>
      </c>
      <c r="C487" s="5" t="s">
        <v>691</v>
      </c>
      <c r="D487" s="5" t="s">
        <v>30</v>
      </c>
      <c r="E487" s="5" t="s">
        <v>35</v>
      </c>
      <c r="F487" s="5" t="s">
        <v>1875</v>
      </c>
    </row>
    <row r="488" ht="12.75" customHeight="1">
      <c r="A488" s="5" t="s">
        <v>1877</v>
      </c>
      <c r="B488" s="5" t="s">
        <v>1878</v>
      </c>
      <c r="C488" s="5" t="s">
        <v>691</v>
      </c>
      <c r="D488" s="5" t="s">
        <v>30</v>
      </c>
      <c r="E488" s="5" t="s">
        <v>35</v>
      </c>
      <c r="F488" s="5" t="s">
        <v>1831</v>
      </c>
    </row>
    <row r="489" ht="12.75" customHeight="1">
      <c r="A489" s="5" t="s">
        <v>1880</v>
      </c>
      <c r="B489" s="5" t="s">
        <v>1881</v>
      </c>
      <c r="C489" s="5" t="s">
        <v>691</v>
      </c>
      <c r="D489" s="5" t="s">
        <v>30</v>
      </c>
      <c r="E489" s="5" t="s">
        <v>35</v>
      </c>
      <c r="F489" s="5" t="s">
        <v>545</v>
      </c>
    </row>
    <row r="490" ht="12.75" customHeight="1">
      <c r="A490" s="5" t="s">
        <v>1883</v>
      </c>
      <c r="B490" s="5" t="s">
        <v>1884</v>
      </c>
      <c r="C490" s="5" t="s">
        <v>691</v>
      </c>
      <c r="D490" s="5" t="s">
        <v>30</v>
      </c>
      <c r="E490" s="5" t="s">
        <v>35</v>
      </c>
      <c r="F490" s="5" t="s">
        <v>1886</v>
      </c>
    </row>
    <row r="491" ht="12.75" customHeight="1">
      <c r="A491" s="5" t="s">
        <v>1887</v>
      </c>
      <c r="B491" s="5" t="s">
        <v>1888</v>
      </c>
      <c r="C491" s="5" t="s">
        <v>691</v>
      </c>
      <c r="D491" s="5" t="s">
        <v>30</v>
      </c>
      <c r="E491" s="5" t="s">
        <v>35</v>
      </c>
      <c r="F491" s="5" t="s">
        <v>96</v>
      </c>
    </row>
    <row r="492" ht="12.75" customHeight="1">
      <c r="A492" s="5" t="s">
        <v>1889</v>
      </c>
      <c r="B492" s="5" t="s">
        <v>1891</v>
      </c>
      <c r="C492" s="5" t="s">
        <v>691</v>
      </c>
      <c r="D492" s="5" t="s">
        <v>30</v>
      </c>
      <c r="E492" s="5" t="s">
        <v>35</v>
      </c>
      <c r="F492" s="5" t="s">
        <v>1324</v>
      </c>
    </row>
    <row r="493" ht="12.75" customHeight="1">
      <c r="A493" s="5" t="s">
        <v>1894</v>
      </c>
      <c r="B493" s="5" t="s">
        <v>1895</v>
      </c>
      <c r="C493" s="5" t="s">
        <v>691</v>
      </c>
      <c r="D493" s="5" t="s">
        <v>30</v>
      </c>
      <c r="E493" s="5" t="s">
        <v>35</v>
      </c>
      <c r="F493" s="5" t="s">
        <v>1896</v>
      </c>
    </row>
    <row r="494" ht="12.75" customHeight="1">
      <c r="A494" s="5" t="s">
        <v>1897</v>
      </c>
      <c r="B494" s="5" t="s">
        <v>1899</v>
      </c>
      <c r="C494" s="5" t="s">
        <v>691</v>
      </c>
      <c r="D494" s="5" t="s">
        <v>30</v>
      </c>
      <c r="E494" s="5" t="s">
        <v>35</v>
      </c>
      <c r="F494" s="5" t="s">
        <v>545</v>
      </c>
    </row>
    <row r="495" ht="12.75" customHeight="1">
      <c r="A495" s="5" t="s">
        <v>1901</v>
      </c>
      <c r="B495" s="5" t="s">
        <v>1902</v>
      </c>
      <c r="C495" s="5" t="s">
        <v>691</v>
      </c>
      <c r="D495" s="5" t="s">
        <v>30</v>
      </c>
      <c r="E495" s="5" t="s">
        <v>42</v>
      </c>
      <c r="F495" s="5" t="s">
        <v>967</v>
      </c>
    </row>
    <row r="496" ht="12.75" customHeight="1">
      <c r="A496" s="5" t="s">
        <v>1904</v>
      </c>
      <c r="B496" s="5" t="s">
        <v>1905</v>
      </c>
      <c r="C496" s="5" t="s">
        <v>691</v>
      </c>
      <c r="D496" s="5" t="s">
        <v>30</v>
      </c>
      <c r="E496" s="5" t="s">
        <v>42</v>
      </c>
      <c r="F496" s="5" t="s">
        <v>395</v>
      </c>
    </row>
    <row r="497" ht="12.75" customHeight="1">
      <c r="A497" s="5" t="s">
        <v>1907</v>
      </c>
      <c r="B497" s="5" t="s">
        <v>1909</v>
      </c>
      <c r="C497" s="5" t="s">
        <v>691</v>
      </c>
      <c r="D497" s="5" t="s">
        <v>30</v>
      </c>
      <c r="E497" s="5" t="s">
        <v>42</v>
      </c>
      <c r="F497" s="5" t="s">
        <v>1911</v>
      </c>
    </row>
    <row r="498" ht="12.75" customHeight="1">
      <c r="A498" s="5" t="s">
        <v>1912</v>
      </c>
      <c r="B498" s="5" t="s">
        <v>1913</v>
      </c>
      <c r="C498" s="5" t="s">
        <v>691</v>
      </c>
      <c r="D498" s="5" t="s">
        <v>30</v>
      </c>
      <c r="E498" s="5" t="s">
        <v>42</v>
      </c>
      <c r="F498" s="5" t="s">
        <v>157</v>
      </c>
    </row>
    <row r="499" ht="12.75" customHeight="1">
      <c r="A499" s="5" t="s">
        <v>1915</v>
      </c>
      <c r="B499" s="5" t="s">
        <v>1916</v>
      </c>
      <c r="C499" s="5" t="s">
        <v>691</v>
      </c>
      <c r="D499" s="5" t="s">
        <v>30</v>
      </c>
      <c r="E499" s="5" t="s">
        <v>42</v>
      </c>
      <c r="F499" s="5" t="s">
        <v>211</v>
      </c>
    </row>
    <row r="500" ht="12.75" customHeight="1">
      <c r="A500" s="5" t="s">
        <v>1918</v>
      </c>
      <c r="B500" s="5" t="s">
        <v>1919</v>
      </c>
      <c r="C500" s="5" t="s">
        <v>691</v>
      </c>
      <c r="D500" s="5" t="s">
        <v>30</v>
      </c>
      <c r="E500" s="5" t="s">
        <v>42</v>
      </c>
      <c r="F500" s="5" t="s">
        <v>1911</v>
      </c>
    </row>
    <row r="501" ht="12.75" customHeight="1">
      <c r="A501" s="5" t="s">
        <v>1920</v>
      </c>
      <c r="B501" s="5" t="s">
        <v>1921</v>
      </c>
      <c r="C501" s="5" t="s">
        <v>691</v>
      </c>
      <c r="D501" s="5" t="s">
        <v>30</v>
      </c>
      <c r="E501" s="5" t="s">
        <v>42</v>
      </c>
      <c r="F501" s="5" t="s">
        <v>157</v>
      </c>
    </row>
    <row r="502" ht="12.75" customHeight="1">
      <c r="A502" s="5" t="s">
        <v>1924</v>
      </c>
      <c r="B502" s="5" t="s">
        <v>1925</v>
      </c>
      <c r="C502" s="5" t="s">
        <v>691</v>
      </c>
      <c r="D502" s="5" t="s">
        <v>30</v>
      </c>
      <c r="E502" s="5" t="s">
        <v>42</v>
      </c>
      <c r="F502" s="5" t="s">
        <v>535</v>
      </c>
    </row>
    <row r="503" ht="12.75" customHeight="1">
      <c r="A503" s="5" t="s">
        <v>1926</v>
      </c>
      <c r="B503" s="5" t="s">
        <v>1927</v>
      </c>
      <c r="C503" s="5" t="s">
        <v>691</v>
      </c>
      <c r="D503" s="5" t="s">
        <v>30</v>
      </c>
      <c r="E503" s="5" t="s">
        <v>42</v>
      </c>
      <c r="F503" s="5" t="s">
        <v>1223</v>
      </c>
    </row>
    <row r="504" ht="12.75" customHeight="1">
      <c r="A504" s="5" t="s">
        <v>1930</v>
      </c>
      <c r="B504" s="5" t="s">
        <v>1932</v>
      </c>
      <c r="C504" s="5" t="s">
        <v>691</v>
      </c>
      <c r="D504" s="5" t="s">
        <v>30</v>
      </c>
      <c r="E504" s="5" t="s">
        <v>42</v>
      </c>
      <c r="F504" s="5" t="s">
        <v>1933</v>
      </c>
    </row>
    <row r="505" ht="12.75" customHeight="1">
      <c r="A505" s="5" t="s">
        <v>1934</v>
      </c>
      <c r="B505" s="5" t="s">
        <v>1935</v>
      </c>
      <c r="C505" s="5" t="s">
        <v>1936</v>
      </c>
      <c r="D505" s="5" t="s">
        <v>34</v>
      </c>
      <c r="E505" s="5" t="s">
        <v>42</v>
      </c>
      <c r="F505" s="5" t="s">
        <v>54</v>
      </c>
    </row>
    <row r="506" ht="12.75" customHeight="1">
      <c r="A506" s="5" t="s">
        <v>1937</v>
      </c>
      <c r="B506" s="5" t="s">
        <v>1939</v>
      </c>
      <c r="C506" s="5" t="s">
        <v>1941</v>
      </c>
      <c r="D506" s="5" t="s">
        <v>34</v>
      </c>
      <c r="E506" s="5" t="s">
        <v>35</v>
      </c>
      <c r="F506" s="5" t="s">
        <v>1776</v>
      </c>
    </row>
    <row r="507" ht="12.75" customHeight="1">
      <c r="A507" s="5" t="s">
        <v>1943</v>
      </c>
      <c r="B507" s="5" t="s">
        <v>1945</v>
      </c>
      <c r="C507" s="5" t="s">
        <v>1946</v>
      </c>
      <c r="D507" s="5" t="s">
        <v>55</v>
      </c>
      <c r="E507" s="5" t="s">
        <v>42</v>
      </c>
      <c r="F507" s="5" t="s">
        <v>1947</v>
      </c>
    </row>
    <row r="508" ht="12.75" customHeight="1">
      <c r="A508" s="5" t="s">
        <v>1948</v>
      </c>
      <c r="B508" s="5" t="s">
        <v>1949</v>
      </c>
      <c r="C508" s="5" t="s">
        <v>1950</v>
      </c>
      <c r="D508" s="5" t="s">
        <v>34</v>
      </c>
      <c r="E508" s="5" t="s">
        <v>42</v>
      </c>
      <c r="F508" s="5" t="s">
        <v>599</v>
      </c>
    </row>
    <row r="509" ht="12.75" customHeight="1">
      <c r="A509" s="5" t="s">
        <v>1953</v>
      </c>
      <c r="B509" s="5" t="s">
        <v>1955</v>
      </c>
      <c r="C509" s="5" t="s">
        <v>1956</v>
      </c>
      <c r="D509" s="5" t="s">
        <v>34</v>
      </c>
      <c r="E509" s="5" t="s">
        <v>42</v>
      </c>
      <c r="F509" s="5" t="s">
        <v>599</v>
      </c>
    </row>
    <row r="510" ht="12.75" customHeight="1">
      <c r="A510" s="5" t="s">
        <v>1957</v>
      </c>
      <c r="B510" s="5" t="s">
        <v>1958</v>
      </c>
      <c r="C510" s="5" t="s">
        <v>1959</v>
      </c>
      <c r="D510" s="5" t="s">
        <v>50</v>
      </c>
      <c r="E510" s="5" t="s">
        <v>42</v>
      </c>
      <c r="F510" s="5" t="s">
        <v>720</v>
      </c>
    </row>
    <row r="511" ht="12.75" customHeight="1">
      <c r="A511" s="5" t="s">
        <v>1961</v>
      </c>
      <c r="B511" s="5" t="s">
        <v>1962</v>
      </c>
      <c r="C511" s="5" t="s">
        <v>1959</v>
      </c>
      <c r="D511" s="5" t="s">
        <v>74</v>
      </c>
      <c r="E511" s="5" t="s">
        <v>42</v>
      </c>
      <c r="F511" s="5" t="s">
        <v>228</v>
      </c>
    </row>
    <row r="512" ht="12.75" customHeight="1">
      <c r="A512" s="5" t="s">
        <v>1965</v>
      </c>
      <c r="B512" s="5" t="s">
        <v>1966</v>
      </c>
      <c r="C512" s="5" t="s">
        <v>1967</v>
      </c>
      <c r="D512" s="5" t="s">
        <v>34</v>
      </c>
      <c r="E512" s="5" t="s">
        <v>35</v>
      </c>
      <c r="F512" s="5" t="s">
        <v>429</v>
      </c>
    </row>
    <row r="513" ht="12.75" customHeight="1">
      <c r="A513" s="5" t="s">
        <v>1968</v>
      </c>
      <c r="B513" s="5" t="s">
        <v>1969</v>
      </c>
      <c r="D513" s="5" t="s">
        <v>50</v>
      </c>
      <c r="E513" s="5" t="s">
        <v>42</v>
      </c>
      <c r="F513" s="5" t="s">
        <v>228</v>
      </c>
      <c r="H513" s="5" t="s">
        <v>1970</v>
      </c>
      <c r="I513" s="10" t="s">
        <v>72</v>
      </c>
    </row>
    <row r="514" ht="12.75" customHeight="1">
      <c r="A514" s="5" t="s">
        <v>1971</v>
      </c>
      <c r="B514" s="10" t="s">
        <v>1972</v>
      </c>
      <c r="C514" s="5" t="s">
        <v>1973</v>
      </c>
      <c r="D514" s="5" t="s">
        <v>30</v>
      </c>
      <c r="E514" s="5" t="s">
        <v>42</v>
      </c>
      <c r="F514" s="5" t="s">
        <v>395</v>
      </c>
    </row>
    <row r="515" ht="12.75" customHeight="1">
      <c r="A515" s="5" t="s">
        <v>1974</v>
      </c>
      <c r="B515" s="5" t="s">
        <v>1975</v>
      </c>
      <c r="C515" s="5" t="s">
        <v>1977</v>
      </c>
      <c r="D515" s="5" t="s">
        <v>34</v>
      </c>
      <c r="E515" s="5" t="s">
        <v>42</v>
      </c>
      <c r="F515" s="5" t="s">
        <v>54</v>
      </c>
    </row>
    <row r="516" ht="12.75" customHeight="1">
      <c r="A516" s="5" t="s">
        <v>1980</v>
      </c>
      <c r="B516" s="5" t="s">
        <v>1981</v>
      </c>
      <c r="C516" s="5" t="s">
        <v>1982</v>
      </c>
      <c r="D516" s="5" t="s">
        <v>34</v>
      </c>
      <c r="E516" s="5" t="s">
        <v>42</v>
      </c>
      <c r="F516" s="5" t="s">
        <v>65</v>
      </c>
      <c r="G516" s="10" t="s">
        <v>72</v>
      </c>
    </row>
    <row r="517" ht="12.75" customHeight="1">
      <c r="A517" s="5" t="s">
        <v>1983</v>
      </c>
      <c r="B517" s="5" t="s">
        <v>1984</v>
      </c>
      <c r="C517" s="5" t="s">
        <v>1982</v>
      </c>
      <c r="D517" s="5" t="s">
        <v>34</v>
      </c>
      <c r="E517" s="5" t="s">
        <v>35</v>
      </c>
      <c r="F517" s="5" t="s">
        <v>90</v>
      </c>
      <c r="G517" s="10" t="s">
        <v>72</v>
      </c>
    </row>
    <row r="518" ht="12.75" customHeight="1">
      <c r="A518" s="5" t="s">
        <v>1985</v>
      </c>
      <c r="B518" s="5" t="s">
        <v>1986</v>
      </c>
      <c r="C518" s="5" t="s">
        <v>1987</v>
      </c>
      <c r="D518" s="5" t="s">
        <v>453</v>
      </c>
      <c r="E518" s="5" t="s">
        <v>35</v>
      </c>
      <c r="F518" s="5" t="s">
        <v>454</v>
      </c>
    </row>
    <row r="519" ht="12.75" customHeight="1">
      <c r="A519" s="5" t="s">
        <v>1988</v>
      </c>
      <c r="B519" s="5" t="s">
        <v>1989</v>
      </c>
      <c r="C519" s="5" t="s">
        <v>1990</v>
      </c>
      <c r="D519" s="5" t="s">
        <v>34</v>
      </c>
      <c r="E519" s="5" t="s">
        <v>42</v>
      </c>
      <c r="F519" s="5" t="s">
        <v>1991</v>
      </c>
    </row>
    <row r="520" ht="12.75" customHeight="1">
      <c r="A520" s="5" t="s">
        <v>1992</v>
      </c>
      <c r="B520" s="5" t="s">
        <v>1993</v>
      </c>
      <c r="C520" s="5" t="s">
        <v>1994</v>
      </c>
      <c r="D520" s="5" t="s">
        <v>34</v>
      </c>
      <c r="E520" s="5" t="s">
        <v>42</v>
      </c>
      <c r="F520" s="5" t="s">
        <v>878</v>
      </c>
    </row>
    <row r="521" ht="12.75" customHeight="1">
      <c r="A521" s="5" t="s">
        <v>1995</v>
      </c>
      <c r="B521" s="5" t="s">
        <v>1996</v>
      </c>
      <c r="C521" s="5" t="s">
        <v>1997</v>
      </c>
      <c r="D521" s="5" t="s">
        <v>34</v>
      </c>
      <c r="E521" s="5" t="s">
        <v>42</v>
      </c>
      <c r="F521" s="5" t="s">
        <v>65</v>
      </c>
    </row>
    <row r="522" ht="12.75" customHeight="1">
      <c r="A522" s="5" t="s">
        <v>1998</v>
      </c>
      <c r="B522" s="5" t="s">
        <v>1999</v>
      </c>
      <c r="C522" s="5" t="s">
        <v>2000</v>
      </c>
      <c r="D522" s="5" t="s">
        <v>34</v>
      </c>
      <c r="E522" s="5" t="s">
        <v>42</v>
      </c>
      <c r="F522" s="5" t="s">
        <v>556</v>
      </c>
    </row>
    <row r="523" ht="12.75" customHeight="1">
      <c r="A523" s="5" t="s">
        <v>2001</v>
      </c>
      <c r="B523" s="5" t="s">
        <v>2002</v>
      </c>
      <c r="C523" s="5" t="s">
        <v>2003</v>
      </c>
      <c r="D523" s="5" t="s">
        <v>34</v>
      </c>
      <c r="E523" s="5" t="s">
        <v>42</v>
      </c>
      <c r="F523" s="5" t="s">
        <v>228</v>
      </c>
    </row>
    <row r="524" ht="12.75" customHeight="1">
      <c r="A524" s="5" t="s">
        <v>2004</v>
      </c>
      <c r="B524" s="5" t="s">
        <v>2005</v>
      </c>
      <c r="C524" s="5" t="s">
        <v>2007</v>
      </c>
      <c r="D524" s="5" t="s">
        <v>34</v>
      </c>
      <c r="E524" s="5" t="s">
        <v>42</v>
      </c>
      <c r="F524" s="5" t="s">
        <v>599</v>
      </c>
    </row>
    <row r="525" ht="12.75" customHeight="1">
      <c r="A525" s="5" t="s">
        <v>2009</v>
      </c>
      <c r="B525" s="5" t="s">
        <v>2010</v>
      </c>
      <c r="C525" s="5" t="s">
        <v>2011</v>
      </c>
      <c r="D525" s="5" t="s">
        <v>34</v>
      </c>
      <c r="E525" s="5" t="s">
        <v>42</v>
      </c>
      <c r="F525" s="5" t="s">
        <v>1753</v>
      </c>
    </row>
    <row r="526" ht="12.75" customHeight="1">
      <c r="A526" s="5" t="s">
        <v>2012</v>
      </c>
      <c r="B526" s="5" t="s">
        <v>2013</v>
      </c>
      <c r="C526" s="5" t="s">
        <v>2014</v>
      </c>
      <c r="D526" s="5" t="s">
        <v>34</v>
      </c>
      <c r="E526" s="5" t="s">
        <v>42</v>
      </c>
      <c r="F526" s="5" t="s">
        <v>199</v>
      </c>
    </row>
    <row r="527" ht="12.75" customHeight="1">
      <c r="A527" s="5" t="s">
        <v>2015</v>
      </c>
      <c r="B527" s="5" t="s">
        <v>2016</v>
      </c>
      <c r="C527" s="5" t="s">
        <v>2017</v>
      </c>
      <c r="D527" s="5" t="s">
        <v>34</v>
      </c>
      <c r="E527" s="5" t="s">
        <v>42</v>
      </c>
      <c r="F527" s="5" t="s">
        <v>637</v>
      </c>
    </row>
    <row r="528" ht="12.75" customHeight="1">
      <c r="A528" s="5" t="s">
        <v>2019</v>
      </c>
      <c r="B528" s="5" t="s">
        <v>2020</v>
      </c>
      <c r="C528" s="5" t="s">
        <v>2021</v>
      </c>
      <c r="D528" s="5" t="s">
        <v>34</v>
      </c>
      <c r="E528" s="5" t="s">
        <v>42</v>
      </c>
      <c r="F528" s="5" t="s">
        <v>672</v>
      </c>
    </row>
    <row r="529" ht="12.75" customHeight="1">
      <c r="A529" s="5" t="s">
        <v>2023</v>
      </c>
      <c r="B529" s="5" t="s">
        <v>2024</v>
      </c>
      <c r="C529" s="5" t="s">
        <v>2025</v>
      </c>
      <c r="D529" s="5" t="s">
        <v>34</v>
      </c>
      <c r="E529" s="5" t="s">
        <v>35</v>
      </c>
      <c r="F529" s="5" t="s">
        <v>77</v>
      </c>
    </row>
    <row r="530" ht="12.75" customHeight="1">
      <c r="A530" s="5" t="s">
        <v>2026</v>
      </c>
      <c r="B530" s="5" t="s">
        <v>2027</v>
      </c>
      <c r="C530" s="5" t="s">
        <v>2028</v>
      </c>
      <c r="D530" s="5" t="s">
        <v>34</v>
      </c>
      <c r="E530" s="5" t="s">
        <v>42</v>
      </c>
      <c r="F530" s="5" t="s">
        <v>657</v>
      </c>
    </row>
    <row r="531" ht="12.75" customHeight="1">
      <c r="A531" s="5" t="s">
        <v>2029</v>
      </c>
      <c r="B531" s="5" t="s">
        <v>2030</v>
      </c>
      <c r="C531" s="5" t="s">
        <v>2031</v>
      </c>
      <c r="D531" s="5" t="s">
        <v>34</v>
      </c>
      <c r="E531" s="5" t="s">
        <v>42</v>
      </c>
      <c r="F531" s="5" t="s">
        <v>756</v>
      </c>
    </row>
    <row r="532" ht="12.75" customHeight="1">
      <c r="A532" s="5" t="s">
        <v>2033</v>
      </c>
      <c r="B532" s="5" t="s">
        <v>2034</v>
      </c>
      <c r="C532" s="5" t="s">
        <v>2036</v>
      </c>
      <c r="D532" s="5" t="s">
        <v>34</v>
      </c>
      <c r="E532" s="5" t="s">
        <v>42</v>
      </c>
      <c r="F532" s="5" t="s">
        <v>167</v>
      </c>
    </row>
    <row r="533" ht="12.75" customHeight="1">
      <c r="A533" s="5" t="s">
        <v>2037</v>
      </c>
      <c r="B533" s="5" t="s">
        <v>2038</v>
      </c>
      <c r="C533" s="5" t="s">
        <v>2039</v>
      </c>
      <c r="D533" s="5" t="s">
        <v>34</v>
      </c>
      <c r="E533" s="5" t="s">
        <v>42</v>
      </c>
      <c r="F533" s="5" t="s">
        <v>83</v>
      </c>
    </row>
    <row r="534" ht="12.75" customHeight="1">
      <c r="A534" s="5" t="s">
        <v>2040</v>
      </c>
      <c r="B534" s="5" t="s">
        <v>2041</v>
      </c>
      <c r="C534" s="5" t="s">
        <v>2042</v>
      </c>
      <c r="D534" s="5" t="s">
        <v>34</v>
      </c>
      <c r="E534" s="5" t="s">
        <v>42</v>
      </c>
      <c r="F534" s="5" t="s">
        <v>65</v>
      </c>
    </row>
    <row r="535" ht="12.75" customHeight="1">
      <c r="A535" s="5" t="s">
        <v>2043</v>
      </c>
      <c r="B535" s="5" t="s">
        <v>2045</v>
      </c>
      <c r="C535" s="5" t="s">
        <v>2046</v>
      </c>
      <c r="D535" s="5" t="s">
        <v>34</v>
      </c>
      <c r="E535" s="5" t="s">
        <v>35</v>
      </c>
      <c r="F535" s="5" t="s">
        <v>110</v>
      </c>
    </row>
    <row r="536" ht="12.75" customHeight="1">
      <c r="A536" s="5" t="s">
        <v>2048</v>
      </c>
      <c r="B536" s="5" t="s">
        <v>2049</v>
      </c>
      <c r="C536" s="5" t="s">
        <v>2050</v>
      </c>
      <c r="D536" s="5" t="s">
        <v>34</v>
      </c>
      <c r="E536" s="5" t="s">
        <v>35</v>
      </c>
      <c r="F536" s="5" t="s">
        <v>172</v>
      </c>
    </row>
    <row r="537" ht="12.75" customHeight="1">
      <c r="A537" s="5" t="s">
        <v>2051</v>
      </c>
      <c r="B537" s="5" t="s">
        <v>2052</v>
      </c>
      <c r="C537" s="5" t="s">
        <v>2053</v>
      </c>
      <c r="D537" s="5" t="s">
        <v>34</v>
      </c>
      <c r="E537" s="5" t="s">
        <v>35</v>
      </c>
      <c r="F537" s="5" t="s">
        <v>278</v>
      </c>
    </row>
    <row r="538" ht="12.75" customHeight="1">
      <c r="A538" s="5" t="s">
        <v>2054</v>
      </c>
      <c r="B538" s="5" t="s">
        <v>2055</v>
      </c>
      <c r="C538" s="5" t="s">
        <v>2056</v>
      </c>
      <c r="D538" s="5" t="s">
        <v>34</v>
      </c>
      <c r="E538" s="5" t="s">
        <v>35</v>
      </c>
      <c r="F538" s="5" t="s">
        <v>710</v>
      </c>
    </row>
    <row r="539" ht="12.75" customHeight="1">
      <c r="A539" s="5" t="s">
        <v>2059</v>
      </c>
      <c r="B539" s="5" t="s">
        <v>2060</v>
      </c>
      <c r="C539" s="5" t="s">
        <v>2061</v>
      </c>
      <c r="D539" s="5" t="s">
        <v>50</v>
      </c>
      <c r="E539" s="5" t="s">
        <v>42</v>
      </c>
      <c r="F539" s="5" t="s">
        <v>199</v>
      </c>
      <c r="G539" s="10" t="s">
        <v>72</v>
      </c>
    </row>
    <row r="540" ht="12.75" customHeight="1">
      <c r="A540" s="5" t="s">
        <v>2062</v>
      </c>
      <c r="B540" s="5" t="s">
        <v>2063</v>
      </c>
      <c r="C540" s="5" t="s">
        <v>2064</v>
      </c>
      <c r="D540" s="5" t="s">
        <v>34</v>
      </c>
      <c r="E540" s="5" t="s">
        <v>42</v>
      </c>
      <c r="F540" s="5" t="s">
        <v>575</v>
      </c>
      <c r="G540" s="10" t="s">
        <v>72</v>
      </c>
    </row>
    <row r="541" ht="12.75" customHeight="1">
      <c r="A541" s="5" t="s">
        <v>2065</v>
      </c>
      <c r="B541" s="5" t="s">
        <v>2066</v>
      </c>
      <c r="C541" s="5" t="s">
        <v>2064</v>
      </c>
      <c r="D541" s="5" t="s">
        <v>34</v>
      </c>
      <c r="E541" s="5" t="s">
        <v>35</v>
      </c>
      <c r="F541" s="5" t="s">
        <v>36</v>
      </c>
      <c r="G541" s="10" t="s">
        <v>72</v>
      </c>
    </row>
    <row r="542" ht="12.75" customHeight="1">
      <c r="A542" s="5" t="s">
        <v>2068</v>
      </c>
      <c r="B542" s="5" t="s">
        <v>2070</v>
      </c>
      <c r="C542" s="5" t="s">
        <v>2064</v>
      </c>
      <c r="D542" s="5" t="s">
        <v>34</v>
      </c>
      <c r="E542" s="5" t="s">
        <v>42</v>
      </c>
      <c r="F542" s="5" t="s">
        <v>400</v>
      </c>
      <c r="G542" s="10" t="s">
        <v>72</v>
      </c>
    </row>
    <row r="543" ht="12.75" customHeight="1">
      <c r="A543" s="5" t="s">
        <v>2071</v>
      </c>
      <c r="B543" s="5" t="s">
        <v>2072</v>
      </c>
      <c r="C543" s="5" t="s">
        <v>2064</v>
      </c>
      <c r="D543" s="5" t="s">
        <v>38</v>
      </c>
      <c r="E543" s="5" t="s">
        <v>35</v>
      </c>
      <c r="F543" s="5" t="s">
        <v>172</v>
      </c>
      <c r="G543" s="10" t="s">
        <v>72</v>
      </c>
    </row>
    <row r="544" ht="12.75" customHeight="1">
      <c r="A544" s="5" t="s">
        <v>2073</v>
      </c>
      <c r="B544" s="10" t="s">
        <v>2074</v>
      </c>
      <c r="C544" s="5" t="s">
        <v>2073</v>
      </c>
      <c r="D544" s="5" t="s">
        <v>12</v>
      </c>
      <c r="E544" s="5" t="s">
        <v>35</v>
      </c>
      <c r="F544" s="5" t="s">
        <v>315</v>
      </c>
      <c r="G544" s="10" t="s">
        <v>72</v>
      </c>
    </row>
    <row r="545" ht="12.75" customHeight="1">
      <c r="A545" s="5" t="s">
        <v>2076</v>
      </c>
      <c r="B545" s="10" t="s">
        <v>2077</v>
      </c>
      <c r="C545" s="5" t="s">
        <v>2076</v>
      </c>
      <c r="D545" s="5" t="s">
        <v>12</v>
      </c>
      <c r="E545" s="5" t="s">
        <v>42</v>
      </c>
      <c r="F545" s="5" t="s">
        <v>366</v>
      </c>
    </row>
    <row r="546" ht="12.75" customHeight="1">
      <c r="A546" s="5" t="s">
        <v>2079</v>
      </c>
      <c r="B546" s="10" t="s">
        <v>2080</v>
      </c>
      <c r="C546" s="5" t="s">
        <v>2079</v>
      </c>
      <c r="D546" s="5" t="s">
        <v>22</v>
      </c>
      <c r="E546" s="5" t="s">
        <v>42</v>
      </c>
      <c r="F546" s="5" t="s">
        <v>610</v>
      </c>
    </row>
    <row r="547" ht="12.75" customHeight="1">
      <c r="A547" s="5" t="s">
        <v>2081</v>
      </c>
      <c r="B547" s="10" t="s">
        <v>2082</v>
      </c>
      <c r="C547" s="5" t="s">
        <v>2081</v>
      </c>
      <c r="D547" s="5" t="s">
        <v>22</v>
      </c>
      <c r="E547" s="5" t="s">
        <v>42</v>
      </c>
      <c r="F547" s="5" t="s">
        <v>167</v>
      </c>
    </row>
    <row r="548" ht="12.75" customHeight="1">
      <c r="A548" s="5" t="s">
        <v>2083</v>
      </c>
      <c r="B548" s="10" t="s">
        <v>2084</v>
      </c>
      <c r="C548" s="5" t="s">
        <v>2083</v>
      </c>
      <c r="D548" s="5" t="s">
        <v>22</v>
      </c>
      <c r="E548" s="5" t="s">
        <v>35</v>
      </c>
      <c r="F548" s="5" t="s">
        <v>172</v>
      </c>
      <c r="G548" s="10" t="s">
        <v>72</v>
      </c>
    </row>
    <row r="549" ht="12.75" customHeight="1">
      <c r="A549" s="5" t="s">
        <v>2085</v>
      </c>
      <c r="B549" s="5" t="s">
        <v>2087</v>
      </c>
      <c r="C549" s="5" t="s">
        <v>2088</v>
      </c>
      <c r="D549" s="5" t="s">
        <v>22</v>
      </c>
      <c r="E549" s="5" t="s">
        <v>42</v>
      </c>
      <c r="F549" s="5" t="s">
        <v>228</v>
      </c>
      <c r="G549" s="10" t="s">
        <v>72</v>
      </c>
    </row>
    <row r="550" ht="12.75" customHeight="1">
      <c r="A550" s="5" t="s">
        <v>2090</v>
      </c>
      <c r="B550" s="5" t="s">
        <v>2091</v>
      </c>
      <c r="D550" s="5" t="s">
        <v>34</v>
      </c>
      <c r="E550" s="5" t="s">
        <v>42</v>
      </c>
      <c r="F550" s="5" t="s">
        <v>54</v>
      </c>
      <c r="H550" s="5" t="s">
        <v>2092</v>
      </c>
    </row>
    <row r="551" ht="12.75" customHeight="1">
      <c r="A551" s="5" t="s">
        <v>2093</v>
      </c>
      <c r="B551" s="5" t="s">
        <v>2094</v>
      </c>
      <c r="D551" s="5" t="s">
        <v>50</v>
      </c>
      <c r="E551" s="5" t="s">
        <v>42</v>
      </c>
      <c r="F551" s="5" t="s">
        <v>657</v>
      </c>
      <c r="H551" s="5" t="s">
        <v>2095</v>
      </c>
      <c r="I551" s="10" t="s">
        <v>72</v>
      </c>
    </row>
    <row r="552" ht="12.75" customHeight="1">
      <c r="A552" s="5" t="s">
        <v>2096</v>
      </c>
      <c r="B552" s="5" t="s">
        <v>2097</v>
      </c>
      <c r="C552" s="5" t="s">
        <v>2098</v>
      </c>
      <c r="D552" s="5" t="s">
        <v>34</v>
      </c>
      <c r="E552" s="5" t="s">
        <v>42</v>
      </c>
      <c r="F552" s="5" t="s">
        <v>162</v>
      </c>
    </row>
    <row r="553" ht="12.75" customHeight="1">
      <c r="A553" s="5" t="s">
        <v>2099</v>
      </c>
      <c r="B553" s="5" t="s">
        <v>2101</v>
      </c>
      <c r="C553" s="5" t="s">
        <v>2099</v>
      </c>
      <c r="D553" s="5" t="s">
        <v>12</v>
      </c>
      <c r="E553" s="5" t="s">
        <v>42</v>
      </c>
      <c r="F553" s="5" t="s">
        <v>361</v>
      </c>
      <c r="G553" s="10" t="s">
        <v>72</v>
      </c>
    </row>
    <row r="554" ht="12.75" customHeight="1">
      <c r="A554" s="5" t="s">
        <v>2103</v>
      </c>
      <c r="B554" s="5" t="s">
        <v>2104</v>
      </c>
      <c r="C554" s="5" t="s">
        <v>2103</v>
      </c>
      <c r="D554" s="5" t="s">
        <v>80</v>
      </c>
      <c r="E554" s="5" t="s">
        <v>42</v>
      </c>
      <c r="F554" s="5" t="s">
        <v>1933</v>
      </c>
    </row>
    <row r="555" ht="12.75" customHeight="1">
      <c r="A555" s="5" t="s">
        <v>2105</v>
      </c>
      <c r="B555" s="10" t="s">
        <v>2106</v>
      </c>
      <c r="C555" s="5" t="s">
        <v>2107</v>
      </c>
      <c r="D555" s="5" t="s">
        <v>30</v>
      </c>
      <c r="E555" s="5" t="s">
        <v>35</v>
      </c>
      <c r="F555" s="5" t="s">
        <v>924</v>
      </c>
    </row>
    <row r="556" ht="12.75" customHeight="1">
      <c r="A556" s="5" t="s">
        <v>2108</v>
      </c>
      <c r="B556" s="5" t="s">
        <v>2109</v>
      </c>
      <c r="C556" s="5" t="s">
        <v>2108</v>
      </c>
      <c r="D556" s="5" t="s">
        <v>50</v>
      </c>
      <c r="E556" s="5" t="s">
        <v>42</v>
      </c>
      <c r="F556" s="5" t="s">
        <v>167</v>
      </c>
    </row>
    <row r="557" ht="12.75" customHeight="1">
      <c r="A557" s="5" t="s">
        <v>2110</v>
      </c>
      <c r="B557" s="5" t="s">
        <v>2111</v>
      </c>
      <c r="C557" s="5" t="s">
        <v>2112</v>
      </c>
      <c r="D557" s="5" t="s">
        <v>30</v>
      </c>
      <c r="E557" s="5" t="s">
        <v>42</v>
      </c>
      <c r="F557" s="5" t="s">
        <v>157</v>
      </c>
    </row>
    <row r="558" ht="12.75" customHeight="1">
      <c r="A558" s="5" t="s">
        <v>2115</v>
      </c>
      <c r="B558" s="5" t="s">
        <v>2116</v>
      </c>
      <c r="D558" s="5" t="s">
        <v>34</v>
      </c>
      <c r="E558" s="5" t="s">
        <v>42</v>
      </c>
      <c r="F558" s="5" t="s">
        <v>599</v>
      </c>
      <c r="G558" s="10" t="s">
        <v>72</v>
      </c>
      <c r="H558" s="5" t="s">
        <v>2117</v>
      </c>
      <c r="I558" s="10" t="s">
        <v>72</v>
      </c>
    </row>
    <row r="559" ht="12.75" customHeight="1">
      <c r="A559" s="5" t="s">
        <v>2117</v>
      </c>
      <c r="B559" s="5" t="s">
        <v>2118</v>
      </c>
      <c r="C559" s="5" t="s">
        <v>2119</v>
      </c>
      <c r="D559" s="5" t="s">
        <v>34</v>
      </c>
      <c r="E559" s="5" t="s">
        <v>42</v>
      </c>
      <c r="F559" s="5" t="s">
        <v>599</v>
      </c>
      <c r="G559" s="10" t="s">
        <v>72</v>
      </c>
      <c r="H559" s="5" t="s">
        <v>2120</v>
      </c>
      <c r="L559" s="5" t="s">
        <v>2115</v>
      </c>
      <c r="M559" s="5" t="s">
        <v>2115</v>
      </c>
    </row>
    <row r="560" ht="12.75" customHeight="1">
      <c r="A560" s="5" t="s">
        <v>2121</v>
      </c>
      <c r="B560" s="5" t="s">
        <v>2123</v>
      </c>
      <c r="C560" s="5" t="s">
        <v>2119</v>
      </c>
      <c r="D560" s="5" t="s">
        <v>34</v>
      </c>
      <c r="E560" s="5" t="s">
        <v>35</v>
      </c>
      <c r="F560" s="5" t="s">
        <v>913</v>
      </c>
      <c r="G560" s="10" t="s">
        <v>72</v>
      </c>
      <c r="H560" s="5" t="s">
        <v>2125</v>
      </c>
    </row>
    <row r="561" ht="12.75" customHeight="1">
      <c r="A561" s="5" t="s">
        <v>2126</v>
      </c>
      <c r="B561" s="5" t="s">
        <v>2127</v>
      </c>
      <c r="C561" s="5" t="s">
        <v>2119</v>
      </c>
      <c r="D561" s="5" t="s">
        <v>34</v>
      </c>
      <c r="E561" s="5" t="s">
        <v>42</v>
      </c>
      <c r="F561" s="5" t="s">
        <v>599</v>
      </c>
      <c r="G561" s="10" t="s">
        <v>72</v>
      </c>
      <c r="H561" s="5" t="s">
        <v>2120</v>
      </c>
    </row>
    <row r="562" ht="12.75" customHeight="1">
      <c r="A562" s="5" t="s">
        <v>2128</v>
      </c>
      <c r="B562" s="5" t="s">
        <v>2129</v>
      </c>
      <c r="C562" s="5" t="s">
        <v>2119</v>
      </c>
      <c r="D562" s="5" t="s">
        <v>74</v>
      </c>
      <c r="E562" s="5" t="s">
        <v>42</v>
      </c>
      <c r="F562" s="5" t="s">
        <v>445</v>
      </c>
      <c r="G562" s="10" t="s">
        <v>72</v>
      </c>
      <c r="H562" s="5" t="s">
        <v>2120</v>
      </c>
    </row>
    <row r="563" ht="12.75" customHeight="1">
      <c r="A563" s="5" t="s">
        <v>2131</v>
      </c>
      <c r="B563" s="5" t="s">
        <v>2133</v>
      </c>
      <c r="C563" s="5" t="s">
        <v>2119</v>
      </c>
      <c r="D563" s="5" t="s">
        <v>34</v>
      </c>
      <c r="E563" s="5" t="s">
        <v>35</v>
      </c>
      <c r="F563" s="5" t="s">
        <v>913</v>
      </c>
      <c r="G563" s="10" t="s">
        <v>72</v>
      </c>
      <c r="H563" s="5" t="s">
        <v>2134</v>
      </c>
    </row>
    <row r="564" ht="12.75" customHeight="1">
      <c r="A564" s="5" t="s">
        <v>2135</v>
      </c>
      <c r="B564" s="5" t="s">
        <v>2136</v>
      </c>
      <c r="C564" s="5" t="s">
        <v>2119</v>
      </c>
      <c r="D564" s="5" t="s">
        <v>34</v>
      </c>
      <c r="E564" s="5" t="s">
        <v>42</v>
      </c>
      <c r="F564" s="5" t="s">
        <v>599</v>
      </c>
      <c r="G564" s="10" t="s">
        <v>72</v>
      </c>
      <c r="H564" s="5" t="s">
        <v>2134</v>
      </c>
    </row>
    <row r="565" ht="12.75" customHeight="1">
      <c r="A565" s="5" t="s">
        <v>2137</v>
      </c>
      <c r="B565" s="5" t="s">
        <v>2138</v>
      </c>
      <c r="C565" s="5" t="s">
        <v>2119</v>
      </c>
      <c r="D565" s="5" t="s">
        <v>34</v>
      </c>
      <c r="E565" s="5" t="s">
        <v>35</v>
      </c>
      <c r="F565" s="5" t="s">
        <v>913</v>
      </c>
      <c r="G565" s="10" t="s">
        <v>72</v>
      </c>
      <c r="H565" s="5" t="s">
        <v>2141</v>
      </c>
    </row>
    <row r="566" ht="12.75" customHeight="1">
      <c r="A566" s="5" t="s">
        <v>2142</v>
      </c>
      <c r="B566" s="5" t="s">
        <v>2143</v>
      </c>
      <c r="C566" s="5" t="s">
        <v>2119</v>
      </c>
      <c r="D566" s="5" t="s">
        <v>46</v>
      </c>
      <c r="E566" s="5" t="s">
        <v>35</v>
      </c>
      <c r="F566" s="5" t="s">
        <v>96</v>
      </c>
      <c r="G566" s="10" t="s">
        <v>72</v>
      </c>
      <c r="H566" s="5" t="s">
        <v>2141</v>
      </c>
    </row>
    <row r="567" ht="12.75" customHeight="1">
      <c r="A567" s="5" t="s">
        <v>2144</v>
      </c>
      <c r="B567" s="5" t="s">
        <v>2145</v>
      </c>
      <c r="C567" s="5" t="s">
        <v>2119</v>
      </c>
      <c r="D567" s="5" t="s">
        <v>34</v>
      </c>
      <c r="E567" s="5" t="s">
        <v>35</v>
      </c>
      <c r="F567" s="5" t="s">
        <v>913</v>
      </c>
      <c r="G567" s="10" t="s">
        <v>72</v>
      </c>
      <c r="H567" s="5" t="s">
        <v>2141</v>
      </c>
    </row>
    <row r="568" ht="12.75" customHeight="1">
      <c r="A568" s="5" t="s">
        <v>2146</v>
      </c>
      <c r="B568" s="5" t="s">
        <v>2147</v>
      </c>
      <c r="C568" s="5" t="s">
        <v>2119</v>
      </c>
      <c r="D568" s="5" t="s">
        <v>46</v>
      </c>
      <c r="E568" s="5" t="s">
        <v>42</v>
      </c>
      <c r="F568" s="5" t="s">
        <v>157</v>
      </c>
      <c r="G568" s="10" t="s">
        <v>72</v>
      </c>
      <c r="H568" s="5" t="s">
        <v>2150</v>
      </c>
    </row>
    <row r="569" ht="12.75" customHeight="1">
      <c r="A569" s="5" t="s">
        <v>2151</v>
      </c>
      <c r="B569" s="5" t="s">
        <v>2152</v>
      </c>
      <c r="C569" s="5" t="s">
        <v>2119</v>
      </c>
      <c r="D569" s="5" t="s">
        <v>34</v>
      </c>
      <c r="E569" s="5" t="s">
        <v>42</v>
      </c>
      <c r="F569" s="5" t="s">
        <v>599</v>
      </c>
      <c r="G569" s="10" t="s">
        <v>72</v>
      </c>
      <c r="H569" s="5" t="s">
        <v>2150</v>
      </c>
    </row>
    <row r="570" ht="12.75" customHeight="1">
      <c r="A570" s="5" t="s">
        <v>2153</v>
      </c>
      <c r="B570" s="5" t="s">
        <v>2154</v>
      </c>
      <c r="C570" s="5" t="s">
        <v>2119</v>
      </c>
      <c r="D570" s="5" t="s">
        <v>34</v>
      </c>
      <c r="E570" s="5" t="s">
        <v>42</v>
      </c>
      <c r="F570" s="5" t="s">
        <v>599</v>
      </c>
      <c r="G570" s="10" t="s">
        <v>72</v>
      </c>
      <c r="H570" s="5" t="s">
        <v>2150</v>
      </c>
    </row>
    <row r="571" ht="12.75" customHeight="1">
      <c r="A571" s="5" t="s">
        <v>2155</v>
      </c>
      <c r="B571" s="5" t="s">
        <v>2156</v>
      </c>
      <c r="C571" s="5" t="s">
        <v>2119</v>
      </c>
      <c r="D571" s="5" t="s">
        <v>34</v>
      </c>
      <c r="E571" s="5" t="s">
        <v>35</v>
      </c>
      <c r="F571" s="5" t="s">
        <v>913</v>
      </c>
      <c r="G571" s="10" t="s">
        <v>72</v>
      </c>
      <c r="H571" s="5" t="s">
        <v>2159</v>
      </c>
    </row>
    <row r="572" ht="12.75" customHeight="1">
      <c r="A572" s="5" t="s">
        <v>2160</v>
      </c>
      <c r="B572" s="5" t="s">
        <v>2161</v>
      </c>
      <c r="C572" s="5" t="s">
        <v>2119</v>
      </c>
      <c r="D572" s="5" t="s">
        <v>34</v>
      </c>
      <c r="E572" s="5" t="s">
        <v>35</v>
      </c>
      <c r="F572" s="5" t="s">
        <v>913</v>
      </c>
      <c r="G572" s="10" t="s">
        <v>72</v>
      </c>
      <c r="H572" s="5" t="s">
        <v>2159</v>
      </c>
    </row>
    <row r="573" ht="12.75" customHeight="1">
      <c r="A573" s="5" t="s">
        <v>2162</v>
      </c>
      <c r="B573" s="10" t="s">
        <v>2163</v>
      </c>
      <c r="C573" s="5" t="s">
        <v>2119</v>
      </c>
      <c r="D573" s="5" t="s">
        <v>34</v>
      </c>
      <c r="E573" s="5" t="s">
        <v>42</v>
      </c>
      <c r="F573" s="5" t="s">
        <v>599</v>
      </c>
      <c r="G573" s="10" t="s">
        <v>72</v>
      </c>
      <c r="H573" s="5" t="s">
        <v>2120</v>
      </c>
    </row>
    <row r="574" ht="12.75" customHeight="1">
      <c r="A574" s="5" t="s">
        <v>2164</v>
      </c>
      <c r="B574" s="5" t="s">
        <v>2165</v>
      </c>
      <c r="C574" s="5" t="s">
        <v>2119</v>
      </c>
      <c r="D574" s="5" t="s">
        <v>34</v>
      </c>
      <c r="E574" s="5" t="s">
        <v>42</v>
      </c>
      <c r="F574" s="5" t="s">
        <v>599</v>
      </c>
      <c r="G574" s="10" t="s">
        <v>72</v>
      </c>
      <c r="H574" s="5" t="s">
        <v>2120</v>
      </c>
    </row>
    <row r="575" ht="12.75" customHeight="1">
      <c r="A575" s="5" t="s">
        <v>2167</v>
      </c>
      <c r="B575" s="5" t="s">
        <v>2169</v>
      </c>
      <c r="C575" s="5" t="s">
        <v>2119</v>
      </c>
      <c r="D575" s="5" t="s">
        <v>34</v>
      </c>
      <c r="E575" s="5" t="s">
        <v>35</v>
      </c>
      <c r="F575" s="5" t="s">
        <v>913</v>
      </c>
      <c r="G575" s="10" t="s">
        <v>72</v>
      </c>
      <c r="H575" s="5" t="s">
        <v>2125</v>
      </c>
    </row>
    <row r="576" ht="12.75" customHeight="1">
      <c r="A576" s="5" t="s">
        <v>2170</v>
      </c>
      <c r="B576" s="5" t="s">
        <v>2171</v>
      </c>
      <c r="C576" s="5" t="s">
        <v>2119</v>
      </c>
      <c r="D576" s="5" t="s">
        <v>34</v>
      </c>
      <c r="E576" s="5" t="s">
        <v>42</v>
      </c>
      <c r="F576" s="5" t="s">
        <v>599</v>
      </c>
      <c r="G576" s="10" t="s">
        <v>72</v>
      </c>
      <c r="H576" s="5" t="s">
        <v>2134</v>
      </c>
    </row>
    <row r="577" ht="12.75" customHeight="1">
      <c r="A577" s="5" t="s">
        <v>2172</v>
      </c>
      <c r="B577" s="5" t="s">
        <v>2173</v>
      </c>
      <c r="C577" s="5" t="s">
        <v>2174</v>
      </c>
      <c r="D577" s="5" t="s">
        <v>22</v>
      </c>
      <c r="E577" s="5" t="s">
        <v>42</v>
      </c>
      <c r="F577" s="5" t="s">
        <v>720</v>
      </c>
    </row>
    <row r="578" ht="12.75" customHeight="1">
      <c r="A578" s="5" t="s">
        <v>2177</v>
      </c>
      <c r="B578" s="5" t="s">
        <v>2178</v>
      </c>
      <c r="C578" s="5" t="s">
        <v>2119</v>
      </c>
      <c r="D578" s="5" t="s">
        <v>46</v>
      </c>
      <c r="E578" s="5" t="s">
        <v>35</v>
      </c>
      <c r="F578" s="5" t="s">
        <v>96</v>
      </c>
      <c r="G578" s="10" t="s">
        <v>72</v>
      </c>
      <c r="H578" s="5" t="s">
        <v>2141</v>
      </c>
    </row>
    <row r="579" ht="12.75" customHeight="1">
      <c r="A579" s="5" t="s">
        <v>2179</v>
      </c>
      <c r="B579" s="5" t="s">
        <v>2180</v>
      </c>
      <c r="C579" s="5" t="s">
        <v>2119</v>
      </c>
      <c r="D579" s="5" t="s">
        <v>30</v>
      </c>
      <c r="E579" s="5" t="s">
        <v>42</v>
      </c>
      <c r="F579" s="5" t="s">
        <v>157</v>
      </c>
      <c r="G579" s="10" t="s">
        <v>72</v>
      </c>
      <c r="H579" s="5" t="s">
        <v>2150</v>
      </c>
    </row>
    <row r="580" ht="12.75" customHeight="1">
      <c r="A580" s="5" t="s">
        <v>2181</v>
      </c>
      <c r="B580" s="5" t="s">
        <v>2182</v>
      </c>
      <c r="C580" s="5" t="s">
        <v>2119</v>
      </c>
      <c r="D580" s="5" t="s">
        <v>67</v>
      </c>
      <c r="E580" s="5" t="s">
        <v>42</v>
      </c>
      <c r="F580" s="5" t="s">
        <v>1033</v>
      </c>
      <c r="G580" s="10" t="s">
        <v>72</v>
      </c>
      <c r="H580" s="5" t="s">
        <v>2185</v>
      </c>
    </row>
    <row r="581" ht="12.75" customHeight="1">
      <c r="A581" s="5" t="s">
        <v>2186</v>
      </c>
      <c r="B581" s="5" t="s">
        <v>2187</v>
      </c>
      <c r="C581" s="5" t="s">
        <v>2119</v>
      </c>
      <c r="D581" s="5" t="s">
        <v>34</v>
      </c>
      <c r="E581" s="5" t="s">
        <v>35</v>
      </c>
      <c r="F581" s="5" t="s">
        <v>913</v>
      </c>
      <c r="G581" s="10" t="s">
        <v>72</v>
      </c>
      <c r="H581" s="5" t="s">
        <v>2125</v>
      </c>
    </row>
    <row r="582" ht="12.75" customHeight="1">
      <c r="A582" s="5" t="s">
        <v>2188</v>
      </c>
      <c r="B582" s="5" t="s">
        <v>2189</v>
      </c>
      <c r="C582" s="5" t="s">
        <v>2119</v>
      </c>
      <c r="D582" s="5" t="s">
        <v>34</v>
      </c>
      <c r="E582" s="5" t="s">
        <v>42</v>
      </c>
      <c r="F582" s="5" t="s">
        <v>599</v>
      </c>
      <c r="G582" s="10" t="s">
        <v>72</v>
      </c>
      <c r="H582" s="5" t="s">
        <v>2120</v>
      </c>
    </row>
    <row r="583" ht="12.75" customHeight="1">
      <c r="A583" s="5" t="s">
        <v>2191</v>
      </c>
      <c r="B583" s="10" t="s">
        <v>2192</v>
      </c>
      <c r="C583" s="5" t="s">
        <v>490</v>
      </c>
      <c r="D583" s="5" t="s">
        <v>453</v>
      </c>
      <c r="E583" s="5" t="s">
        <v>42</v>
      </c>
      <c r="F583" s="5" t="s">
        <v>454</v>
      </c>
    </row>
    <row r="584" ht="12.75" customHeight="1">
      <c r="A584" s="5" t="s">
        <v>2194</v>
      </c>
      <c r="B584" s="5" t="s">
        <v>2195</v>
      </c>
      <c r="D584" s="5" t="s">
        <v>101</v>
      </c>
      <c r="E584" s="5" t="s">
        <v>42</v>
      </c>
      <c r="F584" s="5" t="s">
        <v>2196</v>
      </c>
      <c r="G584" s="10" t="s">
        <v>72</v>
      </c>
      <c r="H584" s="5" t="s">
        <v>2197</v>
      </c>
    </row>
    <row r="585" ht="12.75" customHeight="1">
      <c r="A585" s="5" t="s">
        <v>2198</v>
      </c>
      <c r="B585" s="5" t="s">
        <v>2199</v>
      </c>
      <c r="C585" s="5" t="s">
        <v>2200</v>
      </c>
      <c r="D585" s="5" t="s">
        <v>50</v>
      </c>
      <c r="E585" s="5" t="s">
        <v>42</v>
      </c>
      <c r="F585" s="5" t="s">
        <v>720</v>
      </c>
      <c r="G585" s="10" t="s">
        <v>72</v>
      </c>
    </row>
    <row r="586" ht="12.75" customHeight="1">
      <c r="A586" s="5" t="s">
        <v>2202</v>
      </c>
      <c r="B586" s="10" t="s">
        <v>2203</v>
      </c>
      <c r="C586" s="5" t="s">
        <v>2205</v>
      </c>
      <c r="D586" s="5" t="s">
        <v>34</v>
      </c>
      <c r="E586" s="5" t="s">
        <v>42</v>
      </c>
      <c r="F586" s="5" t="s">
        <v>599</v>
      </c>
      <c r="G586" s="10" t="s">
        <v>72</v>
      </c>
      <c r="H586" s="5" t="s">
        <v>2206</v>
      </c>
    </row>
    <row r="587" ht="12.75" customHeight="1">
      <c r="A587" s="5" t="s">
        <v>2207</v>
      </c>
      <c r="B587" s="5" t="s">
        <v>2208</v>
      </c>
      <c r="C587" s="5" t="s">
        <v>2209</v>
      </c>
      <c r="D587" s="5" t="s">
        <v>74</v>
      </c>
      <c r="E587" s="5" t="s">
        <v>35</v>
      </c>
      <c r="F587" s="5" t="s">
        <v>267</v>
      </c>
      <c r="G587" s="10" t="s">
        <v>72</v>
      </c>
    </row>
    <row r="588" ht="12.75" customHeight="1">
      <c r="A588" s="5" t="s">
        <v>2210</v>
      </c>
      <c r="B588" s="5" t="s">
        <v>2211</v>
      </c>
      <c r="C588" s="5" t="s">
        <v>2212</v>
      </c>
      <c r="D588" s="5" t="s">
        <v>34</v>
      </c>
      <c r="E588" s="5" t="s">
        <v>42</v>
      </c>
      <c r="F588" s="5" t="s">
        <v>599</v>
      </c>
      <c r="G588" s="10" t="s">
        <v>72</v>
      </c>
    </row>
    <row r="589" ht="12.75" customHeight="1">
      <c r="A589" s="5" t="s">
        <v>2215</v>
      </c>
      <c r="B589" s="5" t="s">
        <v>2216</v>
      </c>
      <c r="C589" s="5" t="s">
        <v>2217</v>
      </c>
      <c r="D589" s="5" t="s">
        <v>30</v>
      </c>
      <c r="E589" s="5" t="s">
        <v>42</v>
      </c>
      <c r="F589" s="5" t="s">
        <v>2218</v>
      </c>
      <c r="G589" s="10" t="s">
        <v>72</v>
      </c>
      <c r="H589" s="5" t="s">
        <v>2219</v>
      </c>
    </row>
    <row r="590" ht="12.75" customHeight="1">
      <c r="A590" s="5" t="s">
        <v>2220</v>
      </c>
      <c r="B590" s="5" t="s">
        <v>2221</v>
      </c>
      <c r="C590" s="5" t="s">
        <v>2222</v>
      </c>
      <c r="D590" s="5" t="s">
        <v>50</v>
      </c>
      <c r="E590" s="5" t="s">
        <v>42</v>
      </c>
      <c r="F590" s="5" t="s">
        <v>756</v>
      </c>
    </row>
    <row r="591" ht="12.75" customHeight="1">
      <c r="A591" s="5" t="s">
        <v>2223</v>
      </c>
      <c r="B591" s="5" t="s">
        <v>2225</v>
      </c>
      <c r="C591" s="5" t="s">
        <v>2222</v>
      </c>
      <c r="D591" s="5" t="s">
        <v>34</v>
      </c>
      <c r="E591" s="5" t="s">
        <v>42</v>
      </c>
      <c r="F591" s="5" t="s">
        <v>113</v>
      </c>
      <c r="G591" s="10" t="s">
        <v>72</v>
      </c>
      <c r="H591" s="5" t="s">
        <v>2227</v>
      </c>
    </row>
    <row r="592" ht="12.75" customHeight="1">
      <c r="A592" s="5" t="s">
        <v>2228</v>
      </c>
      <c r="B592" s="5" t="s">
        <v>2229</v>
      </c>
      <c r="C592" s="5" t="s">
        <v>2222</v>
      </c>
      <c r="D592" s="5" t="s">
        <v>22</v>
      </c>
      <c r="E592" s="5" t="s">
        <v>42</v>
      </c>
      <c r="F592" s="5" t="s">
        <v>65</v>
      </c>
      <c r="G592" s="10" t="s">
        <v>72</v>
      </c>
      <c r="H592" s="5" t="s">
        <v>1171</v>
      </c>
    </row>
    <row r="593" ht="12.75" customHeight="1">
      <c r="A593" s="5" t="s">
        <v>2230</v>
      </c>
      <c r="B593" s="5" t="s">
        <v>2231</v>
      </c>
      <c r="C593" s="5" t="s">
        <v>2232</v>
      </c>
      <c r="D593" s="5" t="s">
        <v>34</v>
      </c>
      <c r="E593" s="5" t="s">
        <v>42</v>
      </c>
      <c r="F593" s="5" t="s">
        <v>65</v>
      </c>
      <c r="G593" s="10" t="s">
        <v>72</v>
      </c>
      <c r="H593" s="5" t="s">
        <v>2233</v>
      </c>
    </row>
    <row r="594" ht="12.75" customHeight="1">
      <c r="A594" s="5" t="s">
        <v>2235</v>
      </c>
      <c r="B594" s="10" t="s">
        <v>2236</v>
      </c>
      <c r="C594" s="5" t="s">
        <v>2237</v>
      </c>
      <c r="D594" s="5" t="s">
        <v>201</v>
      </c>
      <c r="E594" s="5" t="s">
        <v>42</v>
      </c>
      <c r="F594" s="5" t="s">
        <v>2239</v>
      </c>
      <c r="G594" s="10" t="s">
        <v>72</v>
      </c>
    </row>
    <row r="595" ht="12.75" customHeight="1">
      <c r="A595" s="5" t="s">
        <v>2240</v>
      </c>
      <c r="B595" s="5" t="s">
        <v>2241</v>
      </c>
      <c r="C595" s="5" t="s">
        <v>2242</v>
      </c>
      <c r="D595" s="5" t="s">
        <v>50</v>
      </c>
      <c r="E595" s="5" t="s">
        <v>42</v>
      </c>
      <c r="F595" s="5" t="s">
        <v>657</v>
      </c>
      <c r="H595" s="5" t="s">
        <v>2243</v>
      </c>
      <c r="I595" s="10" t="s">
        <v>72</v>
      </c>
    </row>
    <row r="596" ht="12.75" customHeight="1">
      <c r="A596" s="5" t="s">
        <v>2244</v>
      </c>
      <c r="B596" s="5" t="s">
        <v>2245</v>
      </c>
      <c r="C596" s="5" t="s">
        <v>2246</v>
      </c>
      <c r="D596" s="5" t="s">
        <v>80</v>
      </c>
      <c r="E596" s="5" t="s">
        <v>35</v>
      </c>
      <c r="F596" s="5" t="s">
        <v>924</v>
      </c>
      <c r="G596" s="10" t="s">
        <v>72</v>
      </c>
      <c r="H596" s="5" t="s">
        <v>2233</v>
      </c>
    </row>
    <row r="597" ht="12.75" customHeight="1">
      <c r="A597" s="5" t="s">
        <v>2249</v>
      </c>
      <c r="B597" s="5" t="s">
        <v>2250</v>
      </c>
      <c r="C597" s="5" t="s">
        <v>2251</v>
      </c>
      <c r="D597" s="5" t="s">
        <v>34</v>
      </c>
      <c r="E597" s="5" t="s">
        <v>42</v>
      </c>
      <c r="F597" s="5" t="s">
        <v>720</v>
      </c>
      <c r="J597" s="10" t="s">
        <v>72</v>
      </c>
      <c r="K597" s="5" t="s">
        <v>2252</v>
      </c>
      <c r="L597" s="5" t="s">
        <v>2253</v>
      </c>
    </row>
    <row r="598" ht="12.75" customHeight="1">
      <c r="A598" s="5" t="s">
        <v>2254</v>
      </c>
      <c r="B598" s="5" t="s">
        <v>2255</v>
      </c>
      <c r="D598" s="5" t="s">
        <v>34</v>
      </c>
      <c r="E598" s="5" t="s">
        <v>35</v>
      </c>
      <c r="F598" s="5" t="s">
        <v>616</v>
      </c>
      <c r="H598" s="5" t="s">
        <v>2249</v>
      </c>
      <c r="J598" s="10" t="s">
        <v>72</v>
      </c>
      <c r="L598" s="5" t="s">
        <v>2256</v>
      </c>
    </row>
    <row r="599" ht="12.75" customHeight="1">
      <c r="A599" s="5" t="s">
        <v>2258</v>
      </c>
      <c r="B599" s="5" t="s">
        <v>2259</v>
      </c>
      <c r="D599" s="5" t="s">
        <v>50</v>
      </c>
      <c r="E599" s="5" t="s">
        <v>35</v>
      </c>
      <c r="F599" s="5" t="s">
        <v>619</v>
      </c>
      <c r="H599" s="5" t="s">
        <v>2249</v>
      </c>
      <c r="J599" s="10" t="s">
        <v>72</v>
      </c>
    </row>
    <row r="600" ht="12.75" customHeight="1">
      <c r="A600" s="5" t="s">
        <v>2261</v>
      </c>
      <c r="B600" s="5" t="s">
        <v>2262</v>
      </c>
      <c r="D600" s="5" t="s">
        <v>22</v>
      </c>
      <c r="E600" s="5" t="s">
        <v>42</v>
      </c>
      <c r="F600" s="5" t="s">
        <v>720</v>
      </c>
      <c r="H600" s="5" t="s">
        <v>2249</v>
      </c>
      <c r="J600" s="10" t="s">
        <v>72</v>
      </c>
    </row>
    <row r="601" ht="12.75" customHeight="1">
      <c r="A601" s="5" t="s">
        <v>2263</v>
      </c>
      <c r="B601" s="5" t="s">
        <v>2264</v>
      </c>
      <c r="C601" s="5" t="s">
        <v>2251</v>
      </c>
      <c r="D601" s="5" t="s">
        <v>34</v>
      </c>
      <c r="E601" s="5" t="s">
        <v>42</v>
      </c>
      <c r="F601" s="5" t="s">
        <v>720</v>
      </c>
    </row>
    <row r="602" ht="12.75" customHeight="1">
      <c r="A602" s="5" t="s">
        <v>2266</v>
      </c>
      <c r="B602" s="5" t="s">
        <v>2268</v>
      </c>
      <c r="C602" s="5" t="s">
        <v>2269</v>
      </c>
      <c r="D602" s="5" t="s">
        <v>22</v>
      </c>
      <c r="E602" s="5" t="s">
        <v>42</v>
      </c>
      <c r="F602" s="5" t="s">
        <v>113</v>
      </c>
      <c r="G602" s="10" t="s">
        <v>72</v>
      </c>
    </row>
    <row r="603" ht="12.75" customHeight="1">
      <c r="A603" s="5" t="s">
        <v>2270</v>
      </c>
      <c r="B603" s="5" t="s">
        <v>2271</v>
      </c>
      <c r="C603" s="5" t="s">
        <v>2272</v>
      </c>
      <c r="D603" s="5" t="s">
        <v>34</v>
      </c>
      <c r="E603" s="5" t="s">
        <v>35</v>
      </c>
      <c r="F603" s="5" t="s">
        <v>605</v>
      </c>
      <c r="G603" s="10" t="s">
        <v>72</v>
      </c>
      <c r="H603" s="5" t="s">
        <v>2233</v>
      </c>
    </row>
    <row r="604" ht="12.75" customHeight="1">
      <c r="A604" s="5" t="s">
        <v>2274</v>
      </c>
      <c r="B604" s="5" t="s">
        <v>2275</v>
      </c>
      <c r="C604" s="5" t="s">
        <v>2276</v>
      </c>
      <c r="D604" s="5" t="s">
        <v>34</v>
      </c>
      <c r="E604" s="5" t="s">
        <v>35</v>
      </c>
      <c r="F604" s="5" t="s">
        <v>278</v>
      </c>
      <c r="G604" s="10" t="s">
        <v>72</v>
      </c>
      <c r="H604" s="5" t="s">
        <v>2233</v>
      </c>
    </row>
    <row r="605" ht="12.75" customHeight="1">
      <c r="A605" s="5" t="s">
        <v>2278</v>
      </c>
      <c r="B605" s="5" t="s">
        <v>2279</v>
      </c>
      <c r="C605" s="5" t="s">
        <v>2280</v>
      </c>
      <c r="D605" s="5" t="s">
        <v>34</v>
      </c>
      <c r="E605" s="5" t="s">
        <v>42</v>
      </c>
      <c r="F605" s="5" t="s">
        <v>720</v>
      </c>
      <c r="G605" s="10" t="s">
        <v>72</v>
      </c>
      <c r="H605" s="5" t="s">
        <v>2233</v>
      </c>
    </row>
    <row r="606" ht="12.75" customHeight="1">
      <c r="A606" s="5" t="s">
        <v>2281</v>
      </c>
      <c r="B606" s="5" t="s">
        <v>2282</v>
      </c>
      <c r="C606" s="5" t="s">
        <v>2283</v>
      </c>
      <c r="D606" s="5" t="s">
        <v>67</v>
      </c>
      <c r="E606" s="5" t="s">
        <v>42</v>
      </c>
      <c r="F606" s="5" t="s">
        <v>1260</v>
      </c>
      <c r="G606" s="10" t="s">
        <v>72</v>
      </c>
      <c r="H606" s="5" t="s">
        <v>2233</v>
      </c>
    </row>
    <row r="607" ht="12.75" customHeight="1">
      <c r="A607" s="5" t="s">
        <v>2285</v>
      </c>
      <c r="B607" s="5" t="s">
        <v>2287</v>
      </c>
      <c r="C607" s="5" t="s">
        <v>2288</v>
      </c>
      <c r="D607" s="5" t="s">
        <v>50</v>
      </c>
      <c r="E607" s="5" t="s">
        <v>42</v>
      </c>
      <c r="F607" s="5" t="s">
        <v>445</v>
      </c>
      <c r="G607" s="10" t="s">
        <v>72</v>
      </c>
    </row>
    <row r="608" ht="12.75" customHeight="1">
      <c r="A608" s="5" t="s">
        <v>2289</v>
      </c>
      <c r="B608" s="5" t="s">
        <v>2290</v>
      </c>
      <c r="C608" s="5" t="s">
        <v>24</v>
      </c>
      <c r="D608" s="5" t="s">
        <v>22</v>
      </c>
      <c r="E608" s="5" t="s">
        <v>35</v>
      </c>
      <c r="F608" s="5" t="s">
        <v>1776</v>
      </c>
    </row>
    <row r="609" ht="12.75" customHeight="1">
      <c r="A609" s="5" t="s">
        <v>2291</v>
      </c>
      <c r="B609" s="5" t="s">
        <v>2292</v>
      </c>
      <c r="D609" s="5" t="s">
        <v>822</v>
      </c>
      <c r="E609" s="5" t="s">
        <v>42</v>
      </c>
      <c r="F609" s="5" t="s">
        <v>454</v>
      </c>
    </row>
    <row r="610" ht="12.75" customHeight="1">
      <c r="A610" s="5" t="s">
        <v>2293</v>
      </c>
      <c r="B610" s="5" t="s">
        <v>2294</v>
      </c>
      <c r="C610" s="5" t="s">
        <v>1959</v>
      </c>
      <c r="D610" s="5" t="s">
        <v>50</v>
      </c>
      <c r="E610" s="5" t="s">
        <v>42</v>
      </c>
      <c r="F610" s="5" t="s">
        <v>720</v>
      </c>
    </row>
    <row r="611" ht="12.75" customHeight="1">
      <c r="A611" s="5" t="s">
        <v>2297</v>
      </c>
      <c r="B611" s="5" t="s">
        <v>2298</v>
      </c>
      <c r="C611" s="5" t="s">
        <v>2299</v>
      </c>
      <c r="D611" s="5" t="s">
        <v>38</v>
      </c>
      <c r="E611" s="5" t="s">
        <v>35</v>
      </c>
      <c r="F611" s="5" t="s">
        <v>172</v>
      </c>
      <c r="G611" s="10" t="s">
        <v>72</v>
      </c>
    </row>
    <row r="612" ht="12.75" customHeight="1">
      <c r="A612" s="5" t="s">
        <v>2300</v>
      </c>
      <c r="B612" s="5" t="s">
        <v>2301</v>
      </c>
      <c r="C612" s="5" t="s">
        <v>2302</v>
      </c>
      <c r="D612" s="5" t="s">
        <v>50</v>
      </c>
      <c r="E612" s="5" t="s">
        <v>42</v>
      </c>
      <c r="F612" s="5" t="s">
        <v>720</v>
      </c>
    </row>
    <row r="613" ht="12.75" customHeight="1">
      <c r="A613" s="5" t="s">
        <v>2303</v>
      </c>
      <c r="B613" s="5" t="s">
        <v>2304</v>
      </c>
      <c r="D613" s="5" t="s">
        <v>38</v>
      </c>
      <c r="E613" s="5" t="s">
        <v>42</v>
      </c>
      <c r="F613" s="5" t="s">
        <v>572</v>
      </c>
      <c r="H613" s="5" t="s">
        <v>2306</v>
      </c>
    </row>
    <row r="614" ht="12.75" customHeight="1">
      <c r="A614" s="5" t="s">
        <v>2307</v>
      </c>
      <c r="B614" s="5" t="s">
        <v>2309</v>
      </c>
      <c r="C614" s="5" t="s">
        <v>2310</v>
      </c>
      <c r="D614" s="5" t="s">
        <v>80</v>
      </c>
      <c r="E614" s="5" t="s">
        <v>35</v>
      </c>
      <c r="F614" s="5" t="s">
        <v>1344</v>
      </c>
      <c r="G614" s="10" t="s">
        <v>72</v>
      </c>
      <c r="H614" s="5" t="s">
        <v>2311</v>
      </c>
    </row>
    <row r="615" ht="12.75" customHeight="1">
      <c r="A615" s="5" t="s">
        <v>2311</v>
      </c>
      <c r="B615" s="5" t="s">
        <v>2312</v>
      </c>
      <c r="C615" s="5" t="s">
        <v>2313</v>
      </c>
      <c r="D615" s="5" t="s">
        <v>80</v>
      </c>
      <c r="E615" s="5" t="s">
        <v>35</v>
      </c>
      <c r="F615" s="5" t="s">
        <v>1344</v>
      </c>
      <c r="G615" s="10" t="s">
        <v>72</v>
      </c>
      <c r="H615" s="5" t="s">
        <v>2314</v>
      </c>
      <c r="K615" s="5" t="s">
        <v>2307</v>
      </c>
    </row>
    <row r="616" ht="12.75" customHeight="1">
      <c r="A616" s="5" t="s">
        <v>2315</v>
      </c>
      <c r="B616" s="10" t="s">
        <v>2316</v>
      </c>
      <c r="C616" s="5" t="s">
        <v>2317</v>
      </c>
      <c r="D616" s="5" t="s">
        <v>22</v>
      </c>
      <c r="E616" s="5" t="s">
        <v>42</v>
      </c>
      <c r="F616" s="5" t="s">
        <v>65</v>
      </c>
      <c r="H616" s="5" t="s">
        <v>2319</v>
      </c>
    </row>
    <row r="617" ht="12.75" customHeight="1">
      <c r="A617" s="5" t="s">
        <v>2321</v>
      </c>
      <c r="B617" s="10" t="s">
        <v>2322</v>
      </c>
      <c r="C617" s="5" t="s">
        <v>2323</v>
      </c>
      <c r="D617" s="5" t="s">
        <v>34</v>
      </c>
      <c r="E617" s="5" t="s">
        <v>42</v>
      </c>
      <c r="F617" s="5" t="s">
        <v>599</v>
      </c>
      <c r="G617" s="10" t="s">
        <v>72</v>
      </c>
      <c r="H617" s="5" t="s">
        <v>2324</v>
      </c>
    </row>
    <row r="618" ht="12.75" customHeight="1">
      <c r="A618" s="5" t="s">
        <v>2325</v>
      </c>
      <c r="B618" s="5" t="s">
        <v>2326</v>
      </c>
      <c r="C618" s="5" t="s">
        <v>2327</v>
      </c>
      <c r="D618" s="5" t="s">
        <v>67</v>
      </c>
      <c r="E618" s="5" t="s">
        <v>42</v>
      </c>
      <c r="F618" s="5" t="s">
        <v>1033</v>
      </c>
      <c r="G618" s="10" t="s">
        <v>72</v>
      </c>
    </row>
    <row r="619" ht="12.75" customHeight="1">
      <c r="A619" s="5" t="s">
        <v>2233</v>
      </c>
      <c r="B619" s="5" t="s">
        <v>2328</v>
      </c>
      <c r="C619" s="5" t="s">
        <v>2329</v>
      </c>
      <c r="D619" s="5" t="s">
        <v>34</v>
      </c>
      <c r="E619" s="5" t="s">
        <v>42</v>
      </c>
      <c r="F619" s="5" t="s">
        <v>1753</v>
      </c>
      <c r="G619" s="10" t="s">
        <v>72</v>
      </c>
      <c r="H619" s="5" t="s">
        <v>2092</v>
      </c>
      <c r="I619" s="10" t="s">
        <v>72</v>
      </c>
      <c r="J619" s="10" t="s">
        <v>72</v>
      </c>
      <c r="K619" s="5" t="s">
        <v>2332</v>
      </c>
      <c r="L619" s="5" t="s">
        <v>2333</v>
      </c>
      <c r="M619" s="5" t="s">
        <v>2333</v>
      </c>
    </row>
    <row r="620" ht="12.75" customHeight="1">
      <c r="A620" s="5" t="s">
        <v>2334</v>
      </c>
      <c r="B620" s="10" t="s">
        <v>2335</v>
      </c>
      <c r="D620" s="5" t="s">
        <v>34</v>
      </c>
      <c r="E620" s="5" t="s">
        <v>42</v>
      </c>
      <c r="F620" s="5" t="s">
        <v>1753</v>
      </c>
      <c r="G620" s="10" t="s">
        <v>72</v>
      </c>
      <c r="H620" s="5" t="s">
        <v>2233</v>
      </c>
      <c r="I620" s="10" t="s">
        <v>72</v>
      </c>
      <c r="K620" s="5" t="s">
        <v>2336</v>
      </c>
    </row>
    <row r="621" ht="12.75" customHeight="1">
      <c r="A621" s="5" t="s">
        <v>2337</v>
      </c>
      <c r="B621" s="10" t="s">
        <v>2339</v>
      </c>
      <c r="D621" s="5" t="s">
        <v>34</v>
      </c>
      <c r="E621" s="5" t="s">
        <v>42</v>
      </c>
      <c r="F621" s="5" t="s">
        <v>1753</v>
      </c>
      <c r="G621" s="10" t="s">
        <v>72</v>
      </c>
      <c r="H621" s="5" t="s">
        <v>2233</v>
      </c>
      <c r="I621" s="10" t="s">
        <v>72</v>
      </c>
      <c r="K621" s="5" t="s">
        <v>2341</v>
      </c>
    </row>
    <row r="622" ht="12.75" customHeight="1">
      <c r="A622" s="5" t="s">
        <v>2342</v>
      </c>
      <c r="B622" s="5" t="s">
        <v>2343</v>
      </c>
      <c r="D622" s="5" t="s">
        <v>94</v>
      </c>
      <c r="E622" s="5" t="s">
        <v>35</v>
      </c>
      <c r="F622" s="5" t="s">
        <v>813</v>
      </c>
      <c r="H622" s="5" t="s">
        <v>2344</v>
      </c>
      <c r="J622" s="10" t="s">
        <v>72</v>
      </c>
    </row>
    <row r="623" ht="12.75" customHeight="1">
      <c r="A623" s="5" t="s">
        <v>2345</v>
      </c>
      <c r="B623" s="5" t="s">
        <v>2346</v>
      </c>
      <c r="D623" s="5" t="s">
        <v>101</v>
      </c>
      <c r="E623" s="5" t="s">
        <v>35</v>
      </c>
      <c r="F623" s="5" t="s">
        <v>96</v>
      </c>
      <c r="H623" s="5" t="s">
        <v>2344</v>
      </c>
      <c r="J623" s="10" t="s">
        <v>72</v>
      </c>
    </row>
    <row r="624" ht="12.75" customHeight="1">
      <c r="A624" s="5" t="s">
        <v>2348</v>
      </c>
      <c r="B624" s="5" t="s">
        <v>2350</v>
      </c>
      <c r="D624" s="5" t="s">
        <v>132</v>
      </c>
      <c r="E624" s="5" t="s">
        <v>35</v>
      </c>
      <c r="F624" s="5" t="s">
        <v>118</v>
      </c>
      <c r="H624" s="5" t="s">
        <v>2344</v>
      </c>
      <c r="J624" s="10" t="s">
        <v>72</v>
      </c>
    </row>
    <row r="625" ht="12.75" customHeight="1">
      <c r="A625" s="5" t="s">
        <v>2351</v>
      </c>
      <c r="B625" s="5" t="s">
        <v>2352</v>
      </c>
      <c r="C625" s="5" t="s">
        <v>2353</v>
      </c>
      <c r="D625" s="5" t="s">
        <v>132</v>
      </c>
      <c r="E625" s="5" t="s">
        <v>42</v>
      </c>
      <c r="F625" s="5" t="s">
        <v>400</v>
      </c>
      <c r="H625" s="5" t="s">
        <v>2344</v>
      </c>
      <c r="J625" s="10" t="s">
        <v>72</v>
      </c>
    </row>
    <row r="626" ht="12.75" customHeight="1">
      <c r="A626" s="5" t="s">
        <v>2354</v>
      </c>
      <c r="B626" s="5" t="s">
        <v>2355</v>
      </c>
      <c r="D626" s="5" t="s">
        <v>94</v>
      </c>
      <c r="E626" s="5" t="s">
        <v>35</v>
      </c>
      <c r="F626" s="5" t="s">
        <v>710</v>
      </c>
      <c r="H626" s="5" t="s">
        <v>2357</v>
      </c>
      <c r="J626" s="10" t="s">
        <v>72</v>
      </c>
    </row>
    <row r="627" ht="12.75" customHeight="1">
      <c r="A627" s="5" t="s">
        <v>2359</v>
      </c>
      <c r="B627" s="5" t="s">
        <v>2360</v>
      </c>
      <c r="D627" s="5" t="s">
        <v>101</v>
      </c>
      <c r="E627" s="5" t="s">
        <v>35</v>
      </c>
      <c r="F627" s="5" t="s">
        <v>96</v>
      </c>
      <c r="H627" s="5" t="s">
        <v>2357</v>
      </c>
      <c r="J627" s="10" t="s">
        <v>72</v>
      </c>
    </row>
    <row r="628" ht="12.75" customHeight="1">
      <c r="A628" s="5" t="s">
        <v>2361</v>
      </c>
      <c r="B628" s="5" t="s">
        <v>2362</v>
      </c>
      <c r="D628" s="5" t="s">
        <v>132</v>
      </c>
      <c r="E628" s="5" t="s">
        <v>35</v>
      </c>
      <c r="F628" s="5" t="s">
        <v>189</v>
      </c>
      <c r="H628" s="5" t="s">
        <v>2357</v>
      </c>
      <c r="J628" s="10" t="s">
        <v>72</v>
      </c>
    </row>
    <row r="629" ht="12.75" customHeight="1">
      <c r="A629" s="5" t="s">
        <v>2363</v>
      </c>
      <c r="B629" s="5" t="s">
        <v>2364</v>
      </c>
      <c r="C629" s="5" t="s">
        <v>2353</v>
      </c>
      <c r="D629" s="5" t="s">
        <v>132</v>
      </c>
      <c r="E629" s="5" t="s">
        <v>42</v>
      </c>
      <c r="F629" s="5" t="s">
        <v>756</v>
      </c>
      <c r="H629" s="5" t="s">
        <v>2357</v>
      </c>
      <c r="J629" s="10" t="s">
        <v>72</v>
      </c>
    </row>
    <row r="630" ht="12.75" customHeight="1">
      <c r="A630" s="5" t="s">
        <v>2367</v>
      </c>
      <c r="B630" s="5" t="s">
        <v>2368</v>
      </c>
      <c r="D630" s="5" t="s">
        <v>94</v>
      </c>
      <c r="E630" s="5" t="s">
        <v>35</v>
      </c>
      <c r="F630" s="5" t="s">
        <v>710</v>
      </c>
      <c r="H630" s="5" t="s">
        <v>2369</v>
      </c>
      <c r="J630" s="10" t="s">
        <v>72</v>
      </c>
    </row>
    <row r="631" ht="12.75" customHeight="1">
      <c r="A631" s="5" t="s">
        <v>2370</v>
      </c>
      <c r="B631" s="10" t="s">
        <v>2371</v>
      </c>
      <c r="D631" s="5" t="s">
        <v>101</v>
      </c>
      <c r="E631" s="5" t="s">
        <v>35</v>
      </c>
      <c r="F631" s="5" t="s">
        <v>263</v>
      </c>
      <c r="H631" s="5" t="s">
        <v>2369</v>
      </c>
      <c r="J631" s="10" t="s">
        <v>72</v>
      </c>
    </row>
    <row r="632" ht="12.75" customHeight="1">
      <c r="A632" s="5" t="s">
        <v>2372</v>
      </c>
      <c r="B632" s="10" t="s">
        <v>2373</v>
      </c>
      <c r="D632" s="5" t="s">
        <v>132</v>
      </c>
      <c r="E632" s="5" t="s">
        <v>35</v>
      </c>
      <c r="F632" s="5" t="s">
        <v>104</v>
      </c>
      <c r="H632" s="5" t="s">
        <v>2369</v>
      </c>
      <c r="J632" s="10" t="s">
        <v>72</v>
      </c>
    </row>
    <row r="633" ht="12.75" customHeight="1">
      <c r="A633" s="5" t="s">
        <v>2376</v>
      </c>
      <c r="B633" s="5" t="s">
        <v>2377</v>
      </c>
      <c r="D633" s="5" t="s">
        <v>94</v>
      </c>
      <c r="E633" s="5" t="s">
        <v>35</v>
      </c>
      <c r="F633" s="5" t="s">
        <v>104</v>
      </c>
      <c r="H633" s="5" t="s">
        <v>2378</v>
      </c>
      <c r="J633" s="10" t="s">
        <v>72</v>
      </c>
    </row>
    <row r="634" ht="12.75" customHeight="1">
      <c r="A634" s="5" t="s">
        <v>2379</v>
      </c>
      <c r="B634" s="5" t="s">
        <v>2380</v>
      </c>
      <c r="D634" s="5" t="s">
        <v>101</v>
      </c>
      <c r="E634" s="5" t="s">
        <v>35</v>
      </c>
      <c r="F634" s="5" t="s">
        <v>1334</v>
      </c>
      <c r="H634" s="5" t="s">
        <v>2378</v>
      </c>
      <c r="J634" s="10" t="s">
        <v>72</v>
      </c>
    </row>
    <row r="635" ht="12.75" customHeight="1">
      <c r="A635" s="5" t="s">
        <v>2382</v>
      </c>
      <c r="B635" s="5" t="s">
        <v>2383</v>
      </c>
      <c r="D635" s="5" t="s">
        <v>132</v>
      </c>
      <c r="E635" s="5" t="s">
        <v>35</v>
      </c>
      <c r="F635" s="5" t="s">
        <v>710</v>
      </c>
      <c r="H635" s="5" t="s">
        <v>2378</v>
      </c>
      <c r="J635" s="10" t="s">
        <v>72</v>
      </c>
    </row>
    <row r="636" ht="12.75" customHeight="1">
      <c r="A636" s="5" t="s">
        <v>2385</v>
      </c>
      <c r="B636" s="5" t="s">
        <v>2386</v>
      </c>
      <c r="D636" s="5" t="s">
        <v>94</v>
      </c>
      <c r="E636" s="5" t="s">
        <v>35</v>
      </c>
      <c r="F636" s="5" t="s">
        <v>189</v>
      </c>
      <c r="H636" s="5" t="s">
        <v>2387</v>
      </c>
      <c r="J636" s="10" t="s">
        <v>72</v>
      </c>
    </row>
    <row r="637" ht="12.75" customHeight="1">
      <c r="A637" s="5" t="s">
        <v>2388</v>
      </c>
      <c r="B637" s="5" t="s">
        <v>2389</v>
      </c>
      <c r="D637" s="5" t="s">
        <v>101</v>
      </c>
      <c r="E637" s="5" t="s">
        <v>35</v>
      </c>
      <c r="F637" s="5" t="s">
        <v>2390</v>
      </c>
      <c r="H637" s="5" t="s">
        <v>2387</v>
      </c>
      <c r="J637" s="10" t="s">
        <v>72</v>
      </c>
    </row>
    <row r="638" ht="12.75" customHeight="1">
      <c r="A638" s="5" t="s">
        <v>2392</v>
      </c>
      <c r="B638" s="5" t="s">
        <v>2393</v>
      </c>
      <c r="D638" s="5" t="s">
        <v>132</v>
      </c>
      <c r="E638" s="5" t="s">
        <v>35</v>
      </c>
      <c r="F638" s="5" t="s">
        <v>90</v>
      </c>
      <c r="H638" s="5" t="s">
        <v>2387</v>
      </c>
      <c r="J638" s="10" t="s">
        <v>72</v>
      </c>
    </row>
    <row r="639" ht="12.75" customHeight="1">
      <c r="A639" s="5" t="s">
        <v>2395</v>
      </c>
      <c r="B639" s="5" t="s">
        <v>2396</v>
      </c>
      <c r="D639" s="5" t="s">
        <v>94</v>
      </c>
      <c r="E639" s="5" t="s">
        <v>35</v>
      </c>
      <c r="F639" s="5" t="s">
        <v>616</v>
      </c>
      <c r="H639" s="5" t="s">
        <v>2397</v>
      </c>
      <c r="J639" s="10" t="s">
        <v>72</v>
      </c>
    </row>
    <row r="640" ht="12.75" customHeight="1">
      <c r="A640" s="5" t="s">
        <v>2398</v>
      </c>
      <c r="B640" s="5" t="s">
        <v>2399</v>
      </c>
      <c r="D640" s="5" t="s">
        <v>101</v>
      </c>
      <c r="E640" s="5" t="s">
        <v>35</v>
      </c>
      <c r="F640" s="5" t="s">
        <v>2401</v>
      </c>
      <c r="H640" s="5" t="s">
        <v>2397</v>
      </c>
      <c r="J640" s="10" t="s">
        <v>72</v>
      </c>
    </row>
    <row r="641" ht="12.75" customHeight="1">
      <c r="A641" s="5" t="s">
        <v>2403</v>
      </c>
      <c r="B641" s="5" t="s">
        <v>2404</v>
      </c>
      <c r="D641" s="5" t="s">
        <v>132</v>
      </c>
      <c r="E641" s="5" t="s">
        <v>35</v>
      </c>
      <c r="F641" s="5" t="s">
        <v>616</v>
      </c>
      <c r="H641" s="5" t="s">
        <v>2397</v>
      </c>
      <c r="J641" s="10" t="s">
        <v>72</v>
      </c>
    </row>
    <row r="642" ht="12.75" customHeight="1">
      <c r="A642" s="5" t="s">
        <v>2405</v>
      </c>
      <c r="B642" s="5" t="s">
        <v>2406</v>
      </c>
      <c r="D642" s="5" t="s">
        <v>94</v>
      </c>
      <c r="E642" s="5" t="s">
        <v>35</v>
      </c>
      <c r="F642" s="5" t="s">
        <v>868</v>
      </c>
      <c r="H642" s="5" t="s">
        <v>2407</v>
      </c>
      <c r="J642" s="10" t="s">
        <v>72</v>
      </c>
    </row>
    <row r="643" ht="12.75" customHeight="1">
      <c r="A643" s="5" t="s">
        <v>2408</v>
      </c>
      <c r="B643" s="5" t="s">
        <v>2409</v>
      </c>
      <c r="D643" s="5" t="s">
        <v>101</v>
      </c>
      <c r="E643" s="5" t="s">
        <v>35</v>
      </c>
      <c r="F643" s="5" t="s">
        <v>1896</v>
      </c>
      <c r="H643" s="5" t="s">
        <v>2407</v>
      </c>
      <c r="J643" s="10" t="s">
        <v>72</v>
      </c>
    </row>
    <row r="644" ht="12.75" customHeight="1">
      <c r="A644" s="5" t="s">
        <v>2412</v>
      </c>
      <c r="B644" s="5" t="s">
        <v>2413</v>
      </c>
      <c r="D644" s="5" t="s">
        <v>132</v>
      </c>
      <c r="E644" s="5" t="s">
        <v>35</v>
      </c>
      <c r="F644" s="5" t="s">
        <v>278</v>
      </c>
      <c r="H644" s="5" t="s">
        <v>2407</v>
      </c>
      <c r="J644" s="10" t="s">
        <v>72</v>
      </c>
    </row>
    <row r="645" ht="12.75" customHeight="1">
      <c r="A645" s="5" t="s">
        <v>2414</v>
      </c>
      <c r="B645" s="10" t="s">
        <v>2415</v>
      </c>
      <c r="D645" s="5" t="s">
        <v>94</v>
      </c>
      <c r="E645" s="5" t="s">
        <v>42</v>
      </c>
      <c r="F645" s="5" t="s">
        <v>199</v>
      </c>
      <c r="H645" s="5" t="s">
        <v>2416</v>
      </c>
      <c r="J645" s="10" t="s">
        <v>72</v>
      </c>
    </row>
    <row r="646" ht="12.75" customHeight="1">
      <c r="A646" s="5" t="s">
        <v>2417</v>
      </c>
      <c r="B646" s="10" t="s">
        <v>2418</v>
      </c>
      <c r="D646" s="5" t="s">
        <v>101</v>
      </c>
      <c r="E646" s="5" t="s">
        <v>42</v>
      </c>
      <c r="F646" s="5" t="s">
        <v>2420</v>
      </c>
      <c r="H646" s="5" t="s">
        <v>2416</v>
      </c>
      <c r="J646" s="10" t="s">
        <v>72</v>
      </c>
    </row>
    <row r="647" ht="12.75" customHeight="1">
      <c r="A647" s="5" t="s">
        <v>2422</v>
      </c>
      <c r="B647" s="10" t="s">
        <v>2423</v>
      </c>
      <c r="D647" s="5" t="s">
        <v>116</v>
      </c>
      <c r="E647" s="5" t="s">
        <v>42</v>
      </c>
      <c r="F647" s="5" t="s">
        <v>535</v>
      </c>
      <c r="H647" s="5" t="s">
        <v>2416</v>
      </c>
      <c r="J647" s="10" t="s">
        <v>72</v>
      </c>
    </row>
    <row r="648" ht="12.75" customHeight="1">
      <c r="A648" s="5" t="s">
        <v>2424</v>
      </c>
      <c r="B648" s="10" t="s">
        <v>2425</v>
      </c>
      <c r="D648" s="5" t="s">
        <v>122</v>
      </c>
      <c r="E648" s="5" t="s">
        <v>42</v>
      </c>
      <c r="F648" s="5" t="s">
        <v>657</v>
      </c>
      <c r="H648" s="5" t="s">
        <v>2416</v>
      </c>
      <c r="J648" s="10" t="s">
        <v>72</v>
      </c>
    </row>
    <row r="649" ht="12.75" customHeight="1">
      <c r="A649" s="5" t="s">
        <v>2426</v>
      </c>
      <c r="B649" s="10" t="s">
        <v>2427</v>
      </c>
      <c r="D649" s="5" t="s">
        <v>132</v>
      </c>
      <c r="E649" s="5" t="s">
        <v>42</v>
      </c>
      <c r="F649" s="5" t="s">
        <v>199</v>
      </c>
      <c r="H649" s="5" t="s">
        <v>2416</v>
      </c>
      <c r="J649" s="10" t="s">
        <v>72</v>
      </c>
    </row>
    <row r="650" ht="12.75" customHeight="1">
      <c r="A650" s="5" t="s">
        <v>2429</v>
      </c>
      <c r="B650" s="5" t="s">
        <v>2430</v>
      </c>
      <c r="D650" s="5" t="s">
        <v>94</v>
      </c>
      <c r="E650" s="5" t="s">
        <v>35</v>
      </c>
      <c r="F650" s="5" t="s">
        <v>189</v>
      </c>
      <c r="H650" s="5" t="s">
        <v>2432</v>
      </c>
      <c r="J650" s="10" t="s">
        <v>72</v>
      </c>
    </row>
    <row r="651" ht="12.75" customHeight="1">
      <c r="A651" s="5" t="s">
        <v>2433</v>
      </c>
      <c r="B651" s="5" t="s">
        <v>2434</v>
      </c>
      <c r="D651" s="5" t="s">
        <v>94</v>
      </c>
      <c r="E651" s="5" t="s">
        <v>35</v>
      </c>
      <c r="F651" s="5" t="s">
        <v>189</v>
      </c>
      <c r="H651" s="5" t="s">
        <v>2432</v>
      </c>
      <c r="J651" s="10" t="s">
        <v>72</v>
      </c>
    </row>
    <row r="652" ht="12.75" customHeight="1">
      <c r="A652" s="5" t="s">
        <v>2435</v>
      </c>
      <c r="B652" s="5" t="s">
        <v>2436</v>
      </c>
      <c r="D652" s="5" t="s">
        <v>101</v>
      </c>
      <c r="E652" s="5" t="s">
        <v>35</v>
      </c>
      <c r="F652" s="5" t="s">
        <v>1896</v>
      </c>
      <c r="H652" s="5" t="s">
        <v>2432</v>
      </c>
      <c r="J652" s="10" t="s">
        <v>72</v>
      </c>
    </row>
    <row r="653" ht="12.75" customHeight="1">
      <c r="A653" s="5" t="s">
        <v>2439</v>
      </c>
      <c r="B653" s="5" t="s">
        <v>2440</v>
      </c>
      <c r="D653" s="5" t="s">
        <v>101</v>
      </c>
      <c r="E653" s="5" t="s">
        <v>35</v>
      </c>
      <c r="F653" s="5" t="s">
        <v>1896</v>
      </c>
      <c r="H653" s="5" t="s">
        <v>2432</v>
      </c>
      <c r="J653" s="10" t="s">
        <v>72</v>
      </c>
    </row>
    <row r="654" ht="12.75" customHeight="1">
      <c r="A654" s="5" t="s">
        <v>2441</v>
      </c>
      <c r="B654" s="5" t="s">
        <v>2442</v>
      </c>
      <c r="D654" s="5" t="s">
        <v>116</v>
      </c>
      <c r="E654" s="5" t="s">
        <v>35</v>
      </c>
      <c r="F654" s="5" t="s">
        <v>1334</v>
      </c>
      <c r="H654" s="5" t="s">
        <v>2432</v>
      </c>
      <c r="J654" s="10" t="s">
        <v>72</v>
      </c>
    </row>
    <row r="655" ht="12.75" customHeight="1">
      <c r="A655" s="5" t="s">
        <v>2443</v>
      </c>
      <c r="B655" s="5" t="s">
        <v>2444</v>
      </c>
      <c r="D655" s="5" t="s">
        <v>122</v>
      </c>
      <c r="E655" s="5" t="s">
        <v>35</v>
      </c>
      <c r="F655" s="5" t="s">
        <v>77</v>
      </c>
      <c r="H655" s="5" t="s">
        <v>2432</v>
      </c>
      <c r="J655" s="10" t="s">
        <v>72</v>
      </c>
    </row>
    <row r="656" ht="12.75" customHeight="1">
      <c r="A656" s="5" t="s">
        <v>2445</v>
      </c>
      <c r="B656" s="10" t="s">
        <v>2446</v>
      </c>
      <c r="D656" s="5" t="s">
        <v>132</v>
      </c>
      <c r="E656" s="5" t="s">
        <v>35</v>
      </c>
      <c r="F656" s="5" t="s">
        <v>605</v>
      </c>
      <c r="H656" s="5" t="s">
        <v>2432</v>
      </c>
      <c r="J656" s="10" t="s">
        <v>72</v>
      </c>
    </row>
    <row r="657" ht="12.75" customHeight="1">
      <c r="A657" s="5" t="s">
        <v>2448</v>
      </c>
      <c r="B657" s="5" t="s">
        <v>2449</v>
      </c>
      <c r="D657" s="5" t="s">
        <v>132</v>
      </c>
      <c r="E657" s="5" t="s">
        <v>35</v>
      </c>
      <c r="F657" s="5" t="s">
        <v>713</v>
      </c>
      <c r="H657" s="5" t="s">
        <v>2432</v>
      </c>
      <c r="J657" s="10" t="s">
        <v>72</v>
      </c>
    </row>
    <row r="658" ht="12.75" customHeight="1">
      <c r="A658" s="5" t="s">
        <v>2432</v>
      </c>
      <c r="B658" s="5" t="s">
        <v>2451</v>
      </c>
      <c r="C658" s="5" t="s">
        <v>2452</v>
      </c>
      <c r="D658" s="5" t="s">
        <v>132</v>
      </c>
      <c r="E658" s="5" t="s">
        <v>35</v>
      </c>
      <c r="F658" s="5" t="s">
        <v>1776</v>
      </c>
      <c r="H658" s="5" t="s">
        <v>2344</v>
      </c>
      <c r="I658" s="10" t="s">
        <v>72</v>
      </c>
      <c r="J658" s="10" t="s">
        <v>72</v>
      </c>
      <c r="K658" s="5" t="s">
        <v>2453</v>
      </c>
      <c r="L658" s="5" t="s">
        <v>2416</v>
      </c>
    </row>
    <row r="659" ht="12.75" customHeight="1">
      <c r="A659" s="5" t="s">
        <v>2416</v>
      </c>
      <c r="B659" s="5" t="s">
        <v>2454</v>
      </c>
      <c r="C659" s="5" t="s">
        <v>2455</v>
      </c>
      <c r="D659" s="5" t="s">
        <v>132</v>
      </c>
      <c r="E659" s="5" t="s">
        <v>35</v>
      </c>
      <c r="F659" s="5" t="s">
        <v>1776</v>
      </c>
      <c r="H659" s="5" t="s">
        <v>2432</v>
      </c>
      <c r="I659" s="10" t="s">
        <v>72</v>
      </c>
      <c r="J659" s="10" t="s">
        <v>72</v>
      </c>
      <c r="K659" s="5" t="s">
        <v>2456</v>
      </c>
    </row>
    <row r="660" ht="12.75" customHeight="1">
      <c r="A660" s="5" t="s">
        <v>2457</v>
      </c>
      <c r="B660" s="10" t="s">
        <v>2458</v>
      </c>
      <c r="C660" s="5" t="s">
        <v>2459</v>
      </c>
      <c r="D660" s="5" t="s">
        <v>34</v>
      </c>
      <c r="E660" s="5" t="s">
        <v>42</v>
      </c>
      <c r="F660" s="5" t="s">
        <v>1753</v>
      </c>
      <c r="G660" s="10" t="s">
        <v>72</v>
      </c>
      <c r="H660" s="5" t="s">
        <v>2092</v>
      </c>
      <c r="I660" s="10" t="s">
        <v>72</v>
      </c>
      <c r="K660" s="5" t="s">
        <v>2462</v>
      </c>
      <c r="L660" s="5" t="s">
        <v>2463</v>
      </c>
      <c r="M660" s="5" t="s">
        <v>2463</v>
      </c>
    </row>
    <row r="661" ht="12.75" customHeight="1">
      <c r="A661" s="5" t="s">
        <v>2464</v>
      </c>
      <c r="B661" s="10" t="s">
        <v>2465</v>
      </c>
      <c r="D661" s="5" t="s">
        <v>34</v>
      </c>
      <c r="E661" s="5" t="s">
        <v>42</v>
      </c>
      <c r="F661" s="5" t="s">
        <v>1753</v>
      </c>
      <c r="G661" s="10" t="s">
        <v>72</v>
      </c>
      <c r="H661" s="5" t="s">
        <v>2457</v>
      </c>
      <c r="I661" s="10" t="s">
        <v>72</v>
      </c>
      <c r="K661" s="5" t="s">
        <v>2466</v>
      </c>
    </row>
    <row r="662" ht="12.75" customHeight="1">
      <c r="A662" s="5" t="s">
        <v>2467</v>
      </c>
      <c r="B662" s="10" t="s">
        <v>2468</v>
      </c>
      <c r="D662" s="5" t="s">
        <v>34</v>
      </c>
      <c r="E662" s="5" t="s">
        <v>42</v>
      </c>
      <c r="F662" s="5" t="s">
        <v>1753</v>
      </c>
      <c r="G662" s="10" t="s">
        <v>72</v>
      </c>
      <c r="H662" s="5" t="s">
        <v>2457</v>
      </c>
      <c r="I662" s="10" t="s">
        <v>72</v>
      </c>
      <c r="K662" s="5" t="s">
        <v>2470</v>
      </c>
    </row>
    <row r="663" ht="12.75" customHeight="1">
      <c r="A663" s="5" t="s">
        <v>2472</v>
      </c>
      <c r="B663" s="10" t="s">
        <v>2473</v>
      </c>
      <c r="C663" s="5" t="s">
        <v>2474</v>
      </c>
      <c r="D663" s="5" t="s">
        <v>101</v>
      </c>
      <c r="E663" s="5" t="s">
        <v>42</v>
      </c>
      <c r="F663" s="5" t="s">
        <v>967</v>
      </c>
      <c r="G663" s="10" t="s">
        <v>72</v>
      </c>
      <c r="H663" s="5" t="s">
        <v>2464</v>
      </c>
    </row>
    <row r="664" ht="12.75" customHeight="1">
      <c r="A664" s="5" t="s">
        <v>2475</v>
      </c>
      <c r="B664" s="5" t="s">
        <v>2476</v>
      </c>
      <c r="C664" s="5" t="s">
        <v>2477</v>
      </c>
      <c r="D664" s="5" t="s">
        <v>34</v>
      </c>
      <c r="E664" s="5" t="s">
        <v>42</v>
      </c>
      <c r="F664" s="5" t="s">
        <v>228</v>
      </c>
      <c r="H664" s="5" t="s">
        <v>2478</v>
      </c>
    </row>
    <row r="665" ht="12.75" customHeight="1">
      <c r="A665" s="5" t="s">
        <v>2479</v>
      </c>
      <c r="B665" s="5" t="s">
        <v>2480</v>
      </c>
      <c r="C665" s="5" t="s">
        <v>2481</v>
      </c>
      <c r="D665" s="5" t="s">
        <v>34</v>
      </c>
      <c r="E665" s="5" t="s">
        <v>42</v>
      </c>
      <c r="F665" s="5" t="s">
        <v>575</v>
      </c>
      <c r="H665" s="5" t="s">
        <v>2478</v>
      </c>
    </row>
    <row r="666" ht="12.75" customHeight="1">
      <c r="A666" s="5" t="s">
        <v>2478</v>
      </c>
      <c r="B666" s="5" t="s">
        <v>2484</v>
      </c>
      <c r="C666" s="5" t="s">
        <v>2485</v>
      </c>
      <c r="D666" s="5" t="s">
        <v>34</v>
      </c>
      <c r="E666" s="5" t="s">
        <v>42</v>
      </c>
      <c r="F666" s="5" t="s">
        <v>65</v>
      </c>
      <c r="K666" s="5" t="s">
        <v>2486</v>
      </c>
    </row>
    <row r="667" ht="12.75" customHeight="1">
      <c r="A667" s="5" t="s">
        <v>2487</v>
      </c>
      <c r="B667" s="5" t="s">
        <v>2488</v>
      </c>
      <c r="C667" s="5" t="s">
        <v>2489</v>
      </c>
      <c r="D667" s="5" t="s">
        <v>34</v>
      </c>
      <c r="E667" s="5" t="s">
        <v>42</v>
      </c>
      <c r="F667" s="5" t="s">
        <v>228</v>
      </c>
      <c r="H667" s="5" t="s">
        <v>2478</v>
      </c>
    </row>
    <row r="668" ht="12.75" customHeight="1">
      <c r="A668" s="5" t="s">
        <v>2336</v>
      </c>
      <c r="B668" s="5" t="s">
        <v>2492</v>
      </c>
      <c r="C668" s="5" t="s">
        <v>2493</v>
      </c>
      <c r="D668" s="5" t="s">
        <v>50</v>
      </c>
      <c r="E668" s="5" t="s">
        <v>42</v>
      </c>
      <c r="F668" s="5" t="s">
        <v>445</v>
      </c>
      <c r="G668" s="10" t="s">
        <v>72</v>
      </c>
      <c r="H668" s="5" t="s">
        <v>2334</v>
      </c>
    </row>
    <row r="669" ht="12.75" customHeight="1">
      <c r="A669" s="5" t="s">
        <v>2494</v>
      </c>
      <c r="B669" s="10" t="s">
        <v>2495</v>
      </c>
      <c r="C669" s="5" t="s">
        <v>2496</v>
      </c>
      <c r="D669" s="5" t="s">
        <v>132</v>
      </c>
      <c r="E669" s="5" t="s">
        <v>35</v>
      </c>
      <c r="F669" s="5" t="s">
        <v>616</v>
      </c>
      <c r="G669" s="10" t="s">
        <v>72</v>
      </c>
      <c r="H669" s="5" t="s">
        <v>2457</v>
      </c>
    </row>
    <row r="670" ht="12.75" customHeight="1">
      <c r="A670" s="5" t="s">
        <v>2498</v>
      </c>
      <c r="B670" s="10" t="s">
        <v>2499</v>
      </c>
      <c r="C670" s="5" t="s">
        <v>2500</v>
      </c>
      <c r="D670" s="5" t="s">
        <v>101</v>
      </c>
      <c r="E670" s="5" t="s">
        <v>42</v>
      </c>
      <c r="F670" s="5" t="s">
        <v>211</v>
      </c>
      <c r="G670" s="10" t="s">
        <v>72</v>
      </c>
      <c r="H670" s="5" t="s">
        <v>2464</v>
      </c>
    </row>
    <row r="671" ht="12.75" customHeight="1">
      <c r="A671" s="5" t="s">
        <v>2502</v>
      </c>
      <c r="B671" s="5" t="s">
        <v>2503</v>
      </c>
      <c r="C671" s="5" t="s">
        <v>2504</v>
      </c>
      <c r="D671" s="5" t="s">
        <v>201</v>
      </c>
      <c r="E671" s="5" t="s">
        <v>42</v>
      </c>
      <c r="F671" s="5" t="s">
        <v>2505</v>
      </c>
      <c r="G671" s="10" t="s">
        <v>72</v>
      </c>
    </row>
    <row r="672" ht="12.75" customHeight="1">
      <c r="A672" s="5" t="s">
        <v>2506</v>
      </c>
      <c r="B672" s="5" t="s">
        <v>2507</v>
      </c>
      <c r="C672" s="5" t="s">
        <v>2508</v>
      </c>
      <c r="D672" s="5" t="s">
        <v>34</v>
      </c>
      <c r="E672" s="5" t="s">
        <v>42</v>
      </c>
      <c r="F672" s="5" t="s">
        <v>634</v>
      </c>
      <c r="G672" s="10" t="s">
        <v>72</v>
      </c>
      <c r="H672" s="5" t="s">
        <v>2233</v>
      </c>
    </row>
    <row r="673" ht="12.75" customHeight="1">
      <c r="A673" s="5" t="s">
        <v>2511</v>
      </c>
      <c r="B673" s="5" t="s">
        <v>2512</v>
      </c>
      <c r="C673" s="5" t="s">
        <v>2513</v>
      </c>
      <c r="D673" s="5" t="s">
        <v>34</v>
      </c>
      <c r="E673" s="5" t="s">
        <v>42</v>
      </c>
      <c r="F673" s="5" t="s">
        <v>199</v>
      </c>
      <c r="G673" s="10" t="s">
        <v>72</v>
      </c>
      <c r="K673" s="5" t="s">
        <v>2514</v>
      </c>
    </row>
    <row r="674" ht="12.75" customHeight="1">
      <c r="A674" s="5" t="s">
        <v>2515</v>
      </c>
      <c r="B674" s="10" t="s">
        <v>2516</v>
      </c>
      <c r="C674" s="5" t="s">
        <v>2517</v>
      </c>
      <c r="D674" s="5" t="s">
        <v>132</v>
      </c>
      <c r="E674" s="5" t="s">
        <v>35</v>
      </c>
      <c r="F674" s="5" t="s">
        <v>868</v>
      </c>
      <c r="G674" s="10" t="s">
        <v>72</v>
      </c>
      <c r="H674" s="5" t="s">
        <v>2457</v>
      </c>
    </row>
    <row r="675" ht="12.75" customHeight="1">
      <c r="A675" s="5" t="s">
        <v>2520</v>
      </c>
      <c r="B675" s="5" t="s">
        <v>2521</v>
      </c>
      <c r="D675" s="5" t="s">
        <v>34</v>
      </c>
      <c r="E675" s="5" t="s">
        <v>35</v>
      </c>
      <c r="F675" s="5" t="s">
        <v>913</v>
      </c>
      <c r="H675" s="5" t="s">
        <v>2522</v>
      </c>
    </row>
    <row r="676" ht="12.75" customHeight="1">
      <c r="A676" s="5" t="s">
        <v>2523</v>
      </c>
      <c r="B676" s="5" t="s">
        <v>2524</v>
      </c>
      <c r="D676" s="5" t="s">
        <v>34</v>
      </c>
      <c r="E676" s="5" t="s">
        <v>42</v>
      </c>
      <c r="F676" s="5" t="s">
        <v>575</v>
      </c>
      <c r="H676" s="5" t="s">
        <v>2522</v>
      </c>
    </row>
    <row r="677" ht="12.75" customHeight="1">
      <c r="A677" s="5" t="s">
        <v>2525</v>
      </c>
      <c r="B677" s="5" t="s">
        <v>2526</v>
      </c>
      <c r="C677" s="5" t="s">
        <v>2527</v>
      </c>
      <c r="D677" s="5" t="s">
        <v>34</v>
      </c>
      <c r="E677" s="5" t="s">
        <v>35</v>
      </c>
      <c r="F677" s="5" t="s">
        <v>868</v>
      </c>
      <c r="G677" s="10" t="s">
        <v>72</v>
      </c>
    </row>
    <row r="678" ht="12.75" customHeight="1">
      <c r="A678" s="5" t="s">
        <v>2528</v>
      </c>
      <c r="B678" s="5" t="s">
        <v>2530</v>
      </c>
      <c r="C678" s="5" t="s">
        <v>2531</v>
      </c>
      <c r="D678" s="5" t="s">
        <v>74</v>
      </c>
      <c r="E678" s="5" t="s">
        <v>42</v>
      </c>
      <c r="F678" s="5" t="s">
        <v>228</v>
      </c>
      <c r="G678" s="10" t="s">
        <v>72</v>
      </c>
      <c r="H678" s="5" t="s">
        <v>2233</v>
      </c>
    </row>
    <row r="679" ht="12.75" customHeight="1">
      <c r="A679" s="5" t="s">
        <v>2533</v>
      </c>
      <c r="B679" s="5" t="s">
        <v>2534</v>
      </c>
      <c r="C679" s="5" t="s">
        <v>2242</v>
      </c>
      <c r="D679" s="5" t="s">
        <v>22</v>
      </c>
      <c r="E679" s="5" t="s">
        <v>35</v>
      </c>
      <c r="F679" s="5" t="s">
        <v>619</v>
      </c>
      <c r="H679" s="5" t="s">
        <v>2535</v>
      </c>
    </row>
    <row r="680" ht="12.75" customHeight="1">
      <c r="A680" s="5" t="s">
        <v>2536</v>
      </c>
      <c r="B680" s="5" t="s">
        <v>2537</v>
      </c>
      <c r="C680" s="5" t="s">
        <v>2242</v>
      </c>
      <c r="D680" s="5" t="s">
        <v>55</v>
      </c>
      <c r="E680" s="5" t="s">
        <v>42</v>
      </c>
      <c r="F680" s="5" t="s">
        <v>1194</v>
      </c>
      <c r="H680" s="5" t="s">
        <v>2538</v>
      </c>
    </row>
    <row r="681" ht="12.75" customHeight="1">
      <c r="A681" s="5" t="s">
        <v>2539</v>
      </c>
      <c r="B681" s="5" t="s">
        <v>2540</v>
      </c>
      <c r="C681" s="5" t="s">
        <v>2541</v>
      </c>
      <c r="D681" s="5" t="s">
        <v>34</v>
      </c>
      <c r="E681" s="5" t="s">
        <v>35</v>
      </c>
      <c r="F681" s="5" t="s">
        <v>104</v>
      </c>
      <c r="G681" s="10" t="s">
        <v>72</v>
      </c>
    </row>
    <row r="682" ht="12.75" customHeight="1">
      <c r="A682" s="5" t="s">
        <v>2542</v>
      </c>
      <c r="B682" s="5" t="s">
        <v>2544</v>
      </c>
      <c r="C682" s="5" t="s">
        <v>2541</v>
      </c>
      <c r="D682" s="5" t="s">
        <v>34</v>
      </c>
      <c r="E682" s="5" t="s">
        <v>35</v>
      </c>
      <c r="F682" s="5" t="s">
        <v>104</v>
      </c>
      <c r="G682" s="10" t="s">
        <v>72</v>
      </c>
    </row>
    <row r="683" ht="12.75" customHeight="1">
      <c r="A683" s="5" t="s">
        <v>2546</v>
      </c>
      <c r="B683" s="10" t="s">
        <v>2547</v>
      </c>
      <c r="C683" s="5" t="s">
        <v>2313</v>
      </c>
      <c r="D683" s="5" t="s">
        <v>34</v>
      </c>
      <c r="E683" s="5" t="s">
        <v>42</v>
      </c>
      <c r="F683" s="5" t="s">
        <v>599</v>
      </c>
      <c r="G683" s="10" t="s">
        <v>72</v>
      </c>
    </row>
    <row r="684" ht="12.75" customHeight="1">
      <c r="A684" s="5" t="s">
        <v>2548</v>
      </c>
      <c r="B684" s="5" t="s">
        <v>2549</v>
      </c>
      <c r="C684" s="5" t="s">
        <v>2313</v>
      </c>
      <c r="D684" s="5" t="s">
        <v>34</v>
      </c>
      <c r="E684" s="5" t="s">
        <v>42</v>
      </c>
      <c r="F684" s="5" t="s">
        <v>599</v>
      </c>
      <c r="G684" s="10" t="s">
        <v>72</v>
      </c>
    </row>
    <row r="685" ht="12.75" customHeight="1">
      <c r="A685" s="5" t="s">
        <v>2552</v>
      </c>
      <c r="B685" s="5" t="s">
        <v>2553</v>
      </c>
      <c r="C685" s="5" t="s">
        <v>2554</v>
      </c>
      <c r="D685" s="5" t="s">
        <v>137</v>
      </c>
      <c r="E685" s="5" t="s">
        <v>42</v>
      </c>
      <c r="F685" s="5" t="s">
        <v>2555</v>
      </c>
      <c r="G685" s="10" t="s">
        <v>72</v>
      </c>
      <c r="H685" s="5" t="s">
        <v>2464</v>
      </c>
      <c r="K685" s="5" t="s">
        <v>2556</v>
      </c>
    </row>
    <row r="686" ht="12.75" customHeight="1">
      <c r="A686" s="5" t="s">
        <v>2556</v>
      </c>
      <c r="B686" s="5" t="s">
        <v>2557</v>
      </c>
      <c r="C686" s="5" t="s">
        <v>2554</v>
      </c>
      <c r="D686" s="5" t="s">
        <v>137</v>
      </c>
      <c r="E686" s="5" t="s">
        <v>42</v>
      </c>
      <c r="F686" s="5" t="s">
        <v>2555</v>
      </c>
      <c r="G686" s="10" t="s">
        <v>72</v>
      </c>
      <c r="H686" s="5" t="s">
        <v>2552</v>
      </c>
    </row>
    <row r="687" ht="12.75" customHeight="1">
      <c r="A687" s="5" t="s">
        <v>2560</v>
      </c>
      <c r="B687" s="5" t="s">
        <v>2561</v>
      </c>
      <c r="C687" s="5" t="s">
        <v>2562</v>
      </c>
      <c r="D687" s="5" t="s">
        <v>94</v>
      </c>
      <c r="E687" s="5" t="s">
        <v>35</v>
      </c>
      <c r="F687" s="5" t="s">
        <v>118</v>
      </c>
      <c r="G687" s="10" t="s">
        <v>72</v>
      </c>
      <c r="H687" s="5" t="s">
        <v>2457</v>
      </c>
    </row>
    <row r="688" ht="12.75" customHeight="1">
      <c r="A688" s="5" t="s">
        <v>2563</v>
      </c>
      <c r="B688" s="5" t="s">
        <v>2564</v>
      </c>
      <c r="C688" s="5" t="s">
        <v>2565</v>
      </c>
      <c r="D688" s="5" t="s">
        <v>142</v>
      </c>
      <c r="E688" s="5" t="s">
        <v>42</v>
      </c>
      <c r="F688" s="5" t="s">
        <v>435</v>
      </c>
      <c r="G688" s="10" t="s">
        <v>72</v>
      </c>
      <c r="H688" s="5" t="s">
        <v>2464</v>
      </c>
    </row>
    <row r="689" ht="12.75" customHeight="1">
      <c r="A689" s="5" t="s">
        <v>2470</v>
      </c>
      <c r="B689" s="10" t="s">
        <v>2568</v>
      </c>
      <c r="C689" s="5" t="s">
        <v>2569</v>
      </c>
      <c r="D689" s="5" t="s">
        <v>132</v>
      </c>
      <c r="E689" s="5" t="s">
        <v>42</v>
      </c>
      <c r="F689" s="5" t="s">
        <v>65</v>
      </c>
      <c r="G689" s="10" t="s">
        <v>72</v>
      </c>
      <c r="H689" s="5" t="s">
        <v>2467</v>
      </c>
    </row>
    <row r="690" ht="12.75" customHeight="1">
      <c r="A690" s="5" t="s">
        <v>2570</v>
      </c>
      <c r="B690" s="5" t="s">
        <v>2571</v>
      </c>
      <c r="C690" s="5" t="s">
        <v>2572</v>
      </c>
      <c r="D690" s="5" t="s">
        <v>201</v>
      </c>
      <c r="E690" s="5" t="s">
        <v>42</v>
      </c>
      <c r="F690" s="5" t="s">
        <v>2239</v>
      </c>
      <c r="G690" s="10" t="s">
        <v>72</v>
      </c>
    </row>
    <row r="691" ht="12.75" customHeight="1">
      <c r="A691" s="5" t="s">
        <v>2574</v>
      </c>
      <c r="B691" s="5" t="s">
        <v>2576</v>
      </c>
      <c r="C691" s="5" t="s">
        <v>2577</v>
      </c>
      <c r="D691" s="5" t="s">
        <v>201</v>
      </c>
      <c r="E691" s="5" t="s">
        <v>42</v>
      </c>
      <c r="F691" s="5" t="s">
        <v>2578</v>
      </c>
      <c r="G691" s="10" t="s">
        <v>72</v>
      </c>
    </row>
    <row r="692" ht="12.75" customHeight="1">
      <c r="A692" s="5" t="s">
        <v>2579</v>
      </c>
      <c r="B692" s="5" t="s">
        <v>2580</v>
      </c>
      <c r="C692" s="5" t="s">
        <v>2581</v>
      </c>
      <c r="D692" s="5" t="s">
        <v>201</v>
      </c>
      <c r="E692" s="5" t="s">
        <v>42</v>
      </c>
      <c r="F692" s="5" t="s">
        <v>2582</v>
      </c>
      <c r="G692" s="10" t="s">
        <v>72</v>
      </c>
    </row>
    <row r="693" ht="12.75" customHeight="1">
      <c r="A693" s="5" t="s">
        <v>2583</v>
      </c>
      <c r="B693" s="5" t="s">
        <v>2585</v>
      </c>
      <c r="C693" s="5" t="s">
        <v>2586</v>
      </c>
      <c r="D693" s="5" t="s">
        <v>201</v>
      </c>
      <c r="E693" s="5" t="s">
        <v>42</v>
      </c>
      <c r="F693" s="5" t="s">
        <v>2505</v>
      </c>
      <c r="G693" s="10" t="s">
        <v>72</v>
      </c>
    </row>
    <row r="694" ht="12.75" customHeight="1">
      <c r="A694" s="5" t="s">
        <v>2588</v>
      </c>
      <c r="B694" s="5" t="s">
        <v>2589</v>
      </c>
      <c r="C694" s="5" t="s">
        <v>2590</v>
      </c>
      <c r="D694" s="5" t="s">
        <v>201</v>
      </c>
      <c r="E694" s="5" t="s">
        <v>42</v>
      </c>
      <c r="F694" s="5" t="s">
        <v>2239</v>
      </c>
      <c r="G694" s="10" t="s">
        <v>72</v>
      </c>
    </row>
    <row r="695" ht="12.75" customHeight="1">
      <c r="A695" s="5" t="s">
        <v>2591</v>
      </c>
      <c r="B695" s="5" t="s">
        <v>2593</v>
      </c>
      <c r="C695" s="5" t="s">
        <v>2594</v>
      </c>
      <c r="D695" s="5" t="s">
        <v>34</v>
      </c>
      <c r="E695" s="5" t="s">
        <v>42</v>
      </c>
      <c r="F695" s="5" t="s">
        <v>113</v>
      </c>
      <c r="G695" s="10" t="s">
        <v>72</v>
      </c>
      <c r="H695" s="5" t="s">
        <v>2197</v>
      </c>
    </row>
    <row r="696" ht="12.75" customHeight="1">
      <c r="A696" s="5" t="s">
        <v>2596</v>
      </c>
      <c r="B696" s="5" t="s">
        <v>2597</v>
      </c>
      <c r="C696" s="5" t="s">
        <v>2598</v>
      </c>
      <c r="D696" s="5" t="s">
        <v>34</v>
      </c>
      <c r="E696" s="5" t="s">
        <v>42</v>
      </c>
      <c r="F696" s="5" t="s">
        <v>575</v>
      </c>
      <c r="G696" s="10" t="s">
        <v>72</v>
      </c>
      <c r="H696" s="5" t="s">
        <v>2197</v>
      </c>
    </row>
    <row r="697" ht="12.75" customHeight="1">
      <c r="A697" s="5" t="s">
        <v>2600</v>
      </c>
      <c r="B697" s="10" t="s">
        <v>2601</v>
      </c>
      <c r="C697" s="5" t="s">
        <v>2603</v>
      </c>
      <c r="D697" s="5" t="s">
        <v>132</v>
      </c>
      <c r="E697" s="5" t="s">
        <v>42</v>
      </c>
      <c r="F697" s="5" t="s">
        <v>575</v>
      </c>
      <c r="G697" s="10" t="s">
        <v>72</v>
      </c>
      <c r="H697" s="5" t="s">
        <v>2604</v>
      </c>
    </row>
    <row r="698" ht="12.75" customHeight="1">
      <c r="A698" s="5" t="s">
        <v>2605</v>
      </c>
      <c r="B698" s="5" t="s">
        <v>2606</v>
      </c>
      <c r="C698" s="5" t="s">
        <v>2607</v>
      </c>
      <c r="D698" s="5" t="s">
        <v>34</v>
      </c>
      <c r="E698" s="5" t="s">
        <v>42</v>
      </c>
      <c r="F698" s="5" t="s">
        <v>83</v>
      </c>
      <c r="G698" s="10" t="s">
        <v>72</v>
      </c>
      <c r="H698" s="5" t="s">
        <v>2197</v>
      </c>
    </row>
    <row r="699" ht="12.75" customHeight="1">
      <c r="A699" s="5" t="s">
        <v>2609</v>
      </c>
      <c r="B699" s="5" t="s">
        <v>2611</v>
      </c>
      <c r="C699" s="5" t="s">
        <v>2612</v>
      </c>
      <c r="D699" s="5" t="s">
        <v>34</v>
      </c>
      <c r="E699" s="5" t="s">
        <v>42</v>
      </c>
      <c r="F699" s="5" t="s">
        <v>1991</v>
      </c>
      <c r="G699" s="10" t="s">
        <v>72</v>
      </c>
      <c r="H699" s="5" t="s">
        <v>2197</v>
      </c>
    </row>
    <row r="700" ht="12.75" customHeight="1">
      <c r="A700" s="5" t="s">
        <v>2613</v>
      </c>
      <c r="B700" s="10" t="s">
        <v>2614</v>
      </c>
      <c r="C700" s="5" t="s">
        <v>2615</v>
      </c>
      <c r="D700" s="5" t="s">
        <v>132</v>
      </c>
      <c r="E700" s="5" t="s">
        <v>42</v>
      </c>
      <c r="F700" s="5" t="s">
        <v>575</v>
      </c>
      <c r="G700" s="10" t="s">
        <v>72</v>
      </c>
      <c r="H700" s="5" t="s">
        <v>2457</v>
      </c>
    </row>
    <row r="701" ht="12.75" customHeight="1">
      <c r="A701" s="5" t="s">
        <v>2616</v>
      </c>
      <c r="B701" s="5" t="s">
        <v>2618</v>
      </c>
      <c r="C701" s="5" t="s">
        <v>2619</v>
      </c>
      <c r="D701" s="5" t="s">
        <v>34</v>
      </c>
      <c r="E701" s="5" t="s">
        <v>35</v>
      </c>
      <c r="F701" s="5" t="s">
        <v>36</v>
      </c>
    </row>
    <row r="702" ht="12.75" customHeight="1">
      <c r="A702" s="5" t="s">
        <v>2621</v>
      </c>
      <c r="B702" s="5" t="s">
        <v>2622</v>
      </c>
      <c r="C702" s="5" t="s">
        <v>2623</v>
      </c>
      <c r="D702" s="5" t="s">
        <v>34</v>
      </c>
      <c r="E702" s="5" t="s">
        <v>42</v>
      </c>
      <c r="F702" s="5" t="s">
        <v>599</v>
      </c>
    </row>
    <row r="703" ht="12.75" customHeight="1">
      <c r="A703" s="5" t="s">
        <v>2624</v>
      </c>
      <c r="B703" s="5" t="s">
        <v>2625</v>
      </c>
      <c r="C703" s="5" t="s">
        <v>2626</v>
      </c>
      <c r="D703" s="5" t="s">
        <v>74</v>
      </c>
      <c r="E703" s="5" t="s">
        <v>35</v>
      </c>
      <c r="F703" s="5" t="s">
        <v>77</v>
      </c>
    </row>
    <row r="704" ht="12.75" customHeight="1">
      <c r="A704" s="5" t="s">
        <v>2628</v>
      </c>
      <c r="B704" s="5" t="s">
        <v>2630</v>
      </c>
      <c r="C704" s="5" t="s">
        <v>2631</v>
      </c>
      <c r="D704" s="5" t="s">
        <v>38</v>
      </c>
      <c r="E704" s="5" t="s">
        <v>42</v>
      </c>
      <c r="F704" s="5" t="s">
        <v>454</v>
      </c>
    </row>
    <row r="705" ht="12.75" customHeight="1">
      <c r="A705" s="5" t="s">
        <v>2632</v>
      </c>
      <c r="B705" s="5" t="s">
        <v>2633</v>
      </c>
      <c r="D705" s="5" t="s">
        <v>34</v>
      </c>
      <c r="E705" s="5" t="s">
        <v>42</v>
      </c>
      <c r="F705" s="5" t="s">
        <v>599</v>
      </c>
    </row>
    <row r="706" ht="12.75" customHeight="1">
      <c r="A706" s="5" t="s">
        <v>2634</v>
      </c>
      <c r="B706" s="10" t="s">
        <v>2635</v>
      </c>
      <c r="C706" s="5" t="s">
        <v>2636</v>
      </c>
      <c r="D706" s="5" t="s">
        <v>150</v>
      </c>
      <c r="E706" s="5" t="s">
        <v>42</v>
      </c>
      <c r="F706" s="5" t="s">
        <v>2638</v>
      </c>
      <c r="G706" s="10" t="s">
        <v>72</v>
      </c>
      <c r="H706" s="5" t="s">
        <v>2464</v>
      </c>
    </row>
    <row r="707" ht="12.75" customHeight="1">
      <c r="A707" s="5" t="s">
        <v>2640</v>
      </c>
      <c r="B707" s="10" t="s">
        <v>2641</v>
      </c>
      <c r="C707" s="5" t="s">
        <v>2642</v>
      </c>
      <c r="D707" s="5" t="s">
        <v>46</v>
      </c>
      <c r="E707" s="5" t="s">
        <v>35</v>
      </c>
      <c r="F707" s="5" t="s">
        <v>96</v>
      </c>
      <c r="G707" s="10" t="s">
        <v>72</v>
      </c>
      <c r="H707" s="5" t="s">
        <v>2643</v>
      </c>
    </row>
    <row r="708" ht="12.75" customHeight="1">
      <c r="A708" s="5" t="s">
        <v>2644</v>
      </c>
      <c r="B708" s="10" t="s">
        <v>2645</v>
      </c>
      <c r="C708" s="5" t="s">
        <v>2646</v>
      </c>
      <c r="D708" s="5" t="s">
        <v>122</v>
      </c>
      <c r="E708" s="5" t="s">
        <v>35</v>
      </c>
      <c r="F708" s="5" t="s">
        <v>267</v>
      </c>
      <c r="G708" s="10" t="s">
        <v>72</v>
      </c>
      <c r="H708" s="5" t="s">
        <v>2457</v>
      </c>
    </row>
    <row r="709" ht="12.75" customHeight="1">
      <c r="A709" s="5" t="s">
        <v>2648</v>
      </c>
      <c r="B709" s="5" t="s">
        <v>2650</v>
      </c>
      <c r="C709" s="5" t="s">
        <v>2651</v>
      </c>
      <c r="D709" s="5" t="s">
        <v>34</v>
      </c>
      <c r="E709" s="5" t="s">
        <v>35</v>
      </c>
      <c r="F709" s="5" t="s">
        <v>2652</v>
      </c>
      <c r="G709" s="10" t="s">
        <v>72</v>
      </c>
    </row>
    <row r="710" ht="12.75" customHeight="1">
      <c r="A710" s="5" t="s">
        <v>2341</v>
      </c>
      <c r="B710" s="5" t="s">
        <v>2653</v>
      </c>
      <c r="C710" s="5" t="s">
        <v>2654</v>
      </c>
      <c r="D710" s="5" t="s">
        <v>22</v>
      </c>
      <c r="E710" s="5" t="s">
        <v>35</v>
      </c>
      <c r="F710" s="5" t="s">
        <v>1776</v>
      </c>
      <c r="G710" s="10" t="s">
        <v>72</v>
      </c>
      <c r="H710" s="5" t="s">
        <v>2337</v>
      </c>
    </row>
    <row r="711" ht="12.75" customHeight="1">
      <c r="A711" s="5" t="s">
        <v>2655</v>
      </c>
      <c r="B711" s="5" t="s">
        <v>2657</v>
      </c>
      <c r="D711" s="5" t="s">
        <v>822</v>
      </c>
      <c r="E711" s="5" t="s">
        <v>42</v>
      </c>
      <c r="F711" s="5" t="s">
        <v>454</v>
      </c>
    </row>
    <row r="712" ht="12.75" customHeight="1">
      <c r="A712" s="5" t="s">
        <v>2659</v>
      </c>
      <c r="B712" s="10" t="s">
        <v>2660</v>
      </c>
      <c r="C712" s="5" t="s">
        <v>2661</v>
      </c>
      <c r="D712" s="5" t="s">
        <v>132</v>
      </c>
      <c r="E712" s="5" t="s">
        <v>42</v>
      </c>
      <c r="F712" s="5" t="s">
        <v>54</v>
      </c>
      <c r="G712" s="10" t="s">
        <v>72</v>
      </c>
      <c r="H712" s="5" t="s">
        <v>2464</v>
      </c>
    </row>
    <row r="713" ht="12.75" customHeight="1">
      <c r="A713" s="5" t="s">
        <v>2662</v>
      </c>
      <c r="B713" s="10" t="s">
        <v>2663</v>
      </c>
      <c r="C713" s="5" t="s">
        <v>2664</v>
      </c>
      <c r="D713" s="5" t="s">
        <v>80</v>
      </c>
      <c r="E713" s="5" t="s">
        <v>35</v>
      </c>
      <c r="F713" s="5" t="s">
        <v>1143</v>
      </c>
      <c r="G713" s="10" t="s">
        <v>72</v>
      </c>
    </row>
    <row r="714" ht="12.75" customHeight="1">
      <c r="A714" s="5" t="s">
        <v>2666</v>
      </c>
      <c r="B714" s="5" t="s">
        <v>2667</v>
      </c>
      <c r="C714" s="5" t="s">
        <v>135</v>
      </c>
      <c r="D714" s="5" t="s">
        <v>74</v>
      </c>
      <c r="E714" s="5" t="s">
        <v>35</v>
      </c>
      <c r="F714" s="5" t="s">
        <v>90</v>
      </c>
    </row>
    <row r="715" ht="12.75" customHeight="1">
      <c r="A715" s="5" t="s">
        <v>2669</v>
      </c>
      <c r="B715" s="5" t="s">
        <v>2670</v>
      </c>
      <c r="C715" s="5" t="s">
        <v>2671</v>
      </c>
      <c r="D715" s="5" t="s">
        <v>34</v>
      </c>
      <c r="E715" s="5" t="s">
        <v>35</v>
      </c>
      <c r="F715" s="5" t="s">
        <v>2672</v>
      </c>
      <c r="G715" s="10" t="s">
        <v>72</v>
      </c>
    </row>
    <row r="716" ht="12.75" customHeight="1">
      <c r="A716" s="5" t="s">
        <v>2673</v>
      </c>
      <c r="B716" s="5" t="s">
        <v>2674</v>
      </c>
      <c r="C716" s="5" t="s">
        <v>2675</v>
      </c>
      <c r="D716" s="5" t="s">
        <v>38</v>
      </c>
      <c r="E716" s="5" t="s">
        <v>42</v>
      </c>
      <c r="F716" s="5" t="s">
        <v>572</v>
      </c>
      <c r="H716" s="5" t="s">
        <v>2676</v>
      </c>
    </row>
    <row r="717" ht="12.75" customHeight="1">
      <c r="A717" s="5" t="s">
        <v>2677</v>
      </c>
      <c r="B717" s="5" t="s">
        <v>2678</v>
      </c>
      <c r="C717" s="5" t="s">
        <v>2679</v>
      </c>
      <c r="D717" s="5" t="s">
        <v>34</v>
      </c>
      <c r="E717" s="5" t="s">
        <v>42</v>
      </c>
      <c r="F717" s="5" t="s">
        <v>228</v>
      </c>
      <c r="G717" s="10" t="s">
        <v>72</v>
      </c>
      <c r="H717" s="5" t="s">
        <v>2233</v>
      </c>
    </row>
    <row r="718" ht="12.75" customHeight="1">
      <c r="A718" s="5" t="s">
        <v>2682</v>
      </c>
      <c r="B718" s="5" t="s">
        <v>2683</v>
      </c>
      <c r="C718" s="5" t="s">
        <v>2684</v>
      </c>
      <c r="D718" s="5" t="s">
        <v>116</v>
      </c>
      <c r="E718" s="5" t="s">
        <v>35</v>
      </c>
      <c r="F718" s="5" t="s">
        <v>454</v>
      </c>
      <c r="G718" s="10" t="s">
        <v>72</v>
      </c>
    </row>
    <row r="719" ht="12.75" customHeight="1">
      <c r="A719" s="5" t="s">
        <v>2676</v>
      </c>
      <c r="B719" s="5" t="s">
        <v>2685</v>
      </c>
      <c r="D719" s="5" t="s">
        <v>38</v>
      </c>
      <c r="E719" s="5" t="s">
        <v>42</v>
      </c>
      <c r="F719" s="5" t="s">
        <v>572</v>
      </c>
      <c r="H719" s="5" t="s">
        <v>2306</v>
      </c>
      <c r="K719" s="5" t="s">
        <v>2673</v>
      </c>
    </row>
    <row r="720" ht="12.75" customHeight="1">
      <c r="A720" s="5" t="s">
        <v>2688</v>
      </c>
      <c r="B720" s="5" t="s">
        <v>2689</v>
      </c>
      <c r="C720" s="5" t="s">
        <v>2690</v>
      </c>
      <c r="D720" s="5" t="s">
        <v>34</v>
      </c>
      <c r="E720" s="5" t="s">
        <v>42</v>
      </c>
      <c r="F720" s="5" t="s">
        <v>162</v>
      </c>
      <c r="H720" s="5" t="s">
        <v>2691</v>
      </c>
      <c r="I720" s="10" t="s">
        <v>72</v>
      </c>
    </row>
    <row r="721" ht="12.75" customHeight="1">
      <c r="A721" s="5" t="s">
        <v>2692</v>
      </c>
      <c r="B721" s="5" t="s">
        <v>2693</v>
      </c>
      <c r="C721" s="5" t="s">
        <v>2694</v>
      </c>
      <c r="D721" s="5" t="s">
        <v>34</v>
      </c>
      <c r="E721" s="5" t="s">
        <v>42</v>
      </c>
      <c r="F721" s="5" t="s">
        <v>610</v>
      </c>
      <c r="G721" s="10" t="s">
        <v>72</v>
      </c>
      <c r="L721" s="5" t="s">
        <v>2695</v>
      </c>
      <c r="M721" s="5" t="s">
        <v>2695</v>
      </c>
    </row>
    <row r="722" ht="12.75" customHeight="1">
      <c r="A722" s="5" t="s">
        <v>2698</v>
      </c>
      <c r="B722" s="10" t="s">
        <v>2699</v>
      </c>
      <c r="C722" s="5" t="s">
        <v>2700</v>
      </c>
      <c r="D722" s="5" t="s">
        <v>116</v>
      </c>
      <c r="E722" s="5" t="s">
        <v>42</v>
      </c>
      <c r="F722" s="5" t="s">
        <v>2701</v>
      </c>
      <c r="G722" s="10" t="s">
        <v>72</v>
      </c>
      <c r="H722" s="5" t="s">
        <v>2464</v>
      </c>
    </row>
    <row r="723" ht="12.75" customHeight="1">
      <c r="A723" s="5" t="s">
        <v>2702</v>
      </c>
      <c r="B723" s="5" t="s">
        <v>2703</v>
      </c>
      <c r="D723" s="5" t="s">
        <v>453</v>
      </c>
      <c r="E723" s="5" t="s">
        <v>35</v>
      </c>
      <c r="F723" s="5" t="s">
        <v>454</v>
      </c>
    </row>
    <row r="724" ht="12.75" customHeight="1">
      <c r="A724" s="5" t="s">
        <v>2705</v>
      </c>
      <c r="B724" s="5" t="s">
        <v>2707</v>
      </c>
      <c r="D724" s="5" t="s">
        <v>453</v>
      </c>
      <c r="E724" s="5" t="s">
        <v>35</v>
      </c>
      <c r="F724" s="5" t="s">
        <v>454</v>
      </c>
    </row>
    <row r="725" ht="12.75" customHeight="1">
      <c r="A725" s="5" t="s">
        <v>2708</v>
      </c>
      <c r="B725" s="5" t="s">
        <v>2709</v>
      </c>
      <c r="D725" s="5" t="s">
        <v>453</v>
      </c>
      <c r="E725" s="5" t="s">
        <v>35</v>
      </c>
      <c r="F725" s="5" t="s">
        <v>454</v>
      </c>
    </row>
    <row r="726" ht="12.75" customHeight="1">
      <c r="A726" s="5" t="s">
        <v>2712</v>
      </c>
      <c r="B726" s="5" t="s">
        <v>2713</v>
      </c>
      <c r="D726" s="5" t="s">
        <v>453</v>
      </c>
      <c r="E726" s="5" t="s">
        <v>35</v>
      </c>
      <c r="F726" s="5" t="s">
        <v>454</v>
      </c>
    </row>
    <row r="727" ht="12.75" customHeight="1">
      <c r="A727" s="5" t="s">
        <v>2714</v>
      </c>
      <c r="B727" s="5" t="s">
        <v>2715</v>
      </c>
      <c r="D727" s="5" t="s">
        <v>453</v>
      </c>
      <c r="E727" s="5" t="s">
        <v>35</v>
      </c>
      <c r="F727" s="5" t="s">
        <v>454</v>
      </c>
    </row>
    <row r="728" ht="12.75" customHeight="1">
      <c r="A728" s="5" t="s">
        <v>2718</v>
      </c>
      <c r="B728" s="5" t="s">
        <v>2719</v>
      </c>
      <c r="D728" s="5" t="s">
        <v>453</v>
      </c>
      <c r="E728" s="5" t="s">
        <v>35</v>
      </c>
      <c r="F728" s="5" t="s">
        <v>454</v>
      </c>
    </row>
    <row r="729" ht="12.75" customHeight="1">
      <c r="A729" s="5" t="s">
        <v>2720</v>
      </c>
      <c r="B729" s="5" t="s">
        <v>2721</v>
      </c>
      <c r="D729" s="5" t="s">
        <v>453</v>
      </c>
      <c r="E729" s="5" t="s">
        <v>35</v>
      </c>
      <c r="F729" s="5" t="s">
        <v>454</v>
      </c>
    </row>
    <row r="730" ht="12.75" customHeight="1">
      <c r="A730" s="5" t="s">
        <v>2722</v>
      </c>
      <c r="B730" s="5" t="s">
        <v>2723</v>
      </c>
      <c r="D730" s="5" t="s">
        <v>453</v>
      </c>
      <c r="E730" s="5" t="s">
        <v>35</v>
      </c>
      <c r="F730" s="5" t="s">
        <v>454</v>
      </c>
    </row>
    <row r="731" ht="12.75" customHeight="1">
      <c r="A731" s="5" t="s">
        <v>2726</v>
      </c>
      <c r="B731" s="5" t="s">
        <v>2727</v>
      </c>
      <c r="D731" s="5" t="s">
        <v>453</v>
      </c>
      <c r="E731" s="5" t="s">
        <v>35</v>
      </c>
      <c r="F731" s="5" t="s">
        <v>454</v>
      </c>
    </row>
    <row r="732" ht="12.75" customHeight="1">
      <c r="A732" s="5" t="s">
        <v>2728</v>
      </c>
      <c r="B732" s="5" t="s">
        <v>2729</v>
      </c>
      <c r="D732" s="5" t="s">
        <v>453</v>
      </c>
      <c r="E732" s="5" t="s">
        <v>35</v>
      </c>
      <c r="F732" s="5" t="s">
        <v>454</v>
      </c>
    </row>
    <row r="733" ht="12.75" customHeight="1">
      <c r="A733" s="5" t="s">
        <v>2730</v>
      </c>
      <c r="B733" s="5" t="s">
        <v>2731</v>
      </c>
      <c r="D733" s="5" t="s">
        <v>453</v>
      </c>
      <c r="E733" s="5" t="s">
        <v>42</v>
      </c>
      <c r="F733" s="5" t="s">
        <v>454</v>
      </c>
    </row>
    <row r="734" ht="12.75" customHeight="1">
      <c r="A734" s="5" t="s">
        <v>2734</v>
      </c>
      <c r="B734" s="5" t="s">
        <v>2735</v>
      </c>
      <c r="D734" s="5" t="s">
        <v>453</v>
      </c>
      <c r="E734" s="5" t="s">
        <v>42</v>
      </c>
      <c r="F734" s="5" t="s">
        <v>454</v>
      </c>
    </row>
    <row r="735" ht="12.75" customHeight="1">
      <c r="A735" s="5" t="s">
        <v>2736</v>
      </c>
      <c r="B735" s="5" t="s">
        <v>2737</v>
      </c>
      <c r="D735" s="5" t="s">
        <v>453</v>
      </c>
      <c r="E735" s="5" t="s">
        <v>42</v>
      </c>
      <c r="F735" s="5" t="s">
        <v>454</v>
      </c>
    </row>
    <row r="736" ht="12.75" customHeight="1">
      <c r="A736" s="5" t="s">
        <v>2738</v>
      </c>
      <c r="B736" s="5" t="s">
        <v>2739</v>
      </c>
      <c r="D736" s="5" t="s">
        <v>453</v>
      </c>
      <c r="E736" s="5" t="s">
        <v>42</v>
      </c>
      <c r="F736" s="5" t="s">
        <v>454</v>
      </c>
    </row>
    <row r="737" ht="12.75" customHeight="1">
      <c r="A737" s="5" t="s">
        <v>2742</v>
      </c>
      <c r="B737" s="5" t="s">
        <v>2743</v>
      </c>
      <c r="D737" s="5" t="s">
        <v>453</v>
      </c>
      <c r="E737" s="5" t="s">
        <v>42</v>
      </c>
      <c r="F737" s="5" t="s">
        <v>454</v>
      </c>
    </row>
    <row r="738" ht="12.75" customHeight="1">
      <c r="A738" s="5" t="s">
        <v>2744</v>
      </c>
      <c r="B738" s="5" t="s">
        <v>2745</v>
      </c>
      <c r="D738" s="5" t="s">
        <v>453</v>
      </c>
      <c r="E738" s="5" t="s">
        <v>42</v>
      </c>
      <c r="F738" s="5" t="s">
        <v>454</v>
      </c>
    </row>
    <row r="739" ht="12.75" customHeight="1">
      <c r="A739" s="5" t="s">
        <v>2746</v>
      </c>
      <c r="B739" s="5" t="s">
        <v>2747</v>
      </c>
      <c r="D739" s="5" t="s">
        <v>453</v>
      </c>
      <c r="E739" s="5" t="s">
        <v>42</v>
      </c>
      <c r="F739" s="5" t="s">
        <v>454</v>
      </c>
    </row>
    <row r="740" ht="12.75" customHeight="1">
      <c r="A740" s="5" t="s">
        <v>2750</v>
      </c>
      <c r="B740" s="5" t="s">
        <v>2751</v>
      </c>
      <c r="D740" s="5" t="s">
        <v>453</v>
      </c>
      <c r="E740" s="5" t="s">
        <v>42</v>
      </c>
      <c r="F740" s="5" t="s">
        <v>454</v>
      </c>
    </row>
    <row r="741" ht="12.75" customHeight="1">
      <c r="A741" s="5" t="s">
        <v>2752</v>
      </c>
      <c r="B741" s="5" t="s">
        <v>2753</v>
      </c>
      <c r="D741" s="5" t="s">
        <v>453</v>
      </c>
      <c r="E741" s="5" t="s">
        <v>42</v>
      </c>
      <c r="F741" s="5" t="s">
        <v>454</v>
      </c>
    </row>
    <row r="742" ht="12.75" customHeight="1">
      <c r="A742" s="5" t="s">
        <v>2754</v>
      </c>
      <c r="B742" s="5" t="s">
        <v>2755</v>
      </c>
      <c r="D742" s="5" t="s">
        <v>453</v>
      </c>
      <c r="E742" s="5" t="s">
        <v>42</v>
      </c>
      <c r="F742" s="5" t="s">
        <v>454</v>
      </c>
    </row>
    <row r="743" ht="12.75" customHeight="1">
      <c r="A743" s="5" t="s">
        <v>2756</v>
      </c>
      <c r="B743" s="5" t="s">
        <v>2757</v>
      </c>
      <c r="D743" s="5" t="s">
        <v>453</v>
      </c>
      <c r="E743" s="5" t="s">
        <v>42</v>
      </c>
      <c r="F743" s="5" t="s">
        <v>454</v>
      </c>
    </row>
    <row r="744" ht="12.75" customHeight="1">
      <c r="A744" s="5" t="s">
        <v>2759</v>
      </c>
      <c r="B744" s="5" t="s">
        <v>2760</v>
      </c>
      <c r="D744" s="5" t="s">
        <v>453</v>
      </c>
      <c r="E744" s="5" t="s">
        <v>42</v>
      </c>
      <c r="F744" s="5" t="s">
        <v>454</v>
      </c>
    </row>
    <row r="745" ht="12.75" customHeight="1">
      <c r="A745" s="5" t="s">
        <v>2761</v>
      </c>
      <c r="B745" s="5" t="s">
        <v>2763</v>
      </c>
      <c r="D745" s="5" t="s">
        <v>453</v>
      </c>
      <c r="E745" s="5" t="s">
        <v>42</v>
      </c>
      <c r="F745" s="5" t="s">
        <v>454</v>
      </c>
    </row>
    <row r="746" ht="12.75" customHeight="1">
      <c r="A746" s="5" t="s">
        <v>2695</v>
      </c>
      <c r="B746" s="5" t="s">
        <v>2764</v>
      </c>
      <c r="D746" s="5" t="s">
        <v>34</v>
      </c>
      <c r="E746" s="5" t="s">
        <v>42</v>
      </c>
      <c r="F746" s="5" t="s">
        <v>610</v>
      </c>
      <c r="G746" s="10" t="s">
        <v>72</v>
      </c>
      <c r="H746" s="5" t="s">
        <v>2692</v>
      </c>
      <c r="I746" s="10" t="s">
        <v>72</v>
      </c>
    </row>
    <row r="747" ht="12.75" customHeight="1">
      <c r="A747" s="5" t="s">
        <v>2253</v>
      </c>
      <c r="B747" s="5" t="s">
        <v>2765</v>
      </c>
      <c r="D747" s="5" t="s">
        <v>34</v>
      </c>
      <c r="E747" s="5" t="s">
        <v>42</v>
      </c>
      <c r="F747" s="5" t="s">
        <v>720</v>
      </c>
      <c r="H747" s="5" t="s">
        <v>2249</v>
      </c>
      <c r="I747" s="10" t="s">
        <v>72</v>
      </c>
    </row>
    <row r="748" ht="12.75" customHeight="1">
      <c r="A748" s="5" t="s">
        <v>2256</v>
      </c>
      <c r="B748" s="5" t="s">
        <v>2768</v>
      </c>
      <c r="D748" s="5" t="s">
        <v>34</v>
      </c>
      <c r="E748" s="5" t="s">
        <v>35</v>
      </c>
      <c r="F748" s="5" t="s">
        <v>616</v>
      </c>
      <c r="H748" s="5" t="s">
        <v>2254</v>
      </c>
      <c r="I748" s="10" t="s">
        <v>72</v>
      </c>
    </row>
    <row r="749" ht="12.75" customHeight="1">
      <c r="A749" s="5" t="s">
        <v>2769</v>
      </c>
      <c r="B749" s="5" t="s">
        <v>2770</v>
      </c>
      <c r="C749" s="5" t="s">
        <v>877</v>
      </c>
      <c r="D749" s="5" t="s">
        <v>80</v>
      </c>
      <c r="E749" s="5" t="s">
        <v>42</v>
      </c>
      <c r="F749" s="5" t="s">
        <v>2771</v>
      </c>
      <c r="H749" s="5" t="s">
        <v>788</v>
      </c>
    </row>
    <row r="750" ht="12.75" customHeight="1">
      <c r="A750" s="5" t="s">
        <v>2772</v>
      </c>
      <c r="B750" s="5" t="s">
        <v>2773</v>
      </c>
      <c r="C750" s="5" t="s">
        <v>2774</v>
      </c>
      <c r="D750" s="5" t="s">
        <v>34</v>
      </c>
      <c r="E750" s="5" t="s">
        <v>42</v>
      </c>
      <c r="F750" s="5" t="s">
        <v>65</v>
      </c>
      <c r="H750" s="5" t="s">
        <v>788</v>
      </c>
      <c r="L750" s="5" t="s">
        <v>2777</v>
      </c>
    </row>
    <row r="751" ht="12.75" customHeight="1">
      <c r="A751" s="5" t="s">
        <v>2777</v>
      </c>
      <c r="B751" s="5" t="s">
        <v>2778</v>
      </c>
      <c r="D751" s="5" t="s">
        <v>34</v>
      </c>
      <c r="E751" s="5" t="s">
        <v>42</v>
      </c>
      <c r="F751" s="5" t="s">
        <v>65</v>
      </c>
      <c r="H751" s="5" t="s">
        <v>2772</v>
      </c>
      <c r="I751" s="10" t="s">
        <v>72</v>
      </c>
    </row>
    <row r="752" ht="12.75" customHeight="1">
      <c r="A752" s="5" t="s">
        <v>2779</v>
      </c>
      <c r="B752" s="10" t="s">
        <v>2780</v>
      </c>
      <c r="C752" s="5" t="s">
        <v>2781</v>
      </c>
      <c r="D752" s="5" t="s">
        <v>34</v>
      </c>
      <c r="E752" s="5" t="s">
        <v>42</v>
      </c>
      <c r="F752" s="5" t="s">
        <v>720</v>
      </c>
      <c r="G752" s="10" t="s">
        <v>72</v>
      </c>
      <c r="H752" s="5" t="s">
        <v>2782</v>
      </c>
    </row>
    <row r="753" ht="12.75" customHeight="1">
      <c r="A753" s="5" t="s">
        <v>2784</v>
      </c>
      <c r="B753" s="5" t="s">
        <v>2786</v>
      </c>
      <c r="D753" s="5" t="s">
        <v>74</v>
      </c>
      <c r="E753" s="5" t="s">
        <v>35</v>
      </c>
      <c r="F753" s="5" t="s">
        <v>267</v>
      </c>
      <c r="G753" s="10" t="s">
        <v>72</v>
      </c>
    </row>
    <row r="754" ht="12.75" customHeight="1">
      <c r="A754" s="5" t="s">
        <v>2787</v>
      </c>
      <c r="B754" s="5" t="s">
        <v>2788</v>
      </c>
      <c r="D754" s="5" t="s">
        <v>50</v>
      </c>
      <c r="E754" s="5" t="s">
        <v>42</v>
      </c>
      <c r="F754" s="5" t="s">
        <v>720</v>
      </c>
      <c r="G754" s="10" t="s">
        <v>72</v>
      </c>
    </row>
    <row r="755" ht="12.75" customHeight="1">
      <c r="A755" s="5" t="s">
        <v>2789</v>
      </c>
      <c r="B755" s="10" t="s">
        <v>2790</v>
      </c>
      <c r="D755" s="5" t="s">
        <v>34</v>
      </c>
      <c r="E755" s="5" t="s">
        <v>42</v>
      </c>
      <c r="F755" s="5" t="s">
        <v>599</v>
      </c>
      <c r="G755" s="10" t="s">
        <v>72</v>
      </c>
    </row>
    <row r="756" ht="12.75" customHeight="1">
      <c r="A756" s="5" t="s">
        <v>2792</v>
      </c>
      <c r="B756" s="5" t="s">
        <v>2793</v>
      </c>
      <c r="C756" s="5" t="s">
        <v>2795</v>
      </c>
      <c r="D756" s="5" t="s">
        <v>34</v>
      </c>
      <c r="E756" s="5" t="s">
        <v>42</v>
      </c>
      <c r="F756" s="5" t="s">
        <v>167</v>
      </c>
    </row>
    <row r="757" ht="12.75" customHeight="1">
      <c r="A757" s="5" t="s">
        <v>2796</v>
      </c>
      <c r="B757" s="5" t="s">
        <v>2797</v>
      </c>
      <c r="C757" s="5" t="s">
        <v>2798</v>
      </c>
      <c r="D757" s="5" t="s">
        <v>34</v>
      </c>
      <c r="E757" s="5" t="s">
        <v>35</v>
      </c>
      <c r="F757" s="5" t="s">
        <v>713</v>
      </c>
      <c r="G757" s="10" t="s">
        <v>72</v>
      </c>
    </row>
    <row r="758" ht="12.75" customHeight="1">
      <c r="A758" s="5" t="s">
        <v>2799</v>
      </c>
      <c r="B758" s="5" t="s">
        <v>2800</v>
      </c>
      <c r="C758" s="5" t="s">
        <v>2801</v>
      </c>
      <c r="D758" s="5" t="s">
        <v>30</v>
      </c>
      <c r="E758" s="5" t="s">
        <v>42</v>
      </c>
      <c r="F758" s="5" t="s">
        <v>395</v>
      </c>
      <c r="H758" s="5" t="s">
        <v>2803</v>
      </c>
    </row>
    <row r="759" ht="12.75" customHeight="1">
      <c r="A759" s="5" t="s">
        <v>2805</v>
      </c>
      <c r="B759" s="5" t="s">
        <v>2806</v>
      </c>
      <c r="C759" s="5" t="s">
        <v>2807</v>
      </c>
      <c r="D759" s="5" t="s">
        <v>2808</v>
      </c>
      <c r="E759" s="5" t="s">
        <v>42</v>
      </c>
      <c r="F759" s="5" t="s">
        <v>454</v>
      </c>
    </row>
    <row r="760" ht="12.75" customHeight="1">
      <c r="A760" s="5" t="s">
        <v>2809</v>
      </c>
      <c r="B760" s="5" t="s">
        <v>2810</v>
      </c>
      <c r="C760" s="5" t="s">
        <v>2811</v>
      </c>
      <c r="D760" s="5" t="s">
        <v>2812</v>
      </c>
      <c r="E760" s="5" t="s">
        <v>42</v>
      </c>
      <c r="F760" s="5" t="s">
        <v>454</v>
      </c>
    </row>
    <row r="761" ht="12.75" customHeight="1">
      <c r="A761" s="5" t="s">
        <v>2813</v>
      </c>
      <c r="B761" s="5" t="s">
        <v>2814</v>
      </c>
      <c r="C761" s="5" t="s">
        <v>2815</v>
      </c>
      <c r="D761" s="5" t="s">
        <v>2812</v>
      </c>
      <c r="E761" s="5" t="s">
        <v>42</v>
      </c>
      <c r="F761" s="5" t="s">
        <v>454</v>
      </c>
    </row>
    <row r="762" ht="12.75" customHeight="1">
      <c r="A762" s="5" t="s">
        <v>2818</v>
      </c>
      <c r="B762" s="10" t="s">
        <v>2819</v>
      </c>
      <c r="C762" s="5" t="s">
        <v>2820</v>
      </c>
      <c r="D762" s="5" t="s">
        <v>30</v>
      </c>
      <c r="E762" s="5" t="s">
        <v>42</v>
      </c>
      <c r="F762" s="5" t="s">
        <v>2701</v>
      </c>
    </row>
    <row r="763" ht="12.75" customHeight="1">
      <c r="A763" s="5" t="s">
        <v>2821</v>
      </c>
      <c r="B763" s="5" t="s">
        <v>2822</v>
      </c>
      <c r="C763" s="5" t="s">
        <v>2823</v>
      </c>
      <c r="D763" s="5" t="s">
        <v>34</v>
      </c>
      <c r="E763" s="5" t="s">
        <v>35</v>
      </c>
      <c r="F763" s="5" t="s">
        <v>77</v>
      </c>
    </row>
    <row r="764" ht="12.75" customHeight="1">
      <c r="A764" s="5" t="s">
        <v>2824</v>
      </c>
      <c r="B764" s="5" t="s">
        <v>2825</v>
      </c>
      <c r="C764" s="5" t="s">
        <v>2826</v>
      </c>
      <c r="D764" s="5" t="s">
        <v>22</v>
      </c>
      <c r="E764" s="5" t="s">
        <v>35</v>
      </c>
      <c r="F764" s="5" t="s">
        <v>619</v>
      </c>
    </row>
    <row r="765" ht="12.75" customHeight="1">
      <c r="A765" s="5" t="s">
        <v>2828</v>
      </c>
      <c r="B765" s="5" t="s">
        <v>2829</v>
      </c>
      <c r="D765" s="5" t="s">
        <v>822</v>
      </c>
      <c r="E765" s="5" t="s">
        <v>42</v>
      </c>
      <c r="F765" s="5" t="s">
        <v>454</v>
      </c>
    </row>
    <row r="766" ht="12.75" customHeight="1">
      <c r="A766" s="5" t="s">
        <v>2831</v>
      </c>
      <c r="B766" s="5" t="s">
        <v>2832</v>
      </c>
      <c r="D766" s="5" t="s">
        <v>822</v>
      </c>
      <c r="E766" s="5" t="s">
        <v>42</v>
      </c>
      <c r="F766" s="5" t="s">
        <v>454</v>
      </c>
    </row>
    <row r="767" ht="12.75" customHeight="1">
      <c r="A767" s="5" t="s">
        <v>2833</v>
      </c>
      <c r="B767" s="5" t="s">
        <v>2834</v>
      </c>
      <c r="D767" s="5" t="s">
        <v>822</v>
      </c>
      <c r="E767" s="5" t="s">
        <v>42</v>
      </c>
      <c r="F767" s="5" t="s">
        <v>454</v>
      </c>
    </row>
    <row r="768" ht="12.75" customHeight="1">
      <c r="A768" s="5" t="s">
        <v>2835</v>
      </c>
      <c r="B768" s="5" t="s">
        <v>2836</v>
      </c>
      <c r="C768" s="5" t="s">
        <v>2837</v>
      </c>
      <c r="D768" s="5" t="s">
        <v>30</v>
      </c>
      <c r="E768" s="5" t="s">
        <v>42</v>
      </c>
      <c r="F768" s="5" t="s">
        <v>157</v>
      </c>
      <c r="H768" s="5" t="s">
        <v>2838</v>
      </c>
      <c r="I768" s="10" t="s">
        <v>72</v>
      </c>
    </row>
    <row r="769" ht="12.75" customHeight="1">
      <c r="A769" s="5" t="s">
        <v>2840</v>
      </c>
      <c r="B769" s="5" t="s">
        <v>2842</v>
      </c>
      <c r="C769" s="5" t="s">
        <v>2843</v>
      </c>
      <c r="D769" s="5" t="s">
        <v>34</v>
      </c>
      <c r="E769" s="5" t="s">
        <v>35</v>
      </c>
      <c r="F769" s="5" t="s">
        <v>278</v>
      </c>
    </row>
    <row r="770" ht="12.75" customHeight="1">
      <c r="A770" s="5" t="s">
        <v>2844</v>
      </c>
      <c r="B770" s="5" t="s">
        <v>2845</v>
      </c>
      <c r="C770" s="5" t="s">
        <v>2846</v>
      </c>
      <c r="D770" s="5" t="s">
        <v>34</v>
      </c>
      <c r="E770" s="5" t="s">
        <v>42</v>
      </c>
      <c r="F770" s="5" t="s">
        <v>65</v>
      </c>
      <c r="G770" s="10" t="s">
        <v>72</v>
      </c>
    </row>
    <row r="771" ht="12.75" customHeight="1">
      <c r="A771" s="5" t="s">
        <v>2847</v>
      </c>
      <c r="B771" s="5" t="s">
        <v>2848</v>
      </c>
      <c r="C771" s="5" t="s">
        <v>2849</v>
      </c>
      <c r="D771" s="5" t="s">
        <v>34</v>
      </c>
      <c r="E771" s="5" t="s">
        <v>35</v>
      </c>
      <c r="F771" s="5" t="s">
        <v>616</v>
      </c>
      <c r="G771" s="10" t="s">
        <v>72</v>
      </c>
    </row>
    <row r="772" ht="12.75" customHeight="1">
      <c r="A772" s="5" t="s">
        <v>2852</v>
      </c>
      <c r="B772" s="5" t="s">
        <v>2853</v>
      </c>
      <c r="C772" s="5" t="s">
        <v>2854</v>
      </c>
      <c r="D772" s="5" t="s">
        <v>34</v>
      </c>
      <c r="E772" s="5" t="s">
        <v>42</v>
      </c>
      <c r="F772" s="5" t="s">
        <v>43</v>
      </c>
      <c r="G772" s="10" t="s">
        <v>72</v>
      </c>
    </row>
    <row r="773" ht="12.75" customHeight="1">
      <c r="A773" s="5" t="s">
        <v>2855</v>
      </c>
      <c r="B773" s="5" t="s">
        <v>2856</v>
      </c>
      <c r="C773" s="5" t="s">
        <v>2857</v>
      </c>
      <c r="D773" s="5" t="s">
        <v>34</v>
      </c>
      <c r="E773" s="5" t="s">
        <v>35</v>
      </c>
      <c r="F773" s="5" t="s">
        <v>172</v>
      </c>
      <c r="G773" s="10" t="s">
        <v>72</v>
      </c>
    </row>
    <row r="774" ht="12.75" customHeight="1">
      <c r="A774" s="5" t="s">
        <v>2858</v>
      </c>
      <c r="B774" s="5" t="s">
        <v>2860</v>
      </c>
      <c r="C774" s="5" t="s">
        <v>2242</v>
      </c>
      <c r="D774" s="5" t="s">
        <v>34</v>
      </c>
      <c r="E774" s="5" t="s">
        <v>42</v>
      </c>
      <c r="F774" s="5" t="s">
        <v>572</v>
      </c>
      <c r="H774" s="5" t="s">
        <v>2862</v>
      </c>
      <c r="I774" s="10" t="s">
        <v>72</v>
      </c>
    </row>
    <row r="775" ht="12.75" customHeight="1">
      <c r="A775" s="5" t="s">
        <v>2863</v>
      </c>
      <c r="B775" s="5" t="s">
        <v>2864</v>
      </c>
      <c r="C775" s="5" t="s">
        <v>2865</v>
      </c>
      <c r="D775" s="5" t="s">
        <v>30</v>
      </c>
      <c r="E775" s="5" t="s">
        <v>35</v>
      </c>
      <c r="F775" s="5" t="s">
        <v>2401</v>
      </c>
      <c r="H775" s="5" t="s">
        <v>2866</v>
      </c>
      <c r="I775" s="10" t="s">
        <v>72</v>
      </c>
    </row>
    <row r="776" ht="12.75" customHeight="1">
      <c r="A776" s="5" t="s">
        <v>2867</v>
      </c>
      <c r="B776" s="5" t="s">
        <v>2868</v>
      </c>
      <c r="C776" s="5" t="s">
        <v>2865</v>
      </c>
      <c r="D776" s="5" t="s">
        <v>30</v>
      </c>
      <c r="E776" s="5" t="s">
        <v>42</v>
      </c>
      <c r="F776" s="5" t="s">
        <v>2869</v>
      </c>
      <c r="H776" s="5" t="s">
        <v>2871</v>
      </c>
      <c r="I776" s="10" t="s">
        <v>72</v>
      </c>
    </row>
    <row r="777" ht="12.75" customHeight="1">
      <c r="A777" s="5" t="s">
        <v>2873</v>
      </c>
      <c r="B777" s="5" t="s">
        <v>2874</v>
      </c>
      <c r="C777" s="5" t="s">
        <v>2875</v>
      </c>
      <c r="D777" s="5" t="s">
        <v>34</v>
      </c>
      <c r="E777" s="5" t="s">
        <v>42</v>
      </c>
      <c r="F777" s="5" t="s">
        <v>199</v>
      </c>
      <c r="G777" s="10" t="s">
        <v>72</v>
      </c>
      <c r="H777" s="5" t="s">
        <v>2876</v>
      </c>
    </row>
    <row r="778" ht="12.75" customHeight="1">
      <c r="A778" s="5" t="s">
        <v>2877</v>
      </c>
      <c r="B778" s="5" t="s">
        <v>2878</v>
      </c>
      <c r="C778" s="5" t="s">
        <v>2879</v>
      </c>
      <c r="D778" s="5" t="s">
        <v>34</v>
      </c>
      <c r="E778" s="5" t="s">
        <v>35</v>
      </c>
      <c r="F778" s="5" t="s">
        <v>36</v>
      </c>
      <c r="G778" s="10" t="s">
        <v>72</v>
      </c>
    </row>
    <row r="779" ht="12.75" customHeight="1">
      <c r="A779" s="5" t="s">
        <v>2881</v>
      </c>
      <c r="B779" s="10" t="s">
        <v>2883</v>
      </c>
      <c r="C779" s="5" t="s">
        <v>2879</v>
      </c>
      <c r="D779" s="5" t="s">
        <v>34</v>
      </c>
      <c r="E779" s="5" t="s">
        <v>35</v>
      </c>
      <c r="F779" s="5" t="s">
        <v>36</v>
      </c>
      <c r="H779" s="5" t="s">
        <v>2885</v>
      </c>
    </row>
    <row r="780" ht="12.75" customHeight="1">
      <c r="A780" s="5" t="s">
        <v>2886</v>
      </c>
      <c r="B780" s="5" t="s">
        <v>2887</v>
      </c>
      <c r="C780" s="5" t="s">
        <v>2879</v>
      </c>
      <c r="D780" s="5" t="s">
        <v>34</v>
      </c>
      <c r="E780" s="5" t="s">
        <v>42</v>
      </c>
      <c r="F780" s="5" t="s">
        <v>228</v>
      </c>
      <c r="G780" s="10" t="s">
        <v>72</v>
      </c>
    </row>
    <row r="781" ht="12.75" customHeight="1">
      <c r="A781" s="5" t="s">
        <v>2889</v>
      </c>
      <c r="B781" s="10" t="s">
        <v>2890</v>
      </c>
      <c r="C781" s="5" t="s">
        <v>2879</v>
      </c>
      <c r="D781" s="5" t="s">
        <v>34</v>
      </c>
      <c r="E781" s="5" t="s">
        <v>42</v>
      </c>
      <c r="F781" s="5" t="s">
        <v>228</v>
      </c>
      <c r="H781" s="5" t="s">
        <v>2095</v>
      </c>
    </row>
    <row r="782" ht="12.75" customHeight="1">
      <c r="A782" s="5" t="s">
        <v>2891</v>
      </c>
      <c r="B782" s="5" t="s">
        <v>2892</v>
      </c>
      <c r="C782" s="5" t="s">
        <v>2879</v>
      </c>
      <c r="D782" s="5" t="s">
        <v>34</v>
      </c>
      <c r="E782" s="5" t="s">
        <v>35</v>
      </c>
      <c r="F782" s="5" t="s">
        <v>104</v>
      </c>
      <c r="G782" s="10" t="s">
        <v>72</v>
      </c>
    </row>
    <row r="783" ht="12.75" customHeight="1">
      <c r="A783" s="5" t="s">
        <v>2894</v>
      </c>
      <c r="B783" s="10" t="s">
        <v>2895</v>
      </c>
      <c r="C783" s="5" t="s">
        <v>2879</v>
      </c>
      <c r="D783" s="5" t="s">
        <v>34</v>
      </c>
      <c r="E783" s="5" t="s">
        <v>35</v>
      </c>
      <c r="F783" s="5" t="s">
        <v>104</v>
      </c>
      <c r="H783" s="5" t="s">
        <v>2897</v>
      </c>
    </row>
    <row r="784" ht="12.75" customHeight="1">
      <c r="A784" s="5" t="s">
        <v>2898</v>
      </c>
      <c r="B784" s="5" t="s">
        <v>2899</v>
      </c>
      <c r="C784" s="5" t="s">
        <v>2879</v>
      </c>
      <c r="D784" s="5" t="s">
        <v>34</v>
      </c>
      <c r="E784" s="5" t="s">
        <v>42</v>
      </c>
      <c r="F784" s="5" t="s">
        <v>575</v>
      </c>
      <c r="G784" s="10" t="s">
        <v>72</v>
      </c>
    </row>
    <row r="785" ht="12.75" customHeight="1">
      <c r="A785" s="5" t="s">
        <v>2900</v>
      </c>
      <c r="B785" s="10" t="s">
        <v>2901</v>
      </c>
      <c r="C785" s="5" t="s">
        <v>2879</v>
      </c>
      <c r="D785" s="5" t="s">
        <v>34</v>
      </c>
      <c r="E785" s="5" t="s">
        <v>42</v>
      </c>
      <c r="F785" s="5" t="s">
        <v>575</v>
      </c>
      <c r="H785" s="5" t="s">
        <v>2902</v>
      </c>
    </row>
    <row r="786" ht="12.75" customHeight="1">
      <c r="A786" s="5" t="s">
        <v>2903</v>
      </c>
      <c r="B786" s="5" t="s">
        <v>2904</v>
      </c>
      <c r="C786" s="5" t="s">
        <v>2879</v>
      </c>
      <c r="D786" s="5" t="s">
        <v>34</v>
      </c>
      <c r="E786" s="5" t="s">
        <v>35</v>
      </c>
      <c r="F786" s="5" t="s">
        <v>172</v>
      </c>
      <c r="G786" s="10" t="s">
        <v>72</v>
      </c>
    </row>
    <row r="787" ht="12.75" customHeight="1">
      <c r="A787" s="5" t="s">
        <v>2906</v>
      </c>
      <c r="B787" s="10" t="s">
        <v>2907</v>
      </c>
      <c r="C787" s="5" t="s">
        <v>2879</v>
      </c>
      <c r="D787" s="5" t="s">
        <v>34</v>
      </c>
      <c r="E787" s="5" t="s">
        <v>35</v>
      </c>
      <c r="F787" s="5" t="s">
        <v>172</v>
      </c>
      <c r="H787" s="5" t="s">
        <v>2909</v>
      </c>
    </row>
    <row r="788" ht="12.75" customHeight="1">
      <c r="A788" s="5" t="s">
        <v>2910</v>
      </c>
      <c r="B788" s="5" t="s">
        <v>2911</v>
      </c>
      <c r="C788" s="5" t="s">
        <v>2879</v>
      </c>
      <c r="D788" s="5" t="s">
        <v>34</v>
      </c>
      <c r="E788" s="5" t="s">
        <v>42</v>
      </c>
      <c r="F788" s="5" t="s">
        <v>167</v>
      </c>
      <c r="G788" s="10" t="s">
        <v>72</v>
      </c>
    </row>
    <row r="789" ht="12.75" customHeight="1">
      <c r="A789" s="5" t="s">
        <v>2912</v>
      </c>
      <c r="B789" s="10" t="s">
        <v>2913</v>
      </c>
      <c r="C789" s="5" t="s">
        <v>2879</v>
      </c>
      <c r="D789" s="5" t="s">
        <v>34</v>
      </c>
      <c r="E789" s="5" t="s">
        <v>42</v>
      </c>
      <c r="F789" s="5" t="s">
        <v>167</v>
      </c>
      <c r="H789" s="5" t="s">
        <v>2914</v>
      </c>
    </row>
    <row r="790" ht="12.75" customHeight="1">
      <c r="A790" s="5" t="s">
        <v>2915</v>
      </c>
      <c r="B790" s="5" t="s">
        <v>2916</v>
      </c>
      <c r="C790" s="5" t="s">
        <v>2879</v>
      </c>
      <c r="D790" s="5" t="s">
        <v>34</v>
      </c>
      <c r="E790" s="5" t="s">
        <v>35</v>
      </c>
      <c r="F790" s="5" t="s">
        <v>71</v>
      </c>
      <c r="G790" s="10" t="s">
        <v>72</v>
      </c>
    </row>
    <row r="791" ht="12.75" customHeight="1">
      <c r="A791" s="5" t="s">
        <v>2918</v>
      </c>
      <c r="B791" s="10" t="s">
        <v>2919</v>
      </c>
      <c r="C791" s="5" t="s">
        <v>2879</v>
      </c>
      <c r="D791" s="5" t="s">
        <v>34</v>
      </c>
      <c r="E791" s="5" t="s">
        <v>35</v>
      </c>
      <c r="F791" s="5" t="s">
        <v>71</v>
      </c>
      <c r="H791" s="5" t="s">
        <v>2921</v>
      </c>
    </row>
    <row r="792" ht="12.75" customHeight="1">
      <c r="A792" s="5" t="s">
        <v>2922</v>
      </c>
      <c r="B792" s="5" t="s">
        <v>2923</v>
      </c>
      <c r="C792" s="5" t="s">
        <v>2879</v>
      </c>
      <c r="D792" s="5" t="s">
        <v>34</v>
      </c>
      <c r="E792" s="5" t="s">
        <v>42</v>
      </c>
      <c r="F792" s="5" t="s">
        <v>199</v>
      </c>
      <c r="G792" s="10" t="s">
        <v>72</v>
      </c>
    </row>
    <row r="793" ht="12.75" customHeight="1">
      <c r="A793" s="5" t="s">
        <v>2924</v>
      </c>
      <c r="B793" s="10" t="s">
        <v>2925</v>
      </c>
      <c r="C793" s="5" t="s">
        <v>2879</v>
      </c>
      <c r="D793" s="5" t="s">
        <v>34</v>
      </c>
      <c r="E793" s="5" t="s">
        <v>42</v>
      </c>
      <c r="F793" s="5" t="s">
        <v>199</v>
      </c>
      <c r="H793" s="5" t="s">
        <v>2926</v>
      </c>
    </row>
    <row r="794" ht="12.75" customHeight="1">
      <c r="A794" s="5" t="s">
        <v>2927</v>
      </c>
      <c r="B794" s="5" t="s">
        <v>2928</v>
      </c>
      <c r="C794" s="5" t="s">
        <v>2879</v>
      </c>
      <c r="D794" s="5" t="s">
        <v>34</v>
      </c>
      <c r="E794" s="5" t="s">
        <v>35</v>
      </c>
      <c r="F794" s="5" t="s">
        <v>695</v>
      </c>
      <c r="G794" s="10" t="s">
        <v>72</v>
      </c>
    </row>
    <row r="795" ht="12.75" customHeight="1">
      <c r="A795" s="5" t="s">
        <v>2931</v>
      </c>
      <c r="B795" s="10" t="s">
        <v>2932</v>
      </c>
      <c r="C795" s="5" t="s">
        <v>2879</v>
      </c>
      <c r="D795" s="5" t="s">
        <v>34</v>
      </c>
      <c r="E795" s="5" t="s">
        <v>35</v>
      </c>
      <c r="F795" s="5" t="s">
        <v>695</v>
      </c>
      <c r="H795" s="5" t="s">
        <v>2933</v>
      </c>
    </row>
    <row r="796" ht="12.75" customHeight="1">
      <c r="A796" s="5" t="s">
        <v>2934</v>
      </c>
      <c r="B796" s="5" t="s">
        <v>2935</v>
      </c>
      <c r="C796" s="5" t="s">
        <v>2879</v>
      </c>
      <c r="D796" s="5" t="s">
        <v>34</v>
      </c>
      <c r="E796" s="5" t="s">
        <v>42</v>
      </c>
      <c r="F796" s="5" t="s">
        <v>599</v>
      </c>
      <c r="G796" s="10" t="s">
        <v>72</v>
      </c>
    </row>
    <row r="797" ht="12.75" customHeight="1">
      <c r="A797" s="5" t="s">
        <v>2936</v>
      </c>
      <c r="B797" s="5" t="s">
        <v>2937</v>
      </c>
      <c r="C797" s="5" t="s">
        <v>2879</v>
      </c>
      <c r="D797" s="5" t="s">
        <v>34</v>
      </c>
      <c r="E797" s="5" t="s">
        <v>42</v>
      </c>
      <c r="F797" s="5" t="s">
        <v>599</v>
      </c>
      <c r="H797" s="5" t="s">
        <v>2938</v>
      </c>
    </row>
    <row r="798" ht="12.75" customHeight="1">
      <c r="A798" s="5" t="s">
        <v>2940</v>
      </c>
      <c r="B798" s="5" t="s">
        <v>2941</v>
      </c>
      <c r="C798" s="5" t="s">
        <v>2879</v>
      </c>
      <c r="D798" s="5" t="s">
        <v>34</v>
      </c>
      <c r="E798" s="5" t="s">
        <v>35</v>
      </c>
      <c r="F798" s="5" t="s">
        <v>90</v>
      </c>
      <c r="G798" s="10" t="s">
        <v>72</v>
      </c>
    </row>
    <row r="799" ht="12.75" customHeight="1">
      <c r="A799" s="5" t="s">
        <v>2943</v>
      </c>
      <c r="B799" s="5" t="s">
        <v>2944</v>
      </c>
      <c r="C799" s="5" t="s">
        <v>2879</v>
      </c>
      <c r="D799" s="5" t="s">
        <v>34</v>
      </c>
      <c r="E799" s="5" t="s">
        <v>35</v>
      </c>
      <c r="F799" s="5" t="s">
        <v>90</v>
      </c>
      <c r="H799" s="5" t="s">
        <v>2945</v>
      </c>
    </row>
    <row r="800" ht="12.75" customHeight="1">
      <c r="A800" s="5" t="s">
        <v>2946</v>
      </c>
      <c r="B800" s="5" t="s">
        <v>2947</v>
      </c>
      <c r="C800" s="5" t="s">
        <v>2879</v>
      </c>
      <c r="D800" s="5" t="s">
        <v>34</v>
      </c>
      <c r="E800" s="5" t="s">
        <v>42</v>
      </c>
      <c r="F800" s="5" t="s">
        <v>556</v>
      </c>
      <c r="G800" s="10" t="s">
        <v>72</v>
      </c>
      <c r="H800" s="5" t="s">
        <v>1166</v>
      </c>
    </row>
    <row r="801" ht="12.75" customHeight="1">
      <c r="A801" s="5" t="s">
        <v>2949</v>
      </c>
      <c r="B801" s="5" t="s">
        <v>2950</v>
      </c>
      <c r="C801" s="5" t="s">
        <v>2879</v>
      </c>
      <c r="D801" s="5" t="s">
        <v>34</v>
      </c>
      <c r="E801" s="5" t="s">
        <v>42</v>
      </c>
      <c r="F801" s="5" t="s">
        <v>556</v>
      </c>
      <c r="H801" s="5" t="s">
        <v>2952</v>
      </c>
    </row>
    <row r="802" ht="12.75" customHeight="1">
      <c r="A802" s="5" t="s">
        <v>2953</v>
      </c>
      <c r="B802" s="5" t="s">
        <v>2954</v>
      </c>
      <c r="C802" s="5" t="s">
        <v>2955</v>
      </c>
      <c r="D802" s="5" t="s">
        <v>34</v>
      </c>
      <c r="E802" s="5" t="s">
        <v>42</v>
      </c>
      <c r="F802" s="5" t="s">
        <v>228</v>
      </c>
      <c r="G802" s="10" t="s">
        <v>72</v>
      </c>
      <c r="H802" s="5" t="s">
        <v>2956</v>
      </c>
    </row>
    <row r="803" ht="12.75" customHeight="1">
      <c r="A803" s="5" t="s">
        <v>2957</v>
      </c>
      <c r="B803" s="5" t="s">
        <v>2958</v>
      </c>
      <c r="C803" s="5" t="s">
        <v>2801</v>
      </c>
      <c r="D803" s="5" t="s">
        <v>30</v>
      </c>
      <c r="E803" s="5" t="s">
        <v>42</v>
      </c>
      <c r="F803" s="5" t="s">
        <v>157</v>
      </c>
      <c r="G803" s="10" t="s">
        <v>72</v>
      </c>
      <c r="H803" s="5" t="s">
        <v>2960</v>
      </c>
    </row>
    <row r="804" ht="12.75" customHeight="1">
      <c r="A804" s="5" t="s">
        <v>2962</v>
      </c>
      <c r="B804" s="5" t="s">
        <v>2963</v>
      </c>
      <c r="C804" s="5" t="s">
        <v>2964</v>
      </c>
      <c r="D804" s="5" t="s">
        <v>34</v>
      </c>
      <c r="E804" s="5" t="s">
        <v>42</v>
      </c>
      <c r="F804" s="5" t="s">
        <v>575</v>
      </c>
      <c r="G804" s="10" t="s">
        <v>72</v>
      </c>
      <c r="H804" s="5" t="s">
        <v>2965</v>
      </c>
    </row>
    <row r="805" ht="12.75" customHeight="1">
      <c r="A805" s="5" t="s">
        <v>2966</v>
      </c>
      <c r="B805" s="5" t="s">
        <v>2967</v>
      </c>
      <c r="C805" s="5" t="s">
        <v>2968</v>
      </c>
      <c r="D805" s="5" t="s">
        <v>30</v>
      </c>
      <c r="E805" s="5" t="s">
        <v>35</v>
      </c>
      <c r="F805" s="5" t="s">
        <v>263</v>
      </c>
      <c r="G805" s="10" t="s">
        <v>72</v>
      </c>
      <c r="H805" s="5" t="s">
        <v>2969</v>
      </c>
    </row>
    <row r="806" ht="12.75" customHeight="1">
      <c r="A806" s="5" t="s">
        <v>2970</v>
      </c>
      <c r="B806" s="10" t="s">
        <v>2971</v>
      </c>
      <c r="C806" s="5" t="s">
        <v>2973</v>
      </c>
      <c r="D806" s="5" t="s">
        <v>80</v>
      </c>
      <c r="E806" s="5" t="s">
        <v>35</v>
      </c>
      <c r="F806" s="5" t="s">
        <v>1868</v>
      </c>
      <c r="G806" s="10" t="s">
        <v>72</v>
      </c>
      <c r="H806" s="5" t="s">
        <v>2969</v>
      </c>
    </row>
    <row r="807" ht="12.75" customHeight="1">
      <c r="A807" s="5" t="s">
        <v>2975</v>
      </c>
      <c r="B807" s="10" t="s">
        <v>2976</v>
      </c>
      <c r="D807" s="5" t="s">
        <v>30</v>
      </c>
      <c r="E807" s="5" t="s">
        <v>42</v>
      </c>
      <c r="F807" s="5" t="s">
        <v>211</v>
      </c>
      <c r="G807" s="10" t="s">
        <v>72</v>
      </c>
      <c r="H807" s="5" t="s">
        <v>2977</v>
      </c>
    </row>
    <row r="808" ht="12.75" customHeight="1">
      <c r="A808" s="5" t="s">
        <v>2978</v>
      </c>
      <c r="B808" s="5" t="s">
        <v>2979</v>
      </c>
      <c r="C808" s="5" t="s">
        <v>2980</v>
      </c>
      <c r="D808" s="5" t="s">
        <v>34</v>
      </c>
      <c r="E808" s="5" t="s">
        <v>42</v>
      </c>
      <c r="F808" s="5" t="s">
        <v>167</v>
      </c>
      <c r="G808" s="10" t="s">
        <v>72</v>
      </c>
      <c r="H808" s="5" t="s">
        <v>2981</v>
      </c>
    </row>
    <row r="809" ht="12.75" customHeight="1">
      <c r="A809" s="5" t="s">
        <v>2983</v>
      </c>
      <c r="B809" s="5" t="s">
        <v>2984</v>
      </c>
      <c r="C809" s="5" t="s">
        <v>2986</v>
      </c>
      <c r="D809" s="5" t="s">
        <v>30</v>
      </c>
      <c r="E809" s="5" t="s">
        <v>42</v>
      </c>
      <c r="F809" s="5" t="s">
        <v>157</v>
      </c>
      <c r="H809" s="5" t="s">
        <v>2987</v>
      </c>
      <c r="I809" s="10" t="s">
        <v>72</v>
      </c>
    </row>
    <row r="810" ht="12.75" customHeight="1">
      <c r="A810" s="5" t="s">
        <v>2988</v>
      </c>
      <c r="B810" s="5" t="s">
        <v>2989</v>
      </c>
      <c r="C810" s="5" t="s">
        <v>2990</v>
      </c>
      <c r="D810" s="5" t="s">
        <v>30</v>
      </c>
      <c r="E810" s="5" t="s">
        <v>42</v>
      </c>
      <c r="F810" s="5" t="s">
        <v>2869</v>
      </c>
      <c r="H810" s="5" t="s">
        <v>2991</v>
      </c>
    </row>
    <row r="811" ht="12.75" customHeight="1">
      <c r="A811" s="5" t="s">
        <v>2992</v>
      </c>
      <c r="B811" s="5" t="s">
        <v>2993</v>
      </c>
      <c r="C811" s="5" t="s">
        <v>2994</v>
      </c>
      <c r="D811" s="5" t="s">
        <v>30</v>
      </c>
      <c r="E811" s="5" t="s">
        <v>35</v>
      </c>
      <c r="F811" s="5" t="s">
        <v>1831</v>
      </c>
      <c r="J811" s="10" t="s">
        <v>72</v>
      </c>
    </row>
    <row r="812" ht="12.75" customHeight="1">
      <c r="A812" s="5" t="s">
        <v>2997</v>
      </c>
      <c r="B812" s="5" t="s">
        <v>2998</v>
      </c>
      <c r="C812" s="5" t="s">
        <v>2994</v>
      </c>
      <c r="D812" s="5" t="s">
        <v>30</v>
      </c>
      <c r="E812" s="5" t="s">
        <v>35</v>
      </c>
      <c r="F812" s="5" t="s">
        <v>1143</v>
      </c>
      <c r="J812" s="10" t="s">
        <v>72</v>
      </c>
    </row>
    <row r="813" ht="12.75" customHeight="1">
      <c r="A813" s="5" t="s">
        <v>2999</v>
      </c>
      <c r="B813" s="5" t="s">
        <v>3000</v>
      </c>
      <c r="C813" s="5" t="s">
        <v>2994</v>
      </c>
      <c r="D813" s="5" t="s">
        <v>30</v>
      </c>
      <c r="E813" s="5" t="s">
        <v>35</v>
      </c>
      <c r="F813" s="5" t="s">
        <v>545</v>
      </c>
      <c r="J813" s="10" t="s">
        <v>72</v>
      </c>
      <c r="K813" s="5" t="s">
        <v>3002</v>
      </c>
    </row>
    <row r="814" ht="12.75" customHeight="1">
      <c r="A814" s="5" t="s">
        <v>3003</v>
      </c>
      <c r="B814" s="5" t="s">
        <v>3005</v>
      </c>
      <c r="C814" s="5" t="s">
        <v>2994</v>
      </c>
      <c r="D814" s="5" t="s">
        <v>30</v>
      </c>
      <c r="E814" s="5" t="s">
        <v>35</v>
      </c>
      <c r="F814" s="5" t="s">
        <v>1886</v>
      </c>
      <c r="J814" s="10" t="s">
        <v>72</v>
      </c>
    </row>
    <row r="815" ht="12.75" customHeight="1">
      <c r="A815" s="5" t="s">
        <v>2991</v>
      </c>
      <c r="B815" s="5" t="s">
        <v>3006</v>
      </c>
      <c r="C815" s="5" t="s">
        <v>2994</v>
      </c>
      <c r="D815" s="5" t="s">
        <v>30</v>
      </c>
      <c r="E815" s="5" t="s">
        <v>42</v>
      </c>
      <c r="F815" s="5" t="s">
        <v>2701</v>
      </c>
      <c r="J815" s="10" t="s">
        <v>72</v>
      </c>
      <c r="K815" s="5" t="s">
        <v>2988</v>
      </c>
    </row>
    <row r="816" ht="12.75" customHeight="1">
      <c r="A816" s="5" t="s">
        <v>3007</v>
      </c>
      <c r="B816" s="5" t="s">
        <v>3008</v>
      </c>
      <c r="C816" s="5" t="s">
        <v>2994</v>
      </c>
      <c r="D816" s="5" t="s">
        <v>30</v>
      </c>
      <c r="E816" s="5" t="s">
        <v>42</v>
      </c>
      <c r="F816" s="5" t="s">
        <v>1223</v>
      </c>
      <c r="J816" s="10" t="s">
        <v>72</v>
      </c>
    </row>
    <row r="817" ht="12.75" customHeight="1">
      <c r="A817" s="5" t="s">
        <v>3011</v>
      </c>
      <c r="B817" s="5" t="s">
        <v>3012</v>
      </c>
      <c r="C817" s="5" t="s">
        <v>2994</v>
      </c>
      <c r="D817" s="5" t="s">
        <v>30</v>
      </c>
      <c r="E817" s="5" t="s">
        <v>42</v>
      </c>
      <c r="F817" s="5" t="s">
        <v>967</v>
      </c>
      <c r="J817" s="10" t="s">
        <v>72</v>
      </c>
    </row>
    <row r="818" ht="12.75" customHeight="1">
      <c r="A818" s="5" t="s">
        <v>3013</v>
      </c>
      <c r="B818" s="5" t="s">
        <v>3014</v>
      </c>
      <c r="C818" s="5" t="s">
        <v>2994</v>
      </c>
      <c r="D818" s="5" t="s">
        <v>30</v>
      </c>
      <c r="E818" s="5" t="s">
        <v>42</v>
      </c>
      <c r="F818" s="5" t="s">
        <v>2869</v>
      </c>
      <c r="J818" s="10" t="s">
        <v>72</v>
      </c>
    </row>
    <row r="819" ht="12.75" customHeight="1">
      <c r="A819" s="5" t="s">
        <v>3015</v>
      </c>
      <c r="B819" s="5" t="s">
        <v>3016</v>
      </c>
      <c r="C819" s="5" t="s">
        <v>3017</v>
      </c>
      <c r="D819" s="5" t="s">
        <v>34</v>
      </c>
      <c r="E819" s="5" t="s">
        <v>42</v>
      </c>
      <c r="F819" s="5" t="s">
        <v>637</v>
      </c>
      <c r="J819" s="10" t="s">
        <v>72</v>
      </c>
    </row>
    <row r="820" ht="12.75" customHeight="1">
      <c r="A820" s="5" t="s">
        <v>3019</v>
      </c>
      <c r="B820" s="10" t="s">
        <v>3020</v>
      </c>
      <c r="C820" s="5" t="s">
        <v>3017</v>
      </c>
      <c r="D820" s="5" t="s">
        <v>34</v>
      </c>
      <c r="E820" s="5" t="s">
        <v>42</v>
      </c>
      <c r="F820" s="5" t="s">
        <v>65</v>
      </c>
      <c r="J820" s="10" t="s">
        <v>72</v>
      </c>
    </row>
    <row r="821" ht="12.75" customHeight="1">
      <c r="A821" s="5" t="s">
        <v>3022</v>
      </c>
      <c r="B821" s="10" t="s">
        <v>3023</v>
      </c>
      <c r="C821" s="5" t="s">
        <v>3017</v>
      </c>
      <c r="D821" s="5" t="s">
        <v>30</v>
      </c>
      <c r="E821" s="5" t="s">
        <v>42</v>
      </c>
      <c r="F821" s="5" t="s">
        <v>2701</v>
      </c>
      <c r="J821" s="10" t="s">
        <v>72</v>
      </c>
    </row>
    <row r="822" ht="12.75" customHeight="1">
      <c r="A822" s="5" t="s">
        <v>3024</v>
      </c>
      <c r="B822" s="10" t="s">
        <v>3025</v>
      </c>
      <c r="C822" s="5" t="s">
        <v>3017</v>
      </c>
      <c r="D822" s="5" t="s">
        <v>30</v>
      </c>
      <c r="E822" s="5" t="s">
        <v>42</v>
      </c>
      <c r="F822" s="5" t="s">
        <v>2218</v>
      </c>
      <c r="J822" s="10" t="s">
        <v>72</v>
      </c>
    </row>
    <row r="823" ht="12.75" customHeight="1">
      <c r="A823" s="5" t="s">
        <v>3002</v>
      </c>
      <c r="B823" s="5" t="s">
        <v>3027</v>
      </c>
      <c r="C823" s="5" t="s">
        <v>3028</v>
      </c>
      <c r="D823" s="5" t="s">
        <v>30</v>
      </c>
      <c r="E823" s="5" t="s">
        <v>35</v>
      </c>
      <c r="F823" s="5" t="s">
        <v>263</v>
      </c>
      <c r="H823" s="5" t="s">
        <v>2999</v>
      </c>
    </row>
    <row r="824" ht="12.75" customHeight="1">
      <c r="A824" s="5" t="s">
        <v>3030</v>
      </c>
      <c r="B824" s="5" t="s">
        <v>3031</v>
      </c>
      <c r="C824" s="5" t="s">
        <v>3032</v>
      </c>
      <c r="D824" s="5" t="s">
        <v>30</v>
      </c>
      <c r="E824" s="5" t="s">
        <v>42</v>
      </c>
      <c r="F824" s="5" t="s">
        <v>2638</v>
      </c>
      <c r="G824" s="10" t="s">
        <v>72</v>
      </c>
    </row>
    <row r="825" ht="12.75" customHeight="1">
      <c r="A825" s="5" t="s">
        <v>3033</v>
      </c>
      <c r="B825" s="10" t="s">
        <v>3034</v>
      </c>
      <c r="D825" s="5" t="s">
        <v>34</v>
      </c>
      <c r="E825" s="5" t="s">
        <v>42</v>
      </c>
      <c r="F825" s="5" t="s">
        <v>445</v>
      </c>
      <c r="G825" s="10" t="s">
        <v>72</v>
      </c>
    </row>
    <row r="826" ht="12.75" customHeight="1">
      <c r="A826" s="5" t="s">
        <v>3035</v>
      </c>
      <c r="B826" s="10" t="s">
        <v>3036</v>
      </c>
      <c r="D826" s="5" t="s">
        <v>30</v>
      </c>
      <c r="E826" s="5" t="s">
        <v>42</v>
      </c>
      <c r="F826" s="5" t="s">
        <v>974</v>
      </c>
      <c r="G826" s="10" t="s">
        <v>72</v>
      </c>
    </row>
    <row r="827" ht="12.75" customHeight="1">
      <c r="A827" s="5" t="s">
        <v>3038</v>
      </c>
      <c r="B827" s="5" t="s">
        <v>3040</v>
      </c>
      <c r="C827" s="5" t="s">
        <v>3041</v>
      </c>
      <c r="D827" s="5" t="s">
        <v>12</v>
      </c>
      <c r="E827" s="5" t="s">
        <v>42</v>
      </c>
      <c r="F827" s="5" t="s">
        <v>351</v>
      </c>
    </row>
    <row r="828" ht="12.75" customHeight="1">
      <c r="A828" s="5" t="s">
        <v>3042</v>
      </c>
      <c r="B828" s="5" t="s">
        <v>3043</v>
      </c>
      <c r="C828" s="5" t="s">
        <v>3044</v>
      </c>
      <c r="D828" s="5" t="s">
        <v>74</v>
      </c>
      <c r="E828" s="5" t="s">
        <v>42</v>
      </c>
      <c r="F828" s="5" t="s">
        <v>435</v>
      </c>
    </row>
    <row r="829" ht="12.75" customHeight="1">
      <c r="A829" s="5" t="s">
        <v>3045</v>
      </c>
      <c r="B829" s="5" t="s">
        <v>3046</v>
      </c>
      <c r="C829" s="5" t="s">
        <v>3047</v>
      </c>
      <c r="D829" s="5" t="s">
        <v>34</v>
      </c>
      <c r="E829" s="5" t="s">
        <v>42</v>
      </c>
      <c r="F829" s="5" t="s">
        <v>167</v>
      </c>
      <c r="G829" s="10" t="s">
        <v>72</v>
      </c>
    </row>
    <row r="830" ht="12.75" customHeight="1">
      <c r="A830" s="5" t="s">
        <v>3048</v>
      </c>
      <c r="B830" s="10" t="s">
        <v>3049</v>
      </c>
      <c r="C830" s="5" t="s">
        <v>3050</v>
      </c>
      <c r="D830" s="5" t="s">
        <v>30</v>
      </c>
      <c r="E830" s="5" t="s">
        <v>35</v>
      </c>
      <c r="F830" s="5" t="s">
        <v>1886</v>
      </c>
    </row>
    <row r="831" ht="12.75" customHeight="1">
      <c r="A831" s="5" t="s">
        <v>3053</v>
      </c>
      <c r="B831" s="5" t="s">
        <v>3054</v>
      </c>
      <c r="C831" s="5" t="s">
        <v>2973</v>
      </c>
      <c r="D831" s="5" t="s">
        <v>30</v>
      </c>
      <c r="E831" s="5" t="s">
        <v>42</v>
      </c>
      <c r="F831" s="5" t="s">
        <v>974</v>
      </c>
      <c r="J831" s="10" t="s">
        <v>72</v>
      </c>
      <c r="K831" s="5" t="s">
        <v>3055</v>
      </c>
    </row>
    <row r="832" ht="12.75" customHeight="1">
      <c r="A832" s="5" t="s">
        <v>3056</v>
      </c>
      <c r="B832" s="5" t="s">
        <v>3057</v>
      </c>
      <c r="D832" s="5" t="s">
        <v>30</v>
      </c>
      <c r="E832" s="5" t="s">
        <v>35</v>
      </c>
      <c r="F832" s="5" t="s">
        <v>1886</v>
      </c>
      <c r="H832" s="5" t="s">
        <v>3058</v>
      </c>
      <c r="J832" s="10" t="s">
        <v>72</v>
      </c>
      <c r="K832" s="5" t="s">
        <v>3059</v>
      </c>
      <c r="L832" s="5" t="s">
        <v>3060</v>
      </c>
    </row>
    <row r="833" ht="12.75" customHeight="1">
      <c r="A833" s="5" t="s">
        <v>2987</v>
      </c>
      <c r="B833" s="5" t="s">
        <v>3061</v>
      </c>
      <c r="D833" s="5" t="s">
        <v>30</v>
      </c>
      <c r="E833" s="5" t="s">
        <v>42</v>
      </c>
      <c r="F833" s="5" t="s">
        <v>157</v>
      </c>
      <c r="H833" s="5" t="s">
        <v>3056</v>
      </c>
      <c r="J833" s="10" t="s">
        <v>72</v>
      </c>
      <c r="L833" s="5" t="s">
        <v>3063</v>
      </c>
    </row>
    <row r="834" ht="12.75" customHeight="1">
      <c r="A834" s="5" t="s">
        <v>3064</v>
      </c>
      <c r="B834" s="5" t="s">
        <v>3066</v>
      </c>
      <c r="D834" s="5" t="s">
        <v>30</v>
      </c>
      <c r="E834" s="5" t="s">
        <v>35</v>
      </c>
      <c r="F834" s="5" t="s">
        <v>3067</v>
      </c>
      <c r="H834" s="5" t="s">
        <v>3058</v>
      </c>
      <c r="J834" s="10" t="s">
        <v>72</v>
      </c>
      <c r="L834" s="5" t="s">
        <v>3068</v>
      </c>
    </row>
    <row r="835" ht="12.75" customHeight="1">
      <c r="A835" s="5" t="s">
        <v>3069</v>
      </c>
      <c r="B835" s="5" t="s">
        <v>3070</v>
      </c>
      <c r="D835" s="5" t="s">
        <v>30</v>
      </c>
      <c r="E835" s="5" t="s">
        <v>42</v>
      </c>
      <c r="F835" s="5" t="s">
        <v>211</v>
      </c>
      <c r="H835" s="5" t="s">
        <v>3056</v>
      </c>
      <c r="J835" s="10" t="s">
        <v>72</v>
      </c>
      <c r="L835" s="5" t="s">
        <v>3071</v>
      </c>
    </row>
    <row r="836" ht="12.75" customHeight="1">
      <c r="A836" s="5" t="s">
        <v>3072</v>
      </c>
      <c r="B836" s="5" t="s">
        <v>3073</v>
      </c>
      <c r="D836" s="5" t="s">
        <v>30</v>
      </c>
      <c r="E836" s="5" t="s">
        <v>35</v>
      </c>
      <c r="F836" s="5" t="s">
        <v>2401</v>
      </c>
      <c r="H836" s="5" t="s">
        <v>3058</v>
      </c>
      <c r="J836" s="10" t="s">
        <v>72</v>
      </c>
      <c r="L836" s="5" t="s">
        <v>3074</v>
      </c>
    </row>
    <row r="837" ht="12.75" customHeight="1">
      <c r="A837" s="5" t="s">
        <v>3076</v>
      </c>
      <c r="B837" s="5" t="s">
        <v>3077</v>
      </c>
      <c r="D837" s="5" t="s">
        <v>30</v>
      </c>
      <c r="E837" s="5" t="s">
        <v>42</v>
      </c>
      <c r="F837" s="5" t="s">
        <v>2771</v>
      </c>
      <c r="H837" s="5" t="s">
        <v>3058</v>
      </c>
      <c r="J837" s="10" t="s">
        <v>72</v>
      </c>
      <c r="L837" s="5" t="s">
        <v>3079</v>
      </c>
    </row>
    <row r="838" ht="12.75" customHeight="1">
      <c r="A838" s="5" t="s">
        <v>3080</v>
      </c>
      <c r="B838" s="5" t="s">
        <v>3081</v>
      </c>
      <c r="D838" s="5" t="s">
        <v>30</v>
      </c>
      <c r="E838" s="5" t="s">
        <v>42</v>
      </c>
      <c r="F838" s="5" t="s">
        <v>2638</v>
      </c>
      <c r="H838" s="5" t="s">
        <v>3058</v>
      </c>
      <c r="J838" s="10" t="s">
        <v>72</v>
      </c>
      <c r="L838" s="5" t="s">
        <v>3082</v>
      </c>
    </row>
    <row r="839" ht="12.75" customHeight="1">
      <c r="A839" s="5" t="s">
        <v>2866</v>
      </c>
      <c r="B839" s="5" t="s">
        <v>3083</v>
      </c>
      <c r="D839" s="5" t="s">
        <v>30</v>
      </c>
      <c r="E839" s="5" t="s">
        <v>35</v>
      </c>
      <c r="F839" s="5" t="s">
        <v>2401</v>
      </c>
      <c r="H839" s="5" t="s">
        <v>3084</v>
      </c>
      <c r="J839" s="10" t="s">
        <v>72</v>
      </c>
      <c r="L839" s="5" t="s">
        <v>3085</v>
      </c>
    </row>
    <row r="840" ht="12.75" customHeight="1">
      <c r="A840" s="5" t="s">
        <v>3086</v>
      </c>
      <c r="B840" s="5" t="s">
        <v>3088</v>
      </c>
      <c r="D840" s="5" t="s">
        <v>30</v>
      </c>
      <c r="E840" s="5" t="s">
        <v>42</v>
      </c>
      <c r="F840" s="5" t="s">
        <v>967</v>
      </c>
      <c r="H840" s="5" t="s">
        <v>3084</v>
      </c>
      <c r="J840" s="10" t="s">
        <v>72</v>
      </c>
      <c r="L840" s="5" t="s">
        <v>3090</v>
      </c>
    </row>
    <row r="841" ht="12.75" customHeight="1">
      <c r="A841" s="5" t="s">
        <v>3091</v>
      </c>
      <c r="B841" s="5" t="s">
        <v>3092</v>
      </c>
      <c r="D841" s="5" t="s">
        <v>30</v>
      </c>
      <c r="E841" s="5" t="s">
        <v>35</v>
      </c>
      <c r="F841" s="5" t="s">
        <v>924</v>
      </c>
      <c r="H841" s="5" t="s">
        <v>3084</v>
      </c>
      <c r="J841" s="10" t="s">
        <v>72</v>
      </c>
      <c r="L841" s="5" t="s">
        <v>3093</v>
      </c>
    </row>
    <row r="842" ht="12.75" customHeight="1">
      <c r="A842" s="5" t="s">
        <v>3094</v>
      </c>
      <c r="B842" s="5" t="s">
        <v>3095</v>
      </c>
      <c r="D842" s="5" t="s">
        <v>30</v>
      </c>
      <c r="E842" s="5" t="s">
        <v>42</v>
      </c>
      <c r="F842" s="5" t="s">
        <v>535</v>
      </c>
      <c r="H842" s="5" t="s">
        <v>3084</v>
      </c>
      <c r="J842" s="10" t="s">
        <v>72</v>
      </c>
      <c r="L842" s="5" t="s">
        <v>3096</v>
      </c>
    </row>
    <row r="843" ht="12.75" customHeight="1">
      <c r="A843" s="5" t="s">
        <v>3097</v>
      </c>
      <c r="B843" s="5" t="s">
        <v>3098</v>
      </c>
      <c r="D843" s="5" t="s">
        <v>30</v>
      </c>
      <c r="E843" s="5" t="s">
        <v>35</v>
      </c>
      <c r="F843" s="5" t="s">
        <v>545</v>
      </c>
      <c r="H843" s="5" t="s">
        <v>3084</v>
      </c>
      <c r="J843" s="10" t="s">
        <v>72</v>
      </c>
      <c r="L843" s="5" t="s">
        <v>3099</v>
      </c>
    </row>
    <row r="844" ht="12.75" customHeight="1">
      <c r="A844" s="5" t="s">
        <v>3100</v>
      </c>
      <c r="B844" s="5" t="s">
        <v>3101</v>
      </c>
      <c r="D844" s="5" t="s">
        <v>30</v>
      </c>
      <c r="E844" s="5" t="s">
        <v>42</v>
      </c>
      <c r="F844" s="5" t="s">
        <v>2420</v>
      </c>
      <c r="H844" s="5" t="s">
        <v>3084</v>
      </c>
      <c r="J844" s="10" t="s">
        <v>72</v>
      </c>
      <c r="L844" s="5" t="s">
        <v>3104</v>
      </c>
    </row>
    <row r="845" ht="12.75" customHeight="1">
      <c r="A845" s="5" t="s">
        <v>3105</v>
      </c>
      <c r="B845" s="5" t="s">
        <v>3106</v>
      </c>
      <c r="D845" s="5" t="s">
        <v>30</v>
      </c>
      <c r="E845" s="5" t="s">
        <v>42</v>
      </c>
      <c r="F845" s="5" t="s">
        <v>3107</v>
      </c>
      <c r="H845" s="5" t="s">
        <v>3084</v>
      </c>
      <c r="J845" s="10" t="s">
        <v>72</v>
      </c>
      <c r="L845" s="5" t="s">
        <v>3108</v>
      </c>
    </row>
    <row r="846" ht="12.75" customHeight="1">
      <c r="A846" s="5" t="s">
        <v>3109</v>
      </c>
      <c r="B846" s="5" t="s">
        <v>3110</v>
      </c>
      <c r="D846" s="5" t="s">
        <v>30</v>
      </c>
      <c r="E846" s="5" t="s">
        <v>35</v>
      </c>
      <c r="F846" s="5" t="s">
        <v>1868</v>
      </c>
      <c r="H846" s="5" t="s">
        <v>3111</v>
      </c>
      <c r="J846" s="10" t="s">
        <v>72</v>
      </c>
      <c r="L846" s="5" t="s">
        <v>3112</v>
      </c>
    </row>
    <row r="847" ht="12.75" customHeight="1">
      <c r="A847" s="5" t="s">
        <v>2871</v>
      </c>
      <c r="B847" s="5" t="s">
        <v>3113</v>
      </c>
      <c r="D847" s="5" t="s">
        <v>30</v>
      </c>
      <c r="E847" s="5" t="s">
        <v>42</v>
      </c>
      <c r="F847" s="5" t="s">
        <v>2869</v>
      </c>
      <c r="H847" s="5" t="s">
        <v>3111</v>
      </c>
      <c r="J847" s="10" t="s">
        <v>72</v>
      </c>
      <c r="L847" s="5" t="s">
        <v>3117</v>
      </c>
    </row>
    <row r="848" ht="12.75" customHeight="1">
      <c r="A848" s="5" t="s">
        <v>3118</v>
      </c>
      <c r="B848" s="5" t="s">
        <v>3119</v>
      </c>
      <c r="D848" s="5" t="s">
        <v>30</v>
      </c>
      <c r="E848" s="5" t="s">
        <v>35</v>
      </c>
      <c r="F848" s="5" t="s">
        <v>1143</v>
      </c>
      <c r="H848" s="5" t="s">
        <v>3111</v>
      </c>
      <c r="J848" s="10" t="s">
        <v>72</v>
      </c>
      <c r="L848" s="5" t="s">
        <v>3120</v>
      </c>
    </row>
    <row r="849" ht="12.75" customHeight="1">
      <c r="A849" s="5" t="s">
        <v>3121</v>
      </c>
      <c r="B849" s="5" t="s">
        <v>3122</v>
      </c>
      <c r="D849" s="5" t="s">
        <v>30</v>
      </c>
      <c r="E849" s="5" t="s">
        <v>42</v>
      </c>
      <c r="F849" s="5" t="s">
        <v>2196</v>
      </c>
      <c r="H849" s="5" t="s">
        <v>3111</v>
      </c>
      <c r="J849" s="10" t="s">
        <v>72</v>
      </c>
      <c r="L849" s="5" t="s">
        <v>3123</v>
      </c>
    </row>
    <row r="850" ht="12.75" customHeight="1">
      <c r="A850" s="5" t="s">
        <v>3124</v>
      </c>
      <c r="B850" s="5" t="s">
        <v>3125</v>
      </c>
      <c r="D850" s="5" t="s">
        <v>30</v>
      </c>
      <c r="E850" s="5" t="s">
        <v>35</v>
      </c>
      <c r="F850" s="5" t="s">
        <v>1875</v>
      </c>
      <c r="H850" s="5" t="s">
        <v>3111</v>
      </c>
      <c r="J850" s="10" t="s">
        <v>72</v>
      </c>
      <c r="L850" s="5" t="s">
        <v>3127</v>
      </c>
    </row>
    <row r="851" ht="12.75" customHeight="1">
      <c r="A851" s="5" t="s">
        <v>3129</v>
      </c>
      <c r="B851" s="5" t="s">
        <v>3130</v>
      </c>
      <c r="D851" s="5" t="s">
        <v>30</v>
      </c>
      <c r="E851" s="5" t="s">
        <v>42</v>
      </c>
      <c r="F851" s="5" t="s">
        <v>1223</v>
      </c>
      <c r="H851" s="5" t="s">
        <v>3111</v>
      </c>
      <c r="J851" s="10" t="s">
        <v>72</v>
      </c>
      <c r="L851" s="5" t="s">
        <v>3131</v>
      </c>
    </row>
    <row r="852" ht="12.75" customHeight="1">
      <c r="A852" s="5" t="s">
        <v>3132</v>
      </c>
      <c r="B852" s="5" t="s">
        <v>3133</v>
      </c>
      <c r="D852" s="5" t="s">
        <v>30</v>
      </c>
      <c r="E852" s="5" t="s">
        <v>42</v>
      </c>
      <c r="F852" s="5" t="s">
        <v>974</v>
      </c>
      <c r="H852" s="5" t="s">
        <v>3111</v>
      </c>
      <c r="J852" s="10" t="s">
        <v>72</v>
      </c>
      <c r="L852" s="5" t="s">
        <v>3134</v>
      </c>
    </row>
    <row r="853" ht="12.75" customHeight="1">
      <c r="A853" s="5" t="s">
        <v>3058</v>
      </c>
      <c r="B853" s="5" t="s">
        <v>3135</v>
      </c>
      <c r="D853" s="5" t="s">
        <v>30</v>
      </c>
      <c r="E853" s="5" t="s">
        <v>42</v>
      </c>
      <c r="F853" s="5" t="s">
        <v>157</v>
      </c>
      <c r="H853" s="5" t="s">
        <v>3053</v>
      </c>
      <c r="J853" s="10" t="s">
        <v>72</v>
      </c>
      <c r="K853" s="5" t="s">
        <v>3136</v>
      </c>
    </row>
    <row r="854" ht="12.75" customHeight="1">
      <c r="A854" s="5" t="s">
        <v>3084</v>
      </c>
      <c r="B854" s="5" t="s">
        <v>3138</v>
      </c>
      <c r="D854" s="5" t="s">
        <v>30</v>
      </c>
      <c r="E854" s="5" t="s">
        <v>42</v>
      </c>
      <c r="F854" s="5" t="s">
        <v>211</v>
      </c>
      <c r="H854" s="5" t="s">
        <v>3053</v>
      </c>
      <c r="J854" s="10" t="s">
        <v>72</v>
      </c>
      <c r="K854" s="5" t="s">
        <v>3139</v>
      </c>
    </row>
    <row r="855" ht="12.75" customHeight="1">
      <c r="A855" s="5" t="s">
        <v>3111</v>
      </c>
      <c r="B855" s="5" t="s">
        <v>3140</v>
      </c>
      <c r="D855" s="5" t="s">
        <v>30</v>
      </c>
      <c r="E855" s="5" t="s">
        <v>42</v>
      </c>
      <c r="F855" s="5" t="s">
        <v>2771</v>
      </c>
      <c r="H855" s="5" t="s">
        <v>3053</v>
      </c>
      <c r="J855" s="10" t="s">
        <v>72</v>
      </c>
      <c r="K855" s="5" t="s">
        <v>3142</v>
      </c>
    </row>
    <row r="856" ht="12.75" customHeight="1">
      <c r="A856" s="5" t="s">
        <v>3143</v>
      </c>
      <c r="B856" s="5" t="s">
        <v>3144</v>
      </c>
      <c r="D856" s="5" t="s">
        <v>30</v>
      </c>
      <c r="E856" s="5" t="s">
        <v>42</v>
      </c>
      <c r="F856" s="5" t="s">
        <v>967</v>
      </c>
      <c r="H856" s="5" t="s">
        <v>3145</v>
      </c>
      <c r="I856" s="10" t="s">
        <v>72</v>
      </c>
      <c r="J856" s="10" t="s">
        <v>72</v>
      </c>
    </row>
    <row r="857" ht="12.75" customHeight="1">
      <c r="A857" s="5" t="s">
        <v>3146</v>
      </c>
      <c r="B857" s="5" t="s">
        <v>3147</v>
      </c>
      <c r="D857" s="5" t="s">
        <v>30</v>
      </c>
      <c r="E857" s="5" t="s">
        <v>35</v>
      </c>
      <c r="F857" s="5" t="s">
        <v>1831</v>
      </c>
      <c r="H857" s="5" t="s">
        <v>3145</v>
      </c>
      <c r="J857" s="10" t="s">
        <v>72</v>
      </c>
    </row>
    <row r="858" ht="12.75" customHeight="1">
      <c r="A858" s="5" t="s">
        <v>3148</v>
      </c>
      <c r="B858" s="5" t="s">
        <v>3149</v>
      </c>
      <c r="D858" s="5" t="s">
        <v>30</v>
      </c>
      <c r="E858" s="5" t="s">
        <v>42</v>
      </c>
      <c r="F858" s="5" t="s">
        <v>157</v>
      </c>
      <c r="H858" s="5" t="s">
        <v>3145</v>
      </c>
      <c r="J858" s="10" t="s">
        <v>72</v>
      </c>
      <c r="L858" s="5" t="s">
        <v>3151</v>
      </c>
    </row>
    <row r="859" ht="12.75" customHeight="1">
      <c r="A859" s="5" t="s">
        <v>3153</v>
      </c>
      <c r="B859" s="5" t="s">
        <v>3154</v>
      </c>
      <c r="D859" s="5" t="s">
        <v>30</v>
      </c>
      <c r="E859" s="5" t="s">
        <v>35</v>
      </c>
      <c r="F859" s="5" t="s">
        <v>1886</v>
      </c>
      <c r="H859" s="5" t="s">
        <v>3145</v>
      </c>
      <c r="J859" s="10" t="s">
        <v>72</v>
      </c>
    </row>
    <row r="860" ht="12.75" customHeight="1">
      <c r="A860" s="5" t="s">
        <v>3155</v>
      </c>
      <c r="B860" s="5" t="s">
        <v>3156</v>
      </c>
      <c r="D860" s="5" t="s">
        <v>30</v>
      </c>
      <c r="E860" s="5" t="s">
        <v>42</v>
      </c>
      <c r="F860" s="5" t="s">
        <v>2420</v>
      </c>
      <c r="H860" s="5" t="s">
        <v>3145</v>
      </c>
      <c r="J860" s="10" t="s">
        <v>72</v>
      </c>
    </row>
    <row r="861" ht="12.75" customHeight="1">
      <c r="A861" s="5" t="s">
        <v>3157</v>
      </c>
      <c r="B861" s="5" t="s">
        <v>3158</v>
      </c>
      <c r="D861" s="5" t="s">
        <v>30</v>
      </c>
      <c r="E861" s="5" t="s">
        <v>35</v>
      </c>
      <c r="F861" s="5" t="s">
        <v>545</v>
      </c>
      <c r="H861" s="5" t="s">
        <v>3145</v>
      </c>
      <c r="J861" s="10" t="s">
        <v>72</v>
      </c>
    </row>
    <row r="862" ht="12.75" customHeight="1">
      <c r="A862" s="5" t="s">
        <v>3160</v>
      </c>
      <c r="B862" s="5" t="s">
        <v>3161</v>
      </c>
      <c r="D862" s="5" t="s">
        <v>30</v>
      </c>
      <c r="E862" s="5" t="s">
        <v>42</v>
      </c>
      <c r="F862" s="5" t="s">
        <v>967</v>
      </c>
      <c r="H862" s="5" t="s">
        <v>3145</v>
      </c>
      <c r="J862" s="10" t="s">
        <v>72</v>
      </c>
    </row>
    <row r="863" ht="12.75" customHeight="1">
      <c r="A863" s="5" t="s">
        <v>3163</v>
      </c>
      <c r="B863" s="5" t="s">
        <v>3164</v>
      </c>
      <c r="D863" s="5" t="s">
        <v>30</v>
      </c>
      <c r="E863" s="5" t="s">
        <v>42</v>
      </c>
      <c r="F863" s="5" t="s">
        <v>3107</v>
      </c>
      <c r="H863" s="5" t="s">
        <v>3145</v>
      </c>
      <c r="J863" s="10" t="s">
        <v>72</v>
      </c>
    </row>
    <row r="864" ht="12.75" customHeight="1">
      <c r="A864" s="5" t="s">
        <v>3165</v>
      </c>
      <c r="B864" s="5" t="s">
        <v>3166</v>
      </c>
      <c r="D864" s="5" t="s">
        <v>30</v>
      </c>
      <c r="E864" s="5" t="s">
        <v>35</v>
      </c>
      <c r="F864" s="5" t="s">
        <v>1868</v>
      </c>
      <c r="H864" s="5" t="s">
        <v>3167</v>
      </c>
      <c r="J864" s="10" t="s">
        <v>72</v>
      </c>
    </row>
    <row r="865" ht="12.75" customHeight="1">
      <c r="A865" s="5" t="s">
        <v>3168</v>
      </c>
      <c r="B865" s="5" t="s">
        <v>3169</v>
      </c>
      <c r="D865" s="5" t="s">
        <v>30</v>
      </c>
      <c r="E865" s="5" t="s">
        <v>42</v>
      </c>
      <c r="F865" s="5" t="s">
        <v>2869</v>
      </c>
      <c r="H865" s="5" t="s">
        <v>3167</v>
      </c>
      <c r="J865" s="10" t="s">
        <v>72</v>
      </c>
    </row>
    <row r="866" ht="12.75" customHeight="1">
      <c r="A866" s="5" t="s">
        <v>3170</v>
      </c>
      <c r="B866" s="5" t="s">
        <v>3172</v>
      </c>
      <c r="D866" s="5" t="s">
        <v>30</v>
      </c>
      <c r="E866" s="5" t="s">
        <v>35</v>
      </c>
      <c r="F866" s="5" t="s">
        <v>1143</v>
      </c>
      <c r="H866" s="5" t="s">
        <v>3167</v>
      </c>
      <c r="J866" s="10" t="s">
        <v>72</v>
      </c>
    </row>
    <row r="867" ht="12.75" customHeight="1">
      <c r="A867" s="5" t="s">
        <v>3174</v>
      </c>
      <c r="B867" s="5" t="s">
        <v>3175</v>
      </c>
      <c r="D867" s="5" t="s">
        <v>30</v>
      </c>
      <c r="E867" s="5" t="s">
        <v>42</v>
      </c>
      <c r="F867" s="5" t="s">
        <v>2196</v>
      </c>
      <c r="H867" s="5" t="s">
        <v>3167</v>
      </c>
      <c r="J867" s="10" t="s">
        <v>72</v>
      </c>
    </row>
    <row r="868" ht="12.75" customHeight="1">
      <c r="A868" s="5" t="s">
        <v>3176</v>
      </c>
      <c r="B868" s="5" t="s">
        <v>3177</v>
      </c>
      <c r="D868" s="5" t="s">
        <v>30</v>
      </c>
      <c r="E868" s="5" t="s">
        <v>35</v>
      </c>
      <c r="F868" s="5" t="s">
        <v>1886</v>
      </c>
      <c r="H868" s="5" t="s">
        <v>3167</v>
      </c>
      <c r="J868" s="10" t="s">
        <v>72</v>
      </c>
    </row>
    <row r="869" ht="12.75" customHeight="1">
      <c r="A869" s="5" t="s">
        <v>3178</v>
      </c>
      <c r="B869" s="5" t="s">
        <v>3179</v>
      </c>
      <c r="D869" s="5" t="s">
        <v>30</v>
      </c>
      <c r="E869" s="5" t="s">
        <v>42</v>
      </c>
      <c r="F869" s="5" t="s">
        <v>1223</v>
      </c>
      <c r="H869" s="5" t="s">
        <v>3167</v>
      </c>
      <c r="J869" s="10" t="s">
        <v>72</v>
      </c>
    </row>
    <row r="870" ht="12.75" customHeight="1">
      <c r="A870" s="5" t="s">
        <v>3182</v>
      </c>
      <c r="B870" s="5" t="s">
        <v>3183</v>
      </c>
      <c r="D870" s="5" t="s">
        <v>30</v>
      </c>
      <c r="E870" s="5" t="s">
        <v>42</v>
      </c>
      <c r="F870" s="5" t="s">
        <v>974</v>
      </c>
      <c r="H870" s="5" t="s">
        <v>3167</v>
      </c>
      <c r="J870" s="10" t="s">
        <v>72</v>
      </c>
    </row>
    <row r="871" ht="12.75" customHeight="1">
      <c r="A871" s="5" t="s">
        <v>3184</v>
      </c>
      <c r="B871" s="5" t="s">
        <v>3185</v>
      </c>
      <c r="D871" s="5" t="s">
        <v>30</v>
      </c>
      <c r="E871" s="5" t="s">
        <v>35</v>
      </c>
      <c r="F871" s="5" t="s">
        <v>3067</v>
      </c>
      <c r="H871" s="5" t="s">
        <v>3186</v>
      </c>
      <c r="J871" s="10" t="s">
        <v>72</v>
      </c>
    </row>
    <row r="872" ht="12.75" customHeight="1">
      <c r="A872" s="5" t="s">
        <v>3187</v>
      </c>
      <c r="B872" s="5" t="s">
        <v>3188</v>
      </c>
      <c r="D872" s="5" t="s">
        <v>30</v>
      </c>
      <c r="E872" s="5" t="s">
        <v>42</v>
      </c>
      <c r="F872" s="5" t="s">
        <v>157</v>
      </c>
      <c r="H872" s="5" t="s">
        <v>3186</v>
      </c>
      <c r="J872" s="10" t="s">
        <v>72</v>
      </c>
    </row>
    <row r="873" ht="12.75" customHeight="1">
      <c r="A873" s="5" t="s">
        <v>3191</v>
      </c>
      <c r="B873" s="5" t="s">
        <v>3192</v>
      </c>
      <c r="D873" s="5" t="s">
        <v>30</v>
      </c>
      <c r="E873" s="5" t="s">
        <v>35</v>
      </c>
      <c r="F873" s="5" t="s">
        <v>2401</v>
      </c>
      <c r="H873" s="5" t="s">
        <v>3186</v>
      </c>
      <c r="J873" s="10" t="s">
        <v>72</v>
      </c>
    </row>
    <row r="874" ht="12.75" customHeight="1">
      <c r="A874" s="5" t="s">
        <v>3193</v>
      </c>
      <c r="B874" s="5" t="s">
        <v>3194</v>
      </c>
      <c r="D874" s="5" t="s">
        <v>30</v>
      </c>
      <c r="E874" s="5" t="s">
        <v>42</v>
      </c>
      <c r="F874" s="5" t="s">
        <v>211</v>
      </c>
      <c r="H874" s="5" t="s">
        <v>3186</v>
      </c>
      <c r="J874" s="10" t="s">
        <v>72</v>
      </c>
    </row>
    <row r="875" ht="12.75" customHeight="1">
      <c r="A875" s="5" t="s">
        <v>3195</v>
      </c>
      <c r="B875" s="5" t="s">
        <v>3196</v>
      </c>
      <c r="D875" s="5" t="s">
        <v>30</v>
      </c>
      <c r="E875" s="5" t="s">
        <v>35</v>
      </c>
      <c r="F875" s="5" t="s">
        <v>924</v>
      </c>
      <c r="H875" s="5" t="s">
        <v>3186</v>
      </c>
      <c r="J875" s="10" t="s">
        <v>72</v>
      </c>
    </row>
    <row r="876" ht="12.75" customHeight="1">
      <c r="A876" s="5" t="s">
        <v>3199</v>
      </c>
      <c r="B876" s="5" t="s">
        <v>3200</v>
      </c>
      <c r="D876" s="5" t="s">
        <v>30</v>
      </c>
      <c r="E876" s="5" t="s">
        <v>42</v>
      </c>
      <c r="F876" s="5" t="s">
        <v>2771</v>
      </c>
      <c r="H876" s="5" t="s">
        <v>3186</v>
      </c>
      <c r="J876" s="10" t="s">
        <v>72</v>
      </c>
    </row>
    <row r="877" ht="12.75" customHeight="1">
      <c r="A877" s="5" t="s">
        <v>3201</v>
      </c>
      <c r="B877" s="5" t="s">
        <v>3202</v>
      </c>
      <c r="D877" s="5" t="s">
        <v>30</v>
      </c>
      <c r="E877" s="5" t="s">
        <v>42</v>
      </c>
      <c r="F877" s="5" t="s">
        <v>2638</v>
      </c>
      <c r="H877" s="5" t="s">
        <v>3186</v>
      </c>
      <c r="J877" s="10" t="s">
        <v>72</v>
      </c>
    </row>
    <row r="878" ht="12.75" customHeight="1">
      <c r="A878" s="5" t="s">
        <v>3145</v>
      </c>
      <c r="B878" s="5" t="s">
        <v>3203</v>
      </c>
      <c r="C878" s="5" t="s">
        <v>3204</v>
      </c>
      <c r="D878" s="5" t="s">
        <v>30</v>
      </c>
      <c r="E878" s="5" t="s">
        <v>42</v>
      </c>
      <c r="F878" s="5" t="s">
        <v>967</v>
      </c>
      <c r="H878" s="5" t="s">
        <v>3053</v>
      </c>
      <c r="J878" s="10" t="s">
        <v>72</v>
      </c>
      <c r="K878" s="5" t="s">
        <v>3207</v>
      </c>
      <c r="L878" s="5" t="s">
        <v>3143</v>
      </c>
    </row>
    <row r="879" ht="12.75" customHeight="1">
      <c r="A879" s="5" t="s">
        <v>3167</v>
      </c>
      <c r="B879" s="5" t="s">
        <v>3208</v>
      </c>
      <c r="C879" s="5" t="s">
        <v>3204</v>
      </c>
      <c r="D879" s="5" t="s">
        <v>30</v>
      </c>
      <c r="E879" s="5" t="s">
        <v>42</v>
      </c>
      <c r="F879" s="5" t="s">
        <v>535</v>
      </c>
      <c r="H879" s="5" t="s">
        <v>3053</v>
      </c>
      <c r="J879" s="10" t="s">
        <v>72</v>
      </c>
      <c r="K879" s="5" t="s">
        <v>3209</v>
      </c>
    </row>
    <row r="880" ht="12.75" customHeight="1">
      <c r="A880" s="5" t="s">
        <v>3186</v>
      </c>
      <c r="B880" s="5" t="s">
        <v>3210</v>
      </c>
      <c r="C880" s="5" t="s">
        <v>3204</v>
      </c>
      <c r="D880" s="5" t="s">
        <v>30</v>
      </c>
      <c r="E880" s="5" t="s">
        <v>42</v>
      </c>
      <c r="F880" s="5" t="s">
        <v>2420</v>
      </c>
      <c r="H880" s="5" t="s">
        <v>3053</v>
      </c>
      <c r="J880" s="10" t="s">
        <v>72</v>
      </c>
      <c r="K880" s="5" t="s">
        <v>3212</v>
      </c>
    </row>
    <row r="881" ht="12.75" customHeight="1">
      <c r="A881" s="5" t="s">
        <v>3214</v>
      </c>
      <c r="B881" s="5" t="s">
        <v>3215</v>
      </c>
      <c r="D881" s="5" t="s">
        <v>30</v>
      </c>
      <c r="E881" s="5" t="s">
        <v>42</v>
      </c>
      <c r="F881" s="5" t="s">
        <v>2869</v>
      </c>
      <c r="H881" s="5" t="s">
        <v>3216</v>
      </c>
      <c r="I881" s="10" t="s">
        <v>72</v>
      </c>
      <c r="J881" s="10" t="s">
        <v>72</v>
      </c>
    </row>
    <row r="882" ht="12.75" customHeight="1">
      <c r="A882" s="5" t="s">
        <v>3217</v>
      </c>
      <c r="B882" s="5" t="s">
        <v>3218</v>
      </c>
      <c r="D882" s="5" t="s">
        <v>30</v>
      </c>
      <c r="E882" s="5" t="s">
        <v>35</v>
      </c>
      <c r="F882" s="5" t="s">
        <v>1143</v>
      </c>
      <c r="H882" s="5" t="s">
        <v>3216</v>
      </c>
      <c r="J882" s="10" t="s">
        <v>72</v>
      </c>
    </row>
    <row r="883" ht="12.75" customHeight="1">
      <c r="A883" s="5" t="s">
        <v>3219</v>
      </c>
      <c r="B883" s="5" t="s">
        <v>3220</v>
      </c>
      <c r="D883" s="5" t="s">
        <v>30</v>
      </c>
      <c r="E883" s="5" t="s">
        <v>42</v>
      </c>
      <c r="F883" s="5" t="s">
        <v>3107</v>
      </c>
      <c r="H883" s="5" t="s">
        <v>3216</v>
      </c>
      <c r="J883" s="10" t="s">
        <v>72</v>
      </c>
    </row>
    <row r="884" ht="12.75" customHeight="1">
      <c r="A884" s="5" t="s">
        <v>3223</v>
      </c>
      <c r="B884" s="5" t="s">
        <v>3224</v>
      </c>
      <c r="D884" s="5" t="s">
        <v>30</v>
      </c>
      <c r="E884" s="5" t="s">
        <v>35</v>
      </c>
      <c r="F884" s="5" t="s">
        <v>1875</v>
      </c>
      <c r="H884" s="5" t="s">
        <v>3216</v>
      </c>
      <c r="J884" s="10" t="s">
        <v>72</v>
      </c>
    </row>
    <row r="885" ht="12.75" customHeight="1">
      <c r="A885" s="5" t="s">
        <v>3225</v>
      </c>
      <c r="B885" s="5" t="s">
        <v>3226</v>
      </c>
      <c r="D885" s="5" t="s">
        <v>30</v>
      </c>
      <c r="E885" s="5" t="s">
        <v>42</v>
      </c>
      <c r="F885" s="5" t="s">
        <v>2869</v>
      </c>
      <c r="H885" s="5" t="s">
        <v>3216</v>
      </c>
      <c r="J885" s="10" t="s">
        <v>72</v>
      </c>
    </row>
    <row r="886" ht="12.75" customHeight="1">
      <c r="A886" s="5" t="s">
        <v>3227</v>
      </c>
      <c r="B886" s="5" t="s">
        <v>3228</v>
      </c>
      <c r="D886" s="5" t="s">
        <v>30</v>
      </c>
      <c r="E886" s="5" t="s">
        <v>35</v>
      </c>
      <c r="F886" s="5" t="s">
        <v>96</v>
      </c>
      <c r="H886" s="5" t="s">
        <v>3216</v>
      </c>
      <c r="J886" s="10" t="s">
        <v>72</v>
      </c>
    </row>
    <row r="887" ht="12.75" customHeight="1">
      <c r="A887" s="5" t="s">
        <v>3230</v>
      </c>
      <c r="B887" s="5" t="s">
        <v>3231</v>
      </c>
      <c r="D887" s="5" t="s">
        <v>30</v>
      </c>
      <c r="E887" s="5" t="s">
        <v>42</v>
      </c>
      <c r="F887" s="5" t="s">
        <v>2196</v>
      </c>
      <c r="H887" s="5" t="s">
        <v>3216</v>
      </c>
      <c r="J887" s="10" t="s">
        <v>72</v>
      </c>
    </row>
    <row r="888" ht="12.75" customHeight="1">
      <c r="A888" s="5" t="s">
        <v>3233</v>
      </c>
      <c r="B888" s="5" t="s">
        <v>3234</v>
      </c>
      <c r="D888" s="5" t="s">
        <v>30</v>
      </c>
      <c r="E888" s="5" t="s">
        <v>42</v>
      </c>
      <c r="F888" s="5" t="s">
        <v>1223</v>
      </c>
      <c r="H888" s="5" t="s">
        <v>3216</v>
      </c>
      <c r="J888" s="10" t="s">
        <v>72</v>
      </c>
    </row>
    <row r="889" ht="12.75" customHeight="1">
      <c r="A889" s="5" t="s">
        <v>3235</v>
      </c>
      <c r="B889" s="5" t="s">
        <v>3236</v>
      </c>
      <c r="D889" s="5" t="s">
        <v>30</v>
      </c>
      <c r="E889" s="5" t="s">
        <v>35</v>
      </c>
      <c r="F889" s="5" t="s">
        <v>1886</v>
      </c>
      <c r="H889" s="5" t="s">
        <v>3237</v>
      </c>
      <c r="J889" s="10" t="s">
        <v>72</v>
      </c>
    </row>
    <row r="890" ht="12.75" customHeight="1">
      <c r="A890" s="5" t="s">
        <v>3239</v>
      </c>
      <c r="B890" s="5" t="s">
        <v>3240</v>
      </c>
      <c r="D890" s="5" t="s">
        <v>30</v>
      </c>
      <c r="E890" s="5" t="s">
        <v>42</v>
      </c>
      <c r="F890" s="5" t="s">
        <v>974</v>
      </c>
      <c r="H890" s="5" t="s">
        <v>3237</v>
      </c>
      <c r="J890" s="10" t="s">
        <v>72</v>
      </c>
    </row>
    <row r="891" ht="12.75" customHeight="1">
      <c r="A891" s="5" t="s">
        <v>3242</v>
      </c>
      <c r="B891" s="5" t="s">
        <v>3243</v>
      </c>
      <c r="D891" s="5" t="s">
        <v>30</v>
      </c>
      <c r="E891" s="5" t="s">
        <v>35</v>
      </c>
      <c r="F891" s="5" t="s">
        <v>3067</v>
      </c>
      <c r="H891" s="5" t="s">
        <v>3237</v>
      </c>
      <c r="J891" s="10" t="s">
        <v>72</v>
      </c>
    </row>
    <row r="892" ht="12.75" customHeight="1">
      <c r="A892" s="5" t="s">
        <v>3244</v>
      </c>
      <c r="B892" s="5" t="s">
        <v>3245</v>
      </c>
      <c r="D892" s="5" t="s">
        <v>30</v>
      </c>
      <c r="E892" s="5" t="s">
        <v>42</v>
      </c>
      <c r="F892" s="5" t="s">
        <v>157</v>
      </c>
      <c r="H892" s="5" t="s">
        <v>3237</v>
      </c>
      <c r="J892" s="10" t="s">
        <v>72</v>
      </c>
    </row>
    <row r="893" ht="12.75" customHeight="1">
      <c r="A893" s="5" t="s">
        <v>3246</v>
      </c>
      <c r="B893" s="5" t="s">
        <v>3248</v>
      </c>
      <c r="D893" s="5" t="s">
        <v>30</v>
      </c>
      <c r="E893" s="5" t="s">
        <v>35</v>
      </c>
      <c r="F893" s="5" t="s">
        <v>680</v>
      </c>
      <c r="H893" s="5" t="s">
        <v>3237</v>
      </c>
      <c r="J893" s="10" t="s">
        <v>72</v>
      </c>
    </row>
    <row r="894" ht="12.75" customHeight="1">
      <c r="A894" s="5" t="s">
        <v>3250</v>
      </c>
      <c r="B894" s="5" t="s">
        <v>3251</v>
      </c>
      <c r="D894" s="5" t="s">
        <v>30</v>
      </c>
      <c r="E894" s="5" t="s">
        <v>42</v>
      </c>
      <c r="F894" s="5" t="s">
        <v>2771</v>
      </c>
      <c r="H894" s="5" t="s">
        <v>3237</v>
      </c>
      <c r="J894" s="10" t="s">
        <v>72</v>
      </c>
    </row>
    <row r="895" ht="12.75" customHeight="1">
      <c r="A895" s="5" t="s">
        <v>3252</v>
      </c>
      <c r="B895" s="5" t="s">
        <v>3253</v>
      </c>
      <c r="D895" s="5" t="s">
        <v>30</v>
      </c>
      <c r="E895" s="5" t="s">
        <v>42</v>
      </c>
      <c r="F895" s="5" t="s">
        <v>2638</v>
      </c>
      <c r="H895" s="5" t="s">
        <v>3237</v>
      </c>
      <c r="J895" s="10" t="s">
        <v>72</v>
      </c>
    </row>
    <row r="896" ht="12.75" customHeight="1">
      <c r="A896" s="5" t="s">
        <v>3254</v>
      </c>
      <c r="B896" s="5" t="s">
        <v>3255</v>
      </c>
      <c r="D896" s="5" t="s">
        <v>30</v>
      </c>
      <c r="E896" s="5" t="s">
        <v>35</v>
      </c>
      <c r="F896" s="5" t="s">
        <v>2401</v>
      </c>
      <c r="H896" s="5" t="s">
        <v>3256</v>
      </c>
      <c r="J896" s="10" t="s">
        <v>72</v>
      </c>
    </row>
    <row r="897" ht="12.75" customHeight="1">
      <c r="A897" s="5" t="s">
        <v>3258</v>
      </c>
      <c r="B897" s="5" t="s">
        <v>3259</v>
      </c>
      <c r="D897" s="5" t="s">
        <v>30</v>
      </c>
      <c r="E897" s="5" t="s">
        <v>42</v>
      </c>
      <c r="F897" s="5" t="s">
        <v>967</v>
      </c>
      <c r="H897" s="5" t="s">
        <v>3256</v>
      </c>
      <c r="J897" s="10" t="s">
        <v>72</v>
      </c>
    </row>
    <row r="898" ht="12.75" customHeight="1">
      <c r="A898" s="5" t="s">
        <v>3261</v>
      </c>
      <c r="B898" s="5" t="s">
        <v>3262</v>
      </c>
      <c r="D898" s="5" t="s">
        <v>30</v>
      </c>
      <c r="E898" s="5" t="s">
        <v>35</v>
      </c>
      <c r="F898" s="5" t="s">
        <v>924</v>
      </c>
      <c r="H898" s="5" t="s">
        <v>3237</v>
      </c>
      <c r="J898" s="10" t="s">
        <v>72</v>
      </c>
    </row>
    <row r="899" ht="12.75" customHeight="1">
      <c r="A899" s="5" t="s">
        <v>3263</v>
      </c>
      <c r="B899" s="5" t="s">
        <v>3264</v>
      </c>
      <c r="D899" s="5" t="s">
        <v>30</v>
      </c>
      <c r="E899" s="5" t="s">
        <v>42</v>
      </c>
      <c r="F899" s="5" t="s">
        <v>535</v>
      </c>
      <c r="H899" s="5" t="s">
        <v>3256</v>
      </c>
      <c r="J899" s="10" t="s">
        <v>72</v>
      </c>
    </row>
    <row r="900" ht="12.75" customHeight="1">
      <c r="A900" s="5" t="s">
        <v>3265</v>
      </c>
      <c r="B900" s="5" t="s">
        <v>3266</v>
      </c>
      <c r="D900" s="5" t="s">
        <v>30</v>
      </c>
      <c r="E900" s="5" t="s">
        <v>35</v>
      </c>
      <c r="F900" s="5" t="s">
        <v>545</v>
      </c>
      <c r="H900" s="5" t="s">
        <v>3256</v>
      </c>
      <c r="J900" s="10" t="s">
        <v>72</v>
      </c>
    </row>
    <row r="901" ht="12.75" customHeight="1">
      <c r="A901" s="5" t="s">
        <v>3267</v>
      </c>
      <c r="B901" s="5" t="s">
        <v>3268</v>
      </c>
      <c r="D901" s="5" t="s">
        <v>30</v>
      </c>
      <c r="E901" s="5" t="s">
        <v>42</v>
      </c>
      <c r="F901" s="5" t="s">
        <v>2420</v>
      </c>
      <c r="H901" s="5" t="s">
        <v>3256</v>
      </c>
      <c r="J901" s="10" t="s">
        <v>72</v>
      </c>
    </row>
    <row r="902" ht="12.75" customHeight="1">
      <c r="A902" s="5" t="s">
        <v>3270</v>
      </c>
      <c r="B902" s="5" t="s">
        <v>3271</v>
      </c>
      <c r="D902" s="5" t="s">
        <v>30</v>
      </c>
      <c r="E902" s="5" t="s">
        <v>42</v>
      </c>
      <c r="F902" s="5" t="s">
        <v>3107</v>
      </c>
      <c r="H902" s="5" t="s">
        <v>3256</v>
      </c>
      <c r="J902" s="10" t="s">
        <v>72</v>
      </c>
    </row>
    <row r="903" ht="12.75" customHeight="1">
      <c r="A903" s="5" t="s">
        <v>3216</v>
      </c>
      <c r="B903" s="5" t="s">
        <v>3273</v>
      </c>
      <c r="C903" s="5" t="s">
        <v>3274</v>
      </c>
      <c r="D903" s="5" t="s">
        <v>30</v>
      </c>
      <c r="E903" s="5" t="s">
        <v>42</v>
      </c>
      <c r="F903" s="5" t="s">
        <v>2869</v>
      </c>
      <c r="H903" s="5" t="s">
        <v>3053</v>
      </c>
      <c r="J903" s="10" t="s">
        <v>72</v>
      </c>
      <c r="K903" s="5" t="s">
        <v>3275</v>
      </c>
      <c r="L903" s="5" t="s">
        <v>3214</v>
      </c>
    </row>
    <row r="904" ht="12.75" customHeight="1">
      <c r="A904" s="5" t="s">
        <v>3237</v>
      </c>
      <c r="B904" s="5" t="s">
        <v>3276</v>
      </c>
      <c r="C904" s="5" t="s">
        <v>3274</v>
      </c>
      <c r="D904" s="5" t="s">
        <v>30</v>
      </c>
      <c r="E904" s="5" t="s">
        <v>42</v>
      </c>
      <c r="F904" s="5" t="s">
        <v>2196</v>
      </c>
      <c r="H904" s="5" t="s">
        <v>3053</v>
      </c>
      <c r="J904" s="10" t="s">
        <v>72</v>
      </c>
      <c r="K904" s="5" t="s">
        <v>3277</v>
      </c>
    </row>
    <row r="905" ht="12.75" customHeight="1">
      <c r="A905" s="5" t="s">
        <v>3256</v>
      </c>
      <c r="B905" s="5" t="s">
        <v>3279</v>
      </c>
      <c r="C905" s="5" t="s">
        <v>3274</v>
      </c>
      <c r="D905" s="5" t="s">
        <v>30</v>
      </c>
      <c r="E905" s="5" t="s">
        <v>42</v>
      </c>
      <c r="F905" s="5" t="s">
        <v>1223</v>
      </c>
      <c r="H905" s="5" t="s">
        <v>3053</v>
      </c>
      <c r="J905" s="10" t="s">
        <v>72</v>
      </c>
      <c r="K905" s="5" t="s">
        <v>3281</v>
      </c>
    </row>
    <row r="906" ht="12.75" customHeight="1">
      <c r="A906" s="5" t="s">
        <v>3282</v>
      </c>
      <c r="B906" s="5" t="s">
        <v>3283</v>
      </c>
      <c r="D906" s="5" t="s">
        <v>30</v>
      </c>
      <c r="E906" s="5" t="s">
        <v>42</v>
      </c>
      <c r="F906" s="5" t="s">
        <v>157</v>
      </c>
      <c r="H906" s="5" t="s">
        <v>3284</v>
      </c>
      <c r="I906" s="10" t="s">
        <v>72</v>
      </c>
      <c r="J906" s="10" t="s">
        <v>72</v>
      </c>
    </row>
    <row r="907" ht="12.75" customHeight="1">
      <c r="A907" s="5" t="s">
        <v>3285</v>
      </c>
      <c r="B907" s="5" t="s">
        <v>3286</v>
      </c>
      <c r="D907" s="5" t="s">
        <v>30</v>
      </c>
      <c r="E907" s="5" t="s">
        <v>35</v>
      </c>
      <c r="F907" s="5" t="s">
        <v>1868</v>
      </c>
      <c r="H907" s="5" t="s">
        <v>3284</v>
      </c>
      <c r="J907" s="10" t="s">
        <v>72</v>
      </c>
    </row>
    <row r="908" ht="12.75" customHeight="1">
      <c r="A908" s="5" t="s">
        <v>3287</v>
      </c>
      <c r="B908" s="5" t="s">
        <v>3288</v>
      </c>
      <c r="D908" s="5" t="s">
        <v>30</v>
      </c>
      <c r="E908" s="5" t="s">
        <v>42</v>
      </c>
      <c r="F908" s="5" t="s">
        <v>974</v>
      </c>
      <c r="H908" s="5" t="s">
        <v>3284</v>
      </c>
      <c r="J908" s="10" t="s">
        <v>72</v>
      </c>
    </row>
    <row r="909" ht="12.75" customHeight="1">
      <c r="A909" s="5" t="s">
        <v>3291</v>
      </c>
      <c r="B909" s="5" t="s">
        <v>3292</v>
      </c>
      <c r="D909" s="5" t="s">
        <v>30</v>
      </c>
      <c r="E909" s="5" t="s">
        <v>42</v>
      </c>
      <c r="F909" s="5" t="s">
        <v>535</v>
      </c>
      <c r="H909" s="5" t="s">
        <v>3284</v>
      </c>
      <c r="J909" s="10" t="s">
        <v>72</v>
      </c>
    </row>
    <row r="910" ht="12.75" customHeight="1">
      <c r="A910" s="5" t="s">
        <v>3293</v>
      </c>
      <c r="B910" s="5" t="s">
        <v>3294</v>
      </c>
      <c r="D910" s="5" t="s">
        <v>30</v>
      </c>
      <c r="E910" s="5" t="s">
        <v>42</v>
      </c>
      <c r="F910" s="5" t="s">
        <v>157</v>
      </c>
      <c r="H910" s="5" t="s">
        <v>3284</v>
      </c>
      <c r="J910" s="10" t="s">
        <v>72</v>
      </c>
    </row>
    <row r="911" ht="12.75" customHeight="1">
      <c r="A911" s="5" t="s">
        <v>3295</v>
      </c>
      <c r="B911" s="5" t="s">
        <v>3296</v>
      </c>
      <c r="D911" s="5" t="s">
        <v>30</v>
      </c>
      <c r="E911" s="5" t="s">
        <v>35</v>
      </c>
      <c r="F911" s="5" t="s">
        <v>1143</v>
      </c>
      <c r="H911" s="5" t="s">
        <v>3284</v>
      </c>
      <c r="J911" s="10" t="s">
        <v>72</v>
      </c>
    </row>
    <row r="912" ht="12.75" customHeight="1">
      <c r="A912" s="5" t="s">
        <v>3299</v>
      </c>
      <c r="B912" s="5" t="s">
        <v>3300</v>
      </c>
      <c r="D912" s="5" t="s">
        <v>30</v>
      </c>
      <c r="E912" s="5" t="s">
        <v>42</v>
      </c>
      <c r="F912" s="5" t="s">
        <v>2771</v>
      </c>
      <c r="H912" s="5" t="s">
        <v>3284</v>
      </c>
      <c r="J912" s="10" t="s">
        <v>72</v>
      </c>
    </row>
    <row r="913" ht="12.75" customHeight="1">
      <c r="A913" s="5" t="s">
        <v>3301</v>
      </c>
      <c r="B913" s="5" t="s">
        <v>3302</v>
      </c>
      <c r="D913" s="5" t="s">
        <v>30</v>
      </c>
      <c r="E913" s="5" t="s">
        <v>42</v>
      </c>
      <c r="F913" s="5" t="s">
        <v>2638</v>
      </c>
      <c r="H913" s="5" t="s">
        <v>3284</v>
      </c>
      <c r="J913" s="10" t="s">
        <v>72</v>
      </c>
    </row>
    <row r="914" ht="12.75" customHeight="1">
      <c r="A914" s="5" t="s">
        <v>3303</v>
      </c>
      <c r="B914" s="5" t="s">
        <v>3304</v>
      </c>
      <c r="D914" s="5" t="s">
        <v>30</v>
      </c>
      <c r="E914" s="5" t="s">
        <v>35</v>
      </c>
      <c r="F914" s="5" t="s">
        <v>1875</v>
      </c>
      <c r="H914" s="5" t="s">
        <v>3305</v>
      </c>
      <c r="J914" s="10" t="s">
        <v>72</v>
      </c>
    </row>
    <row r="915" ht="12.75" customHeight="1">
      <c r="A915" s="5" t="s">
        <v>3306</v>
      </c>
      <c r="B915" s="5" t="s">
        <v>3308</v>
      </c>
      <c r="D915" s="5" t="s">
        <v>30</v>
      </c>
      <c r="E915" s="5" t="s">
        <v>42</v>
      </c>
      <c r="F915" s="5" t="s">
        <v>967</v>
      </c>
      <c r="H915" s="5" t="s">
        <v>3305</v>
      </c>
      <c r="J915" s="10" t="s">
        <v>72</v>
      </c>
    </row>
    <row r="916" ht="12.75" customHeight="1">
      <c r="A916" s="5" t="s">
        <v>3310</v>
      </c>
      <c r="B916" s="5" t="s">
        <v>3311</v>
      </c>
      <c r="D916" s="5" t="s">
        <v>30</v>
      </c>
      <c r="E916" s="5" t="s">
        <v>35</v>
      </c>
      <c r="F916" s="5" t="s">
        <v>3067</v>
      </c>
      <c r="H916" s="5" t="s">
        <v>3305</v>
      </c>
      <c r="J916" s="10" t="s">
        <v>72</v>
      </c>
    </row>
    <row r="917" ht="12.75" customHeight="1">
      <c r="A917" s="5" t="s">
        <v>3312</v>
      </c>
      <c r="B917" s="5" t="s">
        <v>3313</v>
      </c>
      <c r="D917" s="5" t="s">
        <v>30</v>
      </c>
      <c r="E917" s="5" t="s">
        <v>42</v>
      </c>
      <c r="F917" s="5" t="s">
        <v>535</v>
      </c>
      <c r="H917" s="5" t="s">
        <v>3305</v>
      </c>
      <c r="J917" s="10" t="s">
        <v>72</v>
      </c>
    </row>
    <row r="918" ht="12.75" customHeight="1">
      <c r="A918" s="5" t="s">
        <v>3314</v>
      </c>
      <c r="B918" s="5" t="s">
        <v>3316</v>
      </c>
      <c r="D918" s="5" t="s">
        <v>30</v>
      </c>
      <c r="E918" s="5" t="s">
        <v>35</v>
      </c>
      <c r="F918" s="5" t="s">
        <v>2401</v>
      </c>
      <c r="H918" s="5" t="s">
        <v>3305</v>
      </c>
      <c r="J918" s="10" t="s">
        <v>72</v>
      </c>
    </row>
    <row r="919" ht="12.75" customHeight="1">
      <c r="A919" s="5" t="s">
        <v>3318</v>
      </c>
      <c r="B919" s="5" t="s">
        <v>3319</v>
      </c>
      <c r="D919" s="5" t="s">
        <v>30</v>
      </c>
      <c r="E919" s="5" t="s">
        <v>42</v>
      </c>
      <c r="F919" s="5" t="s">
        <v>2420</v>
      </c>
      <c r="H919" s="5" t="s">
        <v>3305</v>
      </c>
      <c r="J919" s="10" t="s">
        <v>72</v>
      </c>
    </row>
    <row r="920" ht="12.75" customHeight="1">
      <c r="A920" s="5" t="s">
        <v>3320</v>
      </c>
      <c r="B920" s="5" t="s">
        <v>3321</v>
      </c>
      <c r="D920" s="5" t="s">
        <v>30</v>
      </c>
      <c r="E920" s="5" t="s">
        <v>42</v>
      </c>
      <c r="F920" s="5" t="s">
        <v>3107</v>
      </c>
      <c r="H920" s="5" t="s">
        <v>3305</v>
      </c>
      <c r="J920" s="10" t="s">
        <v>72</v>
      </c>
    </row>
    <row r="921" ht="12.75" customHeight="1">
      <c r="A921" s="5" t="s">
        <v>3322</v>
      </c>
      <c r="B921" s="5" t="s">
        <v>3323</v>
      </c>
      <c r="D921" s="5" t="s">
        <v>30</v>
      </c>
      <c r="E921" s="5" t="s">
        <v>35</v>
      </c>
      <c r="F921" s="5" t="s">
        <v>924</v>
      </c>
      <c r="H921" s="5" t="s">
        <v>3326</v>
      </c>
      <c r="J921" s="10" t="s">
        <v>72</v>
      </c>
    </row>
    <row r="922" ht="12.75" customHeight="1">
      <c r="A922" s="5" t="s">
        <v>3327</v>
      </c>
      <c r="B922" s="5" t="s">
        <v>3328</v>
      </c>
      <c r="D922" s="5" t="s">
        <v>30</v>
      </c>
      <c r="E922" s="5" t="s">
        <v>42</v>
      </c>
      <c r="F922" s="5" t="s">
        <v>2869</v>
      </c>
      <c r="H922" s="5" t="s">
        <v>3326</v>
      </c>
      <c r="J922" s="10" t="s">
        <v>72</v>
      </c>
    </row>
    <row r="923" ht="12.75" customHeight="1">
      <c r="A923" s="5" t="s">
        <v>3329</v>
      </c>
      <c r="B923" s="5" t="s">
        <v>3330</v>
      </c>
      <c r="D923" s="5" t="s">
        <v>30</v>
      </c>
      <c r="E923" s="5" t="s">
        <v>35</v>
      </c>
      <c r="F923" s="5" t="s">
        <v>545</v>
      </c>
      <c r="H923" s="5" t="s">
        <v>3326</v>
      </c>
      <c r="J923" s="10" t="s">
        <v>72</v>
      </c>
    </row>
    <row r="924" ht="12.75" customHeight="1">
      <c r="A924" s="5" t="s">
        <v>3331</v>
      </c>
      <c r="B924" s="5" t="s">
        <v>3332</v>
      </c>
      <c r="D924" s="5" t="s">
        <v>30</v>
      </c>
      <c r="E924" s="5" t="s">
        <v>42</v>
      </c>
      <c r="F924" s="5" t="s">
        <v>2196</v>
      </c>
      <c r="H924" s="5" t="s">
        <v>3326</v>
      </c>
      <c r="J924" s="10" t="s">
        <v>72</v>
      </c>
    </row>
    <row r="925" ht="12.75" customHeight="1">
      <c r="A925" s="5" t="s">
        <v>3335</v>
      </c>
      <c r="B925" s="5" t="s">
        <v>3336</v>
      </c>
      <c r="D925" s="5" t="s">
        <v>30</v>
      </c>
      <c r="E925" s="5" t="s">
        <v>35</v>
      </c>
      <c r="F925" s="5" t="s">
        <v>1868</v>
      </c>
      <c r="H925" s="5" t="s">
        <v>3326</v>
      </c>
      <c r="J925" s="10" t="s">
        <v>72</v>
      </c>
    </row>
    <row r="926" ht="12.75" customHeight="1">
      <c r="A926" s="5" t="s">
        <v>3337</v>
      </c>
      <c r="B926" s="5" t="s">
        <v>3338</v>
      </c>
      <c r="D926" s="5" t="s">
        <v>30</v>
      </c>
      <c r="E926" s="5" t="s">
        <v>42</v>
      </c>
      <c r="F926" s="5" t="s">
        <v>1223</v>
      </c>
      <c r="H926" s="5" t="s">
        <v>3326</v>
      </c>
      <c r="J926" s="10" t="s">
        <v>72</v>
      </c>
    </row>
    <row r="927" ht="12.75" customHeight="1">
      <c r="A927" s="5" t="s">
        <v>3339</v>
      </c>
      <c r="B927" s="5" t="s">
        <v>3340</v>
      </c>
      <c r="D927" s="5" t="s">
        <v>30</v>
      </c>
      <c r="E927" s="5" t="s">
        <v>42</v>
      </c>
      <c r="F927" s="5" t="s">
        <v>974</v>
      </c>
      <c r="H927" s="5" t="s">
        <v>3326</v>
      </c>
      <c r="J927" s="10" t="s">
        <v>72</v>
      </c>
    </row>
    <row r="928" ht="12.75" customHeight="1">
      <c r="A928" s="5" t="s">
        <v>3284</v>
      </c>
      <c r="B928" s="5" t="s">
        <v>3343</v>
      </c>
      <c r="C928" s="5" t="s">
        <v>3344</v>
      </c>
      <c r="D928" s="5" t="s">
        <v>30</v>
      </c>
      <c r="E928" s="5" t="s">
        <v>42</v>
      </c>
      <c r="F928" s="5" t="s">
        <v>157</v>
      </c>
      <c r="H928" s="5" t="s">
        <v>3053</v>
      </c>
      <c r="J928" s="10" t="s">
        <v>72</v>
      </c>
      <c r="K928" s="5" t="s">
        <v>3345</v>
      </c>
      <c r="L928" s="5" t="s">
        <v>3282</v>
      </c>
    </row>
    <row r="929" ht="12.75" customHeight="1">
      <c r="A929" s="5" t="s">
        <v>3305</v>
      </c>
      <c r="B929" s="5" t="s">
        <v>3346</v>
      </c>
      <c r="C929" s="5" t="s">
        <v>3344</v>
      </c>
      <c r="D929" s="5" t="s">
        <v>30</v>
      </c>
      <c r="E929" s="5" t="s">
        <v>42</v>
      </c>
      <c r="F929" s="5" t="s">
        <v>211</v>
      </c>
      <c r="H929" s="5" t="s">
        <v>3053</v>
      </c>
      <c r="J929" s="10" t="s">
        <v>72</v>
      </c>
      <c r="K929" s="5" t="s">
        <v>3347</v>
      </c>
    </row>
    <row r="930" ht="12.75" customHeight="1">
      <c r="A930" s="5" t="s">
        <v>3326</v>
      </c>
      <c r="B930" s="5" t="s">
        <v>3349</v>
      </c>
      <c r="C930" s="5" t="s">
        <v>3344</v>
      </c>
      <c r="D930" s="5" t="s">
        <v>30</v>
      </c>
      <c r="E930" s="5" t="s">
        <v>42</v>
      </c>
      <c r="F930" s="5" t="s">
        <v>2771</v>
      </c>
      <c r="H930" s="5" t="s">
        <v>3053</v>
      </c>
      <c r="J930" s="10" t="s">
        <v>72</v>
      </c>
      <c r="K930" s="5" t="s">
        <v>3351</v>
      </c>
    </row>
    <row r="931" ht="12.75" customHeight="1">
      <c r="A931" s="5" t="s">
        <v>3352</v>
      </c>
      <c r="B931" s="5" t="s">
        <v>3353</v>
      </c>
      <c r="D931" s="5" t="s">
        <v>30</v>
      </c>
      <c r="E931" s="5" t="s">
        <v>42</v>
      </c>
      <c r="F931" s="5" t="s">
        <v>535</v>
      </c>
      <c r="H931" s="5" t="s">
        <v>3354</v>
      </c>
      <c r="I931" s="10" t="s">
        <v>72</v>
      </c>
      <c r="J931" s="10" t="s">
        <v>72</v>
      </c>
    </row>
    <row r="932" ht="12.75" customHeight="1">
      <c r="A932" s="5" t="s">
        <v>3355</v>
      </c>
      <c r="B932" s="5" t="s">
        <v>3356</v>
      </c>
      <c r="D932" s="5" t="s">
        <v>30</v>
      </c>
      <c r="E932" s="5" t="s">
        <v>35</v>
      </c>
      <c r="F932" s="5" t="s">
        <v>1143</v>
      </c>
      <c r="H932" s="5" t="s">
        <v>3354</v>
      </c>
      <c r="J932" s="10" t="s">
        <v>72</v>
      </c>
    </row>
    <row r="933" ht="12.75" customHeight="1">
      <c r="A933" s="5" t="s">
        <v>3358</v>
      </c>
      <c r="B933" s="5" t="s">
        <v>3360</v>
      </c>
      <c r="D933" s="5" t="s">
        <v>30</v>
      </c>
      <c r="E933" s="5" t="s">
        <v>42</v>
      </c>
      <c r="F933" s="5" t="s">
        <v>2638</v>
      </c>
      <c r="H933" s="5" t="s">
        <v>3354</v>
      </c>
      <c r="J933" s="10" t="s">
        <v>72</v>
      </c>
    </row>
    <row r="934" ht="12.75" customHeight="1">
      <c r="A934" s="5" t="s">
        <v>3361</v>
      </c>
      <c r="B934" s="5" t="s">
        <v>3362</v>
      </c>
      <c r="D934" s="5" t="s">
        <v>30</v>
      </c>
      <c r="E934" s="5" t="s">
        <v>35</v>
      </c>
      <c r="F934" s="5" t="s">
        <v>1875</v>
      </c>
      <c r="H934" s="5" t="s">
        <v>3354</v>
      </c>
    </row>
    <row r="935" ht="12.75" customHeight="1">
      <c r="A935" s="5" t="s">
        <v>3363</v>
      </c>
      <c r="B935" s="5" t="s">
        <v>3364</v>
      </c>
      <c r="D935" s="5" t="s">
        <v>30</v>
      </c>
      <c r="E935" s="5" t="s">
        <v>42</v>
      </c>
      <c r="F935" s="5" t="s">
        <v>967</v>
      </c>
      <c r="H935" s="5" t="s">
        <v>3354</v>
      </c>
      <c r="J935" s="10" t="s">
        <v>72</v>
      </c>
    </row>
    <row r="936" ht="12.75" customHeight="1">
      <c r="A936" s="5" t="s">
        <v>3366</v>
      </c>
      <c r="B936" s="5" t="s">
        <v>3367</v>
      </c>
      <c r="D936" s="5" t="s">
        <v>30</v>
      </c>
      <c r="E936" s="5" t="s">
        <v>35</v>
      </c>
      <c r="F936" s="5" t="s">
        <v>1886</v>
      </c>
      <c r="H936" s="5" t="s">
        <v>3354</v>
      </c>
      <c r="J936" s="10" t="s">
        <v>72</v>
      </c>
    </row>
    <row r="937" ht="12.75" customHeight="1">
      <c r="A937" s="5" t="s">
        <v>3369</v>
      </c>
      <c r="B937" s="5" t="s">
        <v>3370</v>
      </c>
      <c r="D937" s="5" t="s">
        <v>30</v>
      </c>
      <c r="E937" s="5" t="s">
        <v>42</v>
      </c>
      <c r="F937" s="5" t="s">
        <v>535</v>
      </c>
      <c r="H937" s="5" t="s">
        <v>3354</v>
      </c>
      <c r="J937" s="10" t="s">
        <v>72</v>
      </c>
    </row>
    <row r="938" ht="12.75" customHeight="1">
      <c r="A938" s="5" t="s">
        <v>3371</v>
      </c>
      <c r="B938" s="5" t="s">
        <v>3372</v>
      </c>
      <c r="D938" s="5" t="s">
        <v>30</v>
      </c>
      <c r="E938" s="5" t="s">
        <v>42</v>
      </c>
      <c r="F938" s="5" t="s">
        <v>2420</v>
      </c>
      <c r="H938" s="5" t="s">
        <v>3354</v>
      </c>
      <c r="J938" s="10" t="s">
        <v>72</v>
      </c>
    </row>
    <row r="939" ht="12.75" customHeight="1">
      <c r="A939" s="5" t="s">
        <v>3374</v>
      </c>
      <c r="B939" s="5" t="s">
        <v>3375</v>
      </c>
      <c r="D939" s="5" t="s">
        <v>30</v>
      </c>
      <c r="E939" s="5" t="s">
        <v>35</v>
      </c>
      <c r="F939" s="5" t="s">
        <v>1886</v>
      </c>
      <c r="H939" s="5" t="s">
        <v>3376</v>
      </c>
      <c r="J939" s="10" t="s">
        <v>72</v>
      </c>
    </row>
    <row r="940" ht="12.75" customHeight="1">
      <c r="A940" s="5" t="s">
        <v>3378</v>
      </c>
      <c r="B940" s="5" t="s">
        <v>3379</v>
      </c>
      <c r="D940" s="5" t="s">
        <v>30</v>
      </c>
      <c r="E940" s="5" t="s">
        <v>42</v>
      </c>
      <c r="F940" s="5" t="s">
        <v>3107</v>
      </c>
      <c r="H940" s="5" t="s">
        <v>3376</v>
      </c>
      <c r="J940" s="10" t="s">
        <v>72</v>
      </c>
    </row>
    <row r="941" ht="12.75" customHeight="1">
      <c r="A941" s="5" t="s">
        <v>3380</v>
      </c>
      <c r="B941" s="5" t="s">
        <v>3381</v>
      </c>
      <c r="D941" s="5" t="s">
        <v>30</v>
      </c>
      <c r="E941" s="5" t="s">
        <v>35</v>
      </c>
      <c r="F941" s="5" t="s">
        <v>3067</v>
      </c>
      <c r="H941" s="5" t="s">
        <v>3376</v>
      </c>
      <c r="J941" s="10" t="s">
        <v>72</v>
      </c>
    </row>
    <row r="942" ht="12.75" customHeight="1">
      <c r="A942" s="5" t="s">
        <v>3382</v>
      </c>
      <c r="B942" s="5" t="s">
        <v>3383</v>
      </c>
      <c r="D942" s="5" t="s">
        <v>30</v>
      </c>
      <c r="E942" s="5" t="s">
        <v>42</v>
      </c>
      <c r="F942" s="5" t="s">
        <v>2869</v>
      </c>
      <c r="H942" s="5" t="s">
        <v>3376</v>
      </c>
      <c r="J942" s="10" t="s">
        <v>72</v>
      </c>
    </row>
    <row r="943" ht="12.75" customHeight="1">
      <c r="A943" s="5" t="s">
        <v>3385</v>
      </c>
      <c r="B943" s="5" t="s">
        <v>3386</v>
      </c>
      <c r="D943" s="5" t="s">
        <v>30</v>
      </c>
      <c r="E943" s="5" t="s">
        <v>35</v>
      </c>
      <c r="F943" s="5" t="s">
        <v>680</v>
      </c>
      <c r="H943" s="5" t="s">
        <v>3376</v>
      </c>
      <c r="J943" s="10" t="s">
        <v>72</v>
      </c>
    </row>
    <row r="944" ht="12.75" customHeight="1">
      <c r="A944" s="5" t="s">
        <v>3388</v>
      </c>
      <c r="B944" s="5" t="s">
        <v>3389</v>
      </c>
      <c r="D944" s="5" t="s">
        <v>30</v>
      </c>
      <c r="E944" s="5" t="s">
        <v>42</v>
      </c>
      <c r="F944" s="5" t="s">
        <v>2196</v>
      </c>
      <c r="H944" s="5" t="s">
        <v>3376</v>
      </c>
      <c r="J944" s="10" t="s">
        <v>72</v>
      </c>
    </row>
    <row r="945" ht="12.75" customHeight="1">
      <c r="A945" s="5" t="s">
        <v>3390</v>
      </c>
      <c r="B945" s="5" t="s">
        <v>3391</v>
      </c>
      <c r="D945" s="5" t="s">
        <v>30</v>
      </c>
      <c r="E945" s="5" t="s">
        <v>42</v>
      </c>
      <c r="F945" s="5" t="s">
        <v>1223</v>
      </c>
      <c r="H945" s="5" t="s">
        <v>3376</v>
      </c>
      <c r="J945" s="10" t="s">
        <v>72</v>
      </c>
    </row>
    <row r="946" ht="12.75" customHeight="1">
      <c r="A946" s="5" t="s">
        <v>3392</v>
      </c>
      <c r="B946" s="5" t="s">
        <v>3393</v>
      </c>
      <c r="D946" s="5" t="s">
        <v>30</v>
      </c>
      <c r="E946" s="5" t="s">
        <v>35</v>
      </c>
      <c r="F946" s="5" t="s">
        <v>2401</v>
      </c>
      <c r="H946" s="5" t="s">
        <v>3394</v>
      </c>
      <c r="J946" s="10" t="s">
        <v>72</v>
      </c>
    </row>
    <row r="947" ht="12.75" customHeight="1">
      <c r="A947" s="5" t="s">
        <v>3396</v>
      </c>
      <c r="B947" s="5" t="s">
        <v>3397</v>
      </c>
      <c r="D947" s="5" t="s">
        <v>30</v>
      </c>
      <c r="E947" s="5" t="s">
        <v>42</v>
      </c>
      <c r="F947" s="5" t="s">
        <v>974</v>
      </c>
      <c r="H947" s="5" t="s">
        <v>3394</v>
      </c>
      <c r="J947" s="10" t="s">
        <v>72</v>
      </c>
    </row>
    <row r="948" ht="12.75" customHeight="1">
      <c r="A948" s="5" t="s">
        <v>3399</v>
      </c>
      <c r="B948" s="5" t="s">
        <v>3400</v>
      </c>
      <c r="D948" s="5" t="s">
        <v>30</v>
      </c>
      <c r="E948" s="5" t="s">
        <v>35</v>
      </c>
      <c r="F948" s="5" t="s">
        <v>924</v>
      </c>
      <c r="H948" s="5" t="s">
        <v>3394</v>
      </c>
      <c r="J948" s="10" t="s">
        <v>72</v>
      </c>
    </row>
    <row r="949" ht="12.75" customHeight="1">
      <c r="A949" s="5" t="s">
        <v>3401</v>
      </c>
      <c r="B949" s="5" t="s">
        <v>3402</v>
      </c>
      <c r="D949" s="5" t="s">
        <v>30</v>
      </c>
      <c r="E949" s="5" t="s">
        <v>42</v>
      </c>
      <c r="F949" s="5" t="s">
        <v>157</v>
      </c>
      <c r="H949" s="5" t="s">
        <v>3394</v>
      </c>
      <c r="J949" s="10" t="s">
        <v>72</v>
      </c>
    </row>
    <row r="950" ht="12.75" customHeight="1">
      <c r="A950" s="5" t="s">
        <v>3403</v>
      </c>
      <c r="B950" s="5" t="s">
        <v>3404</v>
      </c>
      <c r="D950" s="5" t="s">
        <v>30</v>
      </c>
      <c r="E950" s="5" t="s">
        <v>35</v>
      </c>
      <c r="F950" s="5" t="s">
        <v>545</v>
      </c>
      <c r="H950" s="5" t="s">
        <v>3394</v>
      </c>
      <c r="J950" s="10" t="s">
        <v>72</v>
      </c>
    </row>
    <row r="951" ht="12.75" customHeight="1">
      <c r="A951" s="5" t="s">
        <v>3406</v>
      </c>
      <c r="B951" s="5" t="s">
        <v>3407</v>
      </c>
      <c r="D951" s="5" t="s">
        <v>30</v>
      </c>
      <c r="E951" s="5" t="s">
        <v>42</v>
      </c>
      <c r="F951" s="5" t="s">
        <v>2771</v>
      </c>
      <c r="H951" s="5" t="s">
        <v>3394</v>
      </c>
      <c r="J951" s="10" t="s">
        <v>72</v>
      </c>
    </row>
    <row r="952" ht="12.75" customHeight="1">
      <c r="A952" s="5" t="s">
        <v>3409</v>
      </c>
      <c r="B952" s="5" t="s">
        <v>3410</v>
      </c>
      <c r="D952" s="5" t="s">
        <v>30</v>
      </c>
      <c r="E952" s="5" t="s">
        <v>42</v>
      </c>
      <c r="F952" s="5" t="s">
        <v>967</v>
      </c>
      <c r="H952" s="5" t="s">
        <v>3394</v>
      </c>
      <c r="J952" s="10" t="s">
        <v>72</v>
      </c>
    </row>
    <row r="953" ht="12.75" customHeight="1">
      <c r="A953" s="5" t="s">
        <v>3354</v>
      </c>
      <c r="B953" s="5" t="s">
        <v>3411</v>
      </c>
      <c r="C953" s="5" t="s">
        <v>3412</v>
      </c>
      <c r="D953" s="5" t="s">
        <v>30</v>
      </c>
      <c r="E953" s="5" t="s">
        <v>42</v>
      </c>
      <c r="F953" s="5" t="s">
        <v>535</v>
      </c>
      <c r="H953" s="5" t="s">
        <v>3053</v>
      </c>
      <c r="J953" s="10" t="s">
        <v>72</v>
      </c>
      <c r="K953" s="5" t="s">
        <v>3413</v>
      </c>
      <c r="L953" s="5" t="s">
        <v>3352</v>
      </c>
    </row>
    <row r="954" ht="12.75" customHeight="1">
      <c r="A954" s="5" t="s">
        <v>3376</v>
      </c>
      <c r="B954" s="5" t="s">
        <v>3415</v>
      </c>
      <c r="C954" s="5" t="s">
        <v>3412</v>
      </c>
      <c r="D954" s="5" t="s">
        <v>30</v>
      </c>
      <c r="E954" s="5" t="s">
        <v>42</v>
      </c>
      <c r="F954" s="5" t="s">
        <v>2420</v>
      </c>
      <c r="H954" s="5" t="s">
        <v>3053</v>
      </c>
      <c r="J954" s="10" t="s">
        <v>72</v>
      </c>
      <c r="K954" s="5" t="s">
        <v>3417</v>
      </c>
    </row>
    <row r="955" ht="12.75" customHeight="1">
      <c r="A955" s="5" t="s">
        <v>3394</v>
      </c>
      <c r="B955" s="5" t="s">
        <v>3418</v>
      </c>
      <c r="C955" s="5" t="s">
        <v>3412</v>
      </c>
      <c r="D955" s="5" t="s">
        <v>30</v>
      </c>
      <c r="E955" s="5" t="s">
        <v>42</v>
      </c>
      <c r="F955" s="5" t="s">
        <v>3107</v>
      </c>
      <c r="H955" s="5" t="s">
        <v>3053</v>
      </c>
      <c r="J955" s="10" t="s">
        <v>72</v>
      </c>
      <c r="K955" s="5" t="s">
        <v>3419</v>
      </c>
    </row>
    <row r="956" ht="12.75" customHeight="1">
      <c r="A956" s="5" t="s">
        <v>3420</v>
      </c>
      <c r="B956" s="5" t="s">
        <v>3421</v>
      </c>
      <c r="D956" s="5" t="s">
        <v>30</v>
      </c>
      <c r="E956" s="5" t="s">
        <v>42</v>
      </c>
      <c r="F956" s="5" t="s">
        <v>535</v>
      </c>
      <c r="H956" s="5" t="s">
        <v>3423</v>
      </c>
      <c r="I956" s="10" t="s">
        <v>72</v>
      </c>
      <c r="J956" s="10" t="s">
        <v>72</v>
      </c>
    </row>
    <row r="957" ht="12.75" customHeight="1">
      <c r="A957" s="5" t="s">
        <v>3425</v>
      </c>
      <c r="B957" s="5" t="s">
        <v>3426</v>
      </c>
      <c r="D957" s="5" t="s">
        <v>30</v>
      </c>
      <c r="E957" s="5" t="s">
        <v>35</v>
      </c>
      <c r="F957" s="5" t="s">
        <v>1868</v>
      </c>
      <c r="H957" s="5" t="s">
        <v>3423</v>
      </c>
      <c r="J957" s="10" t="s">
        <v>72</v>
      </c>
    </row>
    <row r="958" ht="12.75" customHeight="1">
      <c r="A958" s="5" t="s">
        <v>3427</v>
      </c>
      <c r="B958" s="5" t="s">
        <v>3428</v>
      </c>
      <c r="D958" s="5" t="s">
        <v>30</v>
      </c>
      <c r="E958" s="5" t="s">
        <v>42</v>
      </c>
      <c r="F958" s="5" t="s">
        <v>2869</v>
      </c>
      <c r="H958" s="5" t="s">
        <v>3423</v>
      </c>
      <c r="J958" s="10" t="s">
        <v>72</v>
      </c>
    </row>
    <row r="959" ht="12.75" customHeight="1">
      <c r="A959" s="5" t="s">
        <v>3430</v>
      </c>
      <c r="B959" s="5" t="s">
        <v>3431</v>
      </c>
      <c r="D959" s="5" t="s">
        <v>30</v>
      </c>
      <c r="E959" s="5" t="s">
        <v>35</v>
      </c>
      <c r="F959" s="5" t="s">
        <v>1143</v>
      </c>
      <c r="H959" s="5" t="s">
        <v>3423</v>
      </c>
      <c r="J959" s="10" t="s">
        <v>72</v>
      </c>
    </row>
    <row r="960" ht="12.75" customHeight="1">
      <c r="A960" s="5" t="s">
        <v>3433</v>
      </c>
      <c r="B960" s="5" t="s">
        <v>3434</v>
      </c>
      <c r="D960" s="5" t="s">
        <v>30</v>
      </c>
      <c r="E960" s="5" t="s">
        <v>42</v>
      </c>
      <c r="F960" s="5" t="s">
        <v>2196</v>
      </c>
      <c r="H960" s="5" t="s">
        <v>3423</v>
      </c>
      <c r="J960" s="10" t="s">
        <v>72</v>
      </c>
    </row>
    <row r="961" ht="12.75" customHeight="1">
      <c r="A961" s="5" t="s">
        <v>3435</v>
      </c>
      <c r="B961" s="5" t="s">
        <v>3436</v>
      </c>
      <c r="D961" s="5" t="s">
        <v>30</v>
      </c>
      <c r="E961" s="5" t="s">
        <v>35</v>
      </c>
      <c r="F961" s="5" t="s">
        <v>1875</v>
      </c>
      <c r="H961" s="5" t="s">
        <v>3423</v>
      </c>
      <c r="J961" s="10" t="s">
        <v>72</v>
      </c>
    </row>
    <row r="962" ht="12.75" customHeight="1">
      <c r="A962" s="5" t="s">
        <v>3438</v>
      </c>
      <c r="B962" s="5" t="s">
        <v>3440</v>
      </c>
      <c r="D962" s="5" t="s">
        <v>30</v>
      </c>
      <c r="E962" s="5" t="s">
        <v>42</v>
      </c>
      <c r="F962" s="5" t="s">
        <v>1223</v>
      </c>
      <c r="H962" s="5" t="s">
        <v>3423</v>
      </c>
      <c r="J962" s="10" t="s">
        <v>72</v>
      </c>
    </row>
    <row r="963" ht="12.75" customHeight="1">
      <c r="A963" s="5" t="s">
        <v>3441</v>
      </c>
      <c r="B963" s="5" t="s">
        <v>3442</v>
      </c>
      <c r="D963" s="5" t="s">
        <v>30</v>
      </c>
      <c r="E963" s="5" t="s">
        <v>42</v>
      </c>
      <c r="F963" s="5" t="s">
        <v>974</v>
      </c>
      <c r="H963" s="5" t="s">
        <v>3423</v>
      </c>
      <c r="J963" s="10" t="s">
        <v>72</v>
      </c>
    </row>
    <row r="964" ht="12.75" customHeight="1">
      <c r="A964" s="5" t="s">
        <v>3443</v>
      </c>
      <c r="B964" s="5" t="s">
        <v>3444</v>
      </c>
      <c r="D964" s="5" t="s">
        <v>30</v>
      </c>
      <c r="E964" s="5" t="s">
        <v>35</v>
      </c>
      <c r="F964" s="5" t="s">
        <v>1143</v>
      </c>
      <c r="H964" s="5" t="s">
        <v>2803</v>
      </c>
      <c r="J964" s="10" t="s">
        <v>72</v>
      </c>
    </row>
    <row r="965" ht="12.75" customHeight="1">
      <c r="A965" s="5" t="s">
        <v>3447</v>
      </c>
      <c r="B965" s="5" t="s">
        <v>3449</v>
      </c>
      <c r="D965" s="5" t="s">
        <v>30</v>
      </c>
      <c r="E965" s="5" t="s">
        <v>42</v>
      </c>
      <c r="F965" s="5" t="s">
        <v>157</v>
      </c>
      <c r="H965" s="5" t="s">
        <v>2803</v>
      </c>
      <c r="J965" s="10" t="s">
        <v>72</v>
      </c>
    </row>
    <row r="966" ht="12.75" customHeight="1">
      <c r="A966" s="5" t="s">
        <v>3451</v>
      </c>
      <c r="B966" s="5" t="s">
        <v>3452</v>
      </c>
      <c r="D966" s="5" t="s">
        <v>30</v>
      </c>
      <c r="E966" s="5" t="s">
        <v>35</v>
      </c>
      <c r="F966" s="5" t="s">
        <v>1868</v>
      </c>
      <c r="H966" s="5" t="s">
        <v>2803</v>
      </c>
      <c r="J966" s="10" t="s">
        <v>72</v>
      </c>
    </row>
    <row r="967" ht="12.75" customHeight="1">
      <c r="A967" s="5" t="s">
        <v>3453</v>
      </c>
      <c r="B967" s="5" t="s">
        <v>3454</v>
      </c>
      <c r="D967" s="5" t="s">
        <v>30</v>
      </c>
      <c r="E967" s="5" t="s">
        <v>42</v>
      </c>
      <c r="F967" s="5" t="s">
        <v>211</v>
      </c>
      <c r="H967" s="5" t="s">
        <v>2803</v>
      </c>
      <c r="J967" s="10" t="s">
        <v>72</v>
      </c>
    </row>
    <row r="968" ht="12.75" customHeight="1">
      <c r="A968" s="5" t="s">
        <v>3456</v>
      </c>
      <c r="B968" s="5" t="s">
        <v>3457</v>
      </c>
      <c r="D968" s="5" t="s">
        <v>30</v>
      </c>
      <c r="E968" s="5" t="s">
        <v>35</v>
      </c>
      <c r="F968" s="5" t="s">
        <v>545</v>
      </c>
      <c r="H968" s="5" t="s">
        <v>2803</v>
      </c>
      <c r="J968" s="10" t="s">
        <v>72</v>
      </c>
    </row>
    <row r="969" ht="12.75" customHeight="1">
      <c r="A969" s="5" t="s">
        <v>3459</v>
      </c>
      <c r="B969" s="5" t="s">
        <v>3460</v>
      </c>
      <c r="D969" s="5" t="s">
        <v>30</v>
      </c>
      <c r="E969" s="5" t="s">
        <v>42</v>
      </c>
      <c r="F969" s="5" t="s">
        <v>2771</v>
      </c>
      <c r="H969" s="5" t="s">
        <v>2803</v>
      </c>
      <c r="J969" s="10" t="s">
        <v>72</v>
      </c>
    </row>
    <row r="970" ht="12.75" customHeight="1">
      <c r="A970" s="5" t="s">
        <v>3462</v>
      </c>
      <c r="B970" s="5" t="s">
        <v>3463</v>
      </c>
      <c r="D970" s="5" t="s">
        <v>30</v>
      </c>
      <c r="E970" s="5" t="s">
        <v>42</v>
      </c>
      <c r="F970" s="5" t="s">
        <v>2638</v>
      </c>
      <c r="H970" s="5" t="s">
        <v>2803</v>
      </c>
      <c r="J970" s="10" t="s">
        <v>72</v>
      </c>
    </row>
    <row r="971" ht="12.75" customHeight="1">
      <c r="A971" s="5" t="s">
        <v>3464</v>
      </c>
      <c r="B971" s="5" t="s">
        <v>3465</v>
      </c>
      <c r="D971" s="5" t="s">
        <v>30</v>
      </c>
      <c r="E971" s="5" t="s">
        <v>35</v>
      </c>
      <c r="F971" s="5" t="s">
        <v>924</v>
      </c>
      <c r="H971" s="5" t="s">
        <v>3466</v>
      </c>
      <c r="J971" s="10" t="s">
        <v>72</v>
      </c>
    </row>
    <row r="972" ht="12.75" customHeight="1">
      <c r="A972" s="5" t="s">
        <v>3467</v>
      </c>
      <c r="B972" s="5" t="s">
        <v>3468</v>
      </c>
      <c r="D972" s="5" t="s">
        <v>30</v>
      </c>
      <c r="E972" s="5" t="s">
        <v>42</v>
      </c>
      <c r="F972" s="5" t="s">
        <v>967</v>
      </c>
      <c r="H972" s="5" t="s">
        <v>3466</v>
      </c>
      <c r="J972" s="10" t="s">
        <v>72</v>
      </c>
    </row>
    <row r="973" ht="12.75" customHeight="1">
      <c r="A973" s="5" t="s">
        <v>3470</v>
      </c>
      <c r="B973" s="5" t="s">
        <v>3472</v>
      </c>
      <c r="D973" s="5" t="s">
        <v>30</v>
      </c>
      <c r="E973" s="5" t="s">
        <v>35</v>
      </c>
      <c r="F973" s="5" t="s">
        <v>2401</v>
      </c>
      <c r="H973" s="5" t="s">
        <v>3466</v>
      </c>
      <c r="J973" s="10" t="s">
        <v>72</v>
      </c>
    </row>
    <row r="974" ht="12.75" customHeight="1">
      <c r="A974" s="5" t="s">
        <v>3473</v>
      </c>
      <c r="B974" s="5" t="s">
        <v>3474</v>
      </c>
      <c r="D974" s="5" t="s">
        <v>30</v>
      </c>
      <c r="E974" s="5" t="s">
        <v>42</v>
      </c>
      <c r="F974" s="5" t="s">
        <v>967</v>
      </c>
      <c r="H974" s="5" t="s">
        <v>3466</v>
      </c>
      <c r="J974" s="10" t="s">
        <v>72</v>
      </c>
    </row>
    <row r="975" ht="12.75" customHeight="1">
      <c r="A975" s="5" t="s">
        <v>3475</v>
      </c>
      <c r="B975" s="5" t="s">
        <v>3476</v>
      </c>
      <c r="D975" s="5" t="s">
        <v>30</v>
      </c>
      <c r="E975" s="5" t="s">
        <v>35</v>
      </c>
      <c r="F975" s="5" t="s">
        <v>680</v>
      </c>
      <c r="H975" s="5" t="s">
        <v>3466</v>
      </c>
      <c r="J975" s="10" t="s">
        <v>72</v>
      </c>
    </row>
    <row r="976" ht="12.75" customHeight="1">
      <c r="A976" s="5" t="s">
        <v>3477</v>
      </c>
      <c r="B976" s="5" t="s">
        <v>3478</v>
      </c>
      <c r="D976" s="5" t="s">
        <v>30</v>
      </c>
      <c r="E976" s="5" t="s">
        <v>42</v>
      </c>
      <c r="F976" s="5" t="s">
        <v>3107</v>
      </c>
      <c r="H976" s="5" t="s">
        <v>3466</v>
      </c>
      <c r="J976" s="10" t="s">
        <v>72</v>
      </c>
    </row>
    <row r="977" ht="12.75" customHeight="1">
      <c r="A977" s="5" t="s">
        <v>3480</v>
      </c>
      <c r="B977" s="5" t="s">
        <v>3481</v>
      </c>
      <c r="D977" s="5" t="s">
        <v>30</v>
      </c>
      <c r="E977" s="5" t="s">
        <v>42</v>
      </c>
      <c r="F977" s="5" t="s">
        <v>2196</v>
      </c>
      <c r="H977" s="5" t="s">
        <v>3466</v>
      </c>
      <c r="J977" s="10" t="s">
        <v>72</v>
      </c>
    </row>
    <row r="978" ht="12.75" customHeight="1">
      <c r="A978" s="5" t="s">
        <v>3423</v>
      </c>
      <c r="B978" s="5" t="s">
        <v>3483</v>
      </c>
      <c r="C978" s="5" t="s">
        <v>3484</v>
      </c>
      <c r="D978" s="5" t="s">
        <v>30</v>
      </c>
      <c r="E978" s="5" t="s">
        <v>42</v>
      </c>
      <c r="F978" s="5" t="s">
        <v>535</v>
      </c>
      <c r="H978" s="5" t="s">
        <v>3053</v>
      </c>
      <c r="J978" s="10" t="s">
        <v>72</v>
      </c>
      <c r="K978" s="5" t="s">
        <v>3485</v>
      </c>
      <c r="L978" s="5" t="s">
        <v>3420</v>
      </c>
    </row>
    <row r="979" ht="12.75" customHeight="1">
      <c r="A979" s="5" t="s">
        <v>2803</v>
      </c>
      <c r="B979" s="5" t="s">
        <v>3486</v>
      </c>
      <c r="C979" s="5" t="s">
        <v>3484</v>
      </c>
      <c r="D979" s="5" t="s">
        <v>30</v>
      </c>
      <c r="E979" s="5" t="s">
        <v>42</v>
      </c>
      <c r="F979" s="5" t="s">
        <v>967</v>
      </c>
      <c r="H979" s="5" t="s">
        <v>3053</v>
      </c>
      <c r="J979" s="10" t="s">
        <v>72</v>
      </c>
      <c r="K979" s="5" t="s">
        <v>3487</v>
      </c>
    </row>
    <row r="980" ht="12.75" customHeight="1">
      <c r="A980" s="5" t="s">
        <v>3466</v>
      </c>
      <c r="B980" s="5" t="s">
        <v>3489</v>
      </c>
      <c r="C980" s="5" t="s">
        <v>3484</v>
      </c>
      <c r="D980" s="5" t="s">
        <v>30</v>
      </c>
      <c r="E980" s="5" t="s">
        <v>42</v>
      </c>
      <c r="F980" s="5" t="s">
        <v>2771</v>
      </c>
      <c r="H980" s="5" t="s">
        <v>3053</v>
      </c>
      <c r="J980" s="10" t="s">
        <v>72</v>
      </c>
      <c r="K980" s="5" t="s">
        <v>3491</v>
      </c>
    </row>
    <row r="981" ht="12.75" customHeight="1">
      <c r="A981" s="5" t="s">
        <v>3492</v>
      </c>
      <c r="B981" s="5" t="s">
        <v>3493</v>
      </c>
      <c r="C981" s="5" t="s">
        <v>3494</v>
      </c>
      <c r="D981" s="5" t="s">
        <v>34</v>
      </c>
      <c r="E981" s="5" t="s">
        <v>42</v>
      </c>
      <c r="F981" s="5" t="s">
        <v>445</v>
      </c>
      <c r="J981" s="10" t="s">
        <v>72</v>
      </c>
      <c r="K981" s="5" t="s">
        <v>3495</v>
      </c>
    </row>
    <row r="982" ht="12.75" customHeight="1">
      <c r="A982" s="5" t="s">
        <v>3496</v>
      </c>
      <c r="B982" s="5" t="s">
        <v>3497</v>
      </c>
      <c r="D982" s="5" t="s">
        <v>30</v>
      </c>
      <c r="E982" s="5" t="s">
        <v>35</v>
      </c>
      <c r="F982" s="5" t="s">
        <v>1831</v>
      </c>
      <c r="H982" s="5" t="s">
        <v>3498</v>
      </c>
      <c r="J982" s="10" t="s">
        <v>72</v>
      </c>
    </row>
    <row r="983" ht="12.75" customHeight="1">
      <c r="A983" s="5" t="s">
        <v>3499</v>
      </c>
      <c r="B983" s="5" t="s">
        <v>3500</v>
      </c>
      <c r="D983" s="5" t="s">
        <v>30</v>
      </c>
      <c r="E983" s="5" t="s">
        <v>35</v>
      </c>
      <c r="F983" s="5" t="s">
        <v>263</v>
      </c>
      <c r="H983" s="5" t="s">
        <v>3498</v>
      </c>
      <c r="J983" s="10" t="s">
        <v>72</v>
      </c>
    </row>
    <row r="984" ht="12.75" customHeight="1">
      <c r="A984" s="5" t="s">
        <v>3503</v>
      </c>
      <c r="B984" s="5" t="s">
        <v>3504</v>
      </c>
      <c r="D984" s="5" t="s">
        <v>30</v>
      </c>
      <c r="E984" s="5" t="s">
        <v>42</v>
      </c>
      <c r="F984" s="5" t="s">
        <v>157</v>
      </c>
      <c r="H984" s="5" t="s">
        <v>3498</v>
      </c>
      <c r="J984" s="10" t="s">
        <v>72</v>
      </c>
    </row>
    <row r="985" ht="12.75" customHeight="1">
      <c r="A985" s="5" t="s">
        <v>3505</v>
      </c>
      <c r="B985" s="5" t="s">
        <v>3506</v>
      </c>
      <c r="D985" s="5" t="s">
        <v>30</v>
      </c>
      <c r="E985" s="5" t="s">
        <v>42</v>
      </c>
      <c r="F985" s="5" t="s">
        <v>157</v>
      </c>
      <c r="H985" s="5" t="s">
        <v>3498</v>
      </c>
      <c r="J985" s="10" t="s">
        <v>72</v>
      </c>
    </row>
    <row r="986" ht="12.75" customHeight="1">
      <c r="A986" s="5" t="s">
        <v>3507</v>
      </c>
      <c r="B986" s="5" t="s">
        <v>3508</v>
      </c>
      <c r="D986" s="5" t="s">
        <v>34</v>
      </c>
      <c r="E986" s="5" t="s">
        <v>42</v>
      </c>
      <c r="F986" s="5" t="s">
        <v>238</v>
      </c>
      <c r="H986" s="5" t="s">
        <v>3498</v>
      </c>
      <c r="J986" s="10" t="s">
        <v>72</v>
      </c>
    </row>
    <row r="987" ht="12.75" customHeight="1">
      <c r="A987" s="5" t="s">
        <v>3498</v>
      </c>
      <c r="B987" s="5" t="s">
        <v>3509</v>
      </c>
      <c r="C987" s="5" t="s">
        <v>3494</v>
      </c>
      <c r="D987" s="5" t="s">
        <v>34</v>
      </c>
      <c r="E987" s="5" t="s">
        <v>42</v>
      </c>
      <c r="F987" s="5" t="s">
        <v>1753</v>
      </c>
      <c r="H987" s="5" t="s">
        <v>3492</v>
      </c>
      <c r="J987" s="10" t="s">
        <v>72</v>
      </c>
      <c r="K987" s="5" t="s">
        <v>3511</v>
      </c>
    </row>
    <row r="988" ht="12.75" customHeight="1">
      <c r="A988" s="5" t="s">
        <v>3513</v>
      </c>
      <c r="B988" s="5" t="s">
        <v>3514</v>
      </c>
      <c r="D988" s="5" t="s">
        <v>30</v>
      </c>
      <c r="E988" s="5" t="s">
        <v>35</v>
      </c>
      <c r="F988" s="5" t="s">
        <v>263</v>
      </c>
      <c r="H988" s="5" t="s">
        <v>3515</v>
      </c>
      <c r="J988" s="10" t="s">
        <v>72</v>
      </c>
    </row>
    <row r="989" ht="12.75" customHeight="1">
      <c r="A989" s="5" t="s">
        <v>3516</v>
      </c>
      <c r="B989" s="5" t="s">
        <v>3517</v>
      </c>
      <c r="D989" s="5" t="s">
        <v>30</v>
      </c>
      <c r="E989" s="5" t="s">
        <v>35</v>
      </c>
      <c r="F989" s="5" t="s">
        <v>1875</v>
      </c>
      <c r="H989" s="5" t="s">
        <v>3518</v>
      </c>
      <c r="J989" s="10" t="s">
        <v>72</v>
      </c>
    </row>
    <row r="990" ht="12.75" customHeight="1">
      <c r="A990" s="5" t="s">
        <v>3519</v>
      </c>
      <c r="B990" s="5" t="s">
        <v>3520</v>
      </c>
      <c r="D990" s="5" t="s">
        <v>30</v>
      </c>
      <c r="E990" s="5" t="s">
        <v>42</v>
      </c>
      <c r="F990" s="5" t="s">
        <v>211</v>
      </c>
      <c r="H990" s="5" t="s">
        <v>3515</v>
      </c>
      <c r="J990" s="10" t="s">
        <v>72</v>
      </c>
    </row>
    <row r="991" ht="12.75" customHeight="1">
      <c r="A991" s="5" t="s">
        <v>3523</v>
      </c>
      <c r="B991" s="5" t="s">
        <v>3524</v>
      </c>
      <c r="D991" s="5" t="s">
        <v>30</v>
      </c>
      <c r="E991" s="5" t="s">
        <v>42</v>
      </c>
      <c r="F991" s="5" t="s">
        <v>967</v>
      </c>
      <c r="H991" s="5" t="s">
        <v>3518</v>
      </c>
      <c r="J991" s="10" t="s">
        <v>72</v>
      </c>
    </row>
    <row r="992" ht="12.75" customHeight="1">
      <c r="A992" s="5" t="s">
        <v>3525</v>
      </c>
      <c r="B992" s="5" t="s">
        <v>3526</v>
      </c>
      <c r="D992" s="5" t="s">
        <v>34</v>
      </c>
      <c r="E992" s="5" t="s">
        <v>42</v>
      </c>
      <c r="F992" s="5" t="s">
        <v>1753</v>
      </c>
      <c r="H992" s="5" t="s">
        <v>3515</v>
      </c>
      <c r="J992" s="10" t="s">
        <v>72</v>
      </c>
    </row>
    <row r="993" ht="12.75" customHeight="1">
      <c r="A993" s="5" t="s">
        <v>3527</v>
      </c>
      <c r="B993" s="5" t="s">
        <v>3528</v>
      </c>
      <c r="D993" s="5" t="s">
        <v>34</v>
      </c>
      <c r="E993" s="5" t="s">
        <v>42</v>
      </c>
      <c r="F993" s="5" t="s">
        <v>610</v>
      </c>
      <c r="H993" s="5" t="s">
        <v>3518</v>
      </c>
      <c r="J993" s="10" t="s">
        <v>72</v>
      </c>
    </row>
    <row r="994" ht="12.75" customHeight="1">
      <c r="A994" s="5" t="s">
        <v>3515</v>
      </c>
      <c r="B994" s="5" t="s">
        <v>3529</v>
      </c>
      <c r="C994" s="5" t="s">
        <v>3530</v>
      </c>
      <c r="D994" s="5" t="s">
        <v>34</v>
      </c>
      <c r="E994" s="5" t="s">
        <v>42</v>
      </c>
      <c r="F994" s="5" t="s">
        <v>400</v>
      </c>
      <c r="H994" s="5" t="s">
        <v>3492</v>
      </c>
      <c r="J994" s="10" t="s">
        <v>72</v>
      </c>
      <c r="K994" s="5" t="s">
        <v>3533</v>
      </c>
    </row>
    <row r="995" ht="12.75" customHeight="1">
      <c r="A995" s="5" t="s">
        <v>3518</v>
      </c>
      <c r="B995" s="5" t="s">
        <v>3534</v>
      </c>
      <c r="D995" s="5" t="s">
        <v>34</v>
      </c>
      <c r="E995" s="5" t="s">
        <v>42</v>
      </c>
      <c r="F995" s="5" t="s">
        <v>672</v>
      </c>
      <c r="H995" s="5" t="s">
        <v>3515</v>
      </c>
      <c r="J995" s="10" t="s">
        <v>72</v>
      </c>
      <c r="K995" s="5" t="s">
        <v>3535</v>
      </c>
    </row>
    <row r="996" ht="12.75" customHeight="1">
      <c r="A996" s="5" t="s">
        <v>3536</v>
      </c>
      <c r="B996" s="5" t="s">
        <v>3537</v>
      </c>
      <c r="D996" s="5" t="s">
        <v>30</v>
      </c>
      <c r="E996" s="5" t="s">
        <v>35</v>
      </c>
      <c r="F996" s="5" t="s">
        <v>2390</v>
      </c>
      <c r="H996" s="5" t="s">
        <v>3538</v>
      </c>
      <c r="J996" s="10" t="s">
        <v>72</v>
      </c>
    </row>
    <row r="997" ht="12.75" customHeight="1">
      <c r="A997" s="5" t="s">
        <v>3540</v>
      </c>
      <c r="B997" s="5" t="s">
        <v>3541</v>
      </c>
      <c r="D997" s="5" t="s">
        <v>30</v>
      </c>
      <c r="E997" s="5" t="s">
        <v>35</v>
      </c>
      <c r="F997" s="5" t="s">
        <v>1334</v>
      </c>
      <c r="H997" s="5" t="s">
        <v>3543</v>
      </c>
      <c r="J997" s="10" t="s">
        <v>72</v>
      </c>
    </row>
    <row r="998" ht="12.75" customHeight="1">
      <c r="A998" s="5" t="s">
        <v>3544</v>
      </c>
      <c r="B998" s="5" t="s">
        <v>3545</v>
      </c>
      <c r="D998" s="5" t="s">
        <v>30</v>
      </c>
      <c r="E998" s="5" t="s">
        <v>42</v>
      </c>
      <c r="F998" s="5" t="s">
        <v>1911</v>
      </c>
      <c r="H998" s="5" t="s">
        <v>3538</v>
      </c>
      <c r="J998" s="10" t="s">
        <v>72</v>
      </c>
    </row>
    <row r="999" ht="12.75" customHeight="1">
      <c r="A999" s="5" t="s">
        <v>3546</v>
      </c>
      <c r="B999" s="5" t="s">
        <v>3547</v>
      </c>
      <c r="D999" s="5" t="s">
        <v>30</v>
      </c>
      <c r="E999" s="5" t="s">
        <v>42</v>
      </c>
      <c r="F999" s="5" t="s">
        <v>535</v>
      </c>
      <c r="H999" s="5" t="s">
        <v>3543</v>
      </c>
      <c r="J999" s="10" t="s">
        <v>72</v>
      </c>
    </row>
    <row r="1000" ht="12.75" customHeight="1">
      <c r="A1000" s="5" t="s">
        <v>3548</v>
      </c>
      <c r="B1000" s="5" t="s">
        <v>3550</v>
      </c>
      <c r="D1000" s="5" t="s">
        <v>34</v>
      </c>
      <c r="E1000" s="5" t="s">
        <v>42</v>
      </c>
      <c r="F1000" s="5" t="s">
        <v>732</v>
      </c>
      <c r="H1000" s="5" t="s">
        <v>3538</v>
      </c>
      <c r="J1000" s="10" t="s">
        <v>72</v>
      </c>
    </row>
    <row r="1001" ht="12.75" customHeight="1">
      <c r="A1001" s="5" t="s">
        <v>3552</v>
      </c>
      <c r="B1001" s="10" t="s">
        <v>3553</v>
      </c>
      <c r="D1001" s="5" t="s">
        <v>34</v>
      </c>
      <c r="E1001" s="5" t="s">
        <v>42</v>
      </c>
      <c r="F1001" s="5" t="s">
        <v>556</v>
      </c>
      <c r="H1001" s="5" t="s">
        <v>3543</v>
      </c>
      <c r="J1001" s="10" t="s">
        <v>72</v>
      </c>
    </row>
    <row r="1002" ht="12.75" customHeight="1">
      <c r="A1002" s="5" t="s">
        <v>3538</v>
      </c>
      <c r="B1002" s="5" t="s">
        <v>3554</v>
      </c>
      <c r="C1002" s="5" t="s">
        <v>3555</v>
      </c>
      <c r="D1002" s="5" t="s">
        <v>34</v>
      </c>
      <c r="E1002" s="5" t="s">
        <v>42</v>
      </c>
      <c r="F1002" s="5" t="s">
        <v>228</v>
      </c>
      <c r="H1002" s="5" t="s">
        <v>3492</v>
      </c>
      <c r="J1002" s="10" t="s">
        <v>72</v>
      </c>
      <c r="K1002" s="5" t="s">
        <v>3556</v>
      </c>
    </row>
    <row r="1003" ht="12.75" customHeight="1">
      <c r="A1003" s="5" t="s">
        <v>3543</v>
      </c>
      <c r="B1003" s="5" t="s">
        <v>3557</v>
      </c>
      <c r="D1003" s="5" t="s">
        <v>34</v>
      </c>
      <c r="E1003" s="5" t="s">
        <v>42</v>
      </c>
      <c r="F1003" s="5" t="s">
        <v>199</v>
      </c>
      <c r="H1003" s="5" t="s">
        <v>3538</v>
      </c>
      <c r="J1003" s="10" t="s">
        <v>72</v>
      </c>
      <c r="K1003" s="5" t="s">
        <v>3560</v>
      </c>
    </row>
    <row r="1004" ht="12.75" customHeight="1">
      <c r="A1004" s="5" t="s">
        <v>3561</v>
      </c>
      <c r="B1004" s="5" t="s">
        <v>3562</v>
      </c>
      <c r="D1004" s="5" t="s">
        <v>30</v>
      </c>
      <c r="E1004" s="5" t="s">
        <v>35</v>
      </c>
      <c r="F1004" s="5" t="s">
        <v>545</v>
      </c>
      <c r="H1004" s="5" t="s">
        <v>3563</v>
      </c>
      <c r="J1004" s="10" t="s">
        <v>72</v>
      </c>
    </row>
    <row r="1005" ht="12.75" customHeight="1">
      <c r="A1005" s="5" t="s">
        <v>3564</v>
      </c>
      <c r="B1005" s="10" t="s">
        <v>3565</v>
      </c>
      <c r="D1005" s="5" t="s">
        <v>30</v>
      </c>
      <c r="E1005" s="5" t="s">
        <v>35</v>
      </c>
      <c r="F1005" s="5" t="s">
        <v>1344</v>
      </c>
      <c r="H1005" s="5" t="s">
        <v>3566</v>
      </c>
      <c r="J1005" s="10" t="s">
        <v>72</v>
      </c>
    </row>
    <row r="1006" ht="12.75" customHeight="1">
      <c r="A1006" s="5" t="s">
        <v>3567</v>
      </c>
      <c r="B1006" s="5" t="s">
        <v>3568</v>
      </c>
      <c r="D1006" s="5" t="s">
        <v>30</v>
      </c>
      <c r="E1006" s="5" t="s">
        <v>42</v>
      </c>
      <c r="F1006" s="5" t="s">
        <v>2771</v>
      </c>
      <c r="H1006" s="5" t="s">
        <v>3563</v>
      </c>
      <c r="J1006" s="10" t="s">
        <v>72</v>
      </c>
    </row>
    <row r="1007" ht="12.75" customHeight="1">
      <c r="A1007" s="5" t="s">
        <v>3571</v>
      </c>
      <c r="B1007" s="10" t="s">
        <v>3572</v>
      </c>
      <c r="D1007" s="5" t="s">
        <v>30</v>
      </c>
      <c r="E1007" s="5" t="s">
        <v>42</v>
      </c>
      <c r="F1007" s="5" t="s">
        <v>967</v>
      </c>
      <c r="H1007" s="5" t="s">
        <v>3566</v>
      </c>
      <c r="J1007" s="10" t="s">
        <v>72</v>
      </c>
    </row>
    <row r="1008" ht="12.75" customHeight="1">
      <c r="A1008" s="5" t="s">
        <v>3573</v>
      </c>
      <c r="B1008" s="5" t="s">
        <v>3574</v>
      </c>
      <c r="D1008" s="5" t="s">
        <v>34</v>
      </c>
      <c r="E1008" s="5" t="s">
        <v>42</v>
      </c>
      <c r="F1008" s="5" t="s">
        <v>1753</v>
      </c>
      <c r="H1008" s="5" t="s">
        <v>3563</v>
      </c>
      <c r="J1008" s="10" t="s">
        <v>72</v>
      </c>
    </row>
    <row r="1009" ht="12.75" customHeight="1">
      <c r="A1009" s="5" t="s">
        <v>3575</v>
      </c>
      <c r="B1009" s="10" t="s">
        <v>3576</v>
      </c>
      <c r="D1009" s="5" t="s">
        <v>34</v>
      </c>
      <c r="E1009" s="5" t="s">
        <v>42</v>
      </c>
      <c r="F1009" s="5" t="s">
        <v>556</v>
      </c>
      <c r="H1009" s="5" t="s">
        <v>3566</v>
      </c>
      <c r="J1009" s="10" t="s">
        <v>72</v>
      </c>
    </row>
    <row r="1010" ht="12.75" customHeight="1">
      <c r="A1010" s="5" t="s">
        <v>3563</v>
      </c>
      <c r="B1010" s="5" t="s">
        <v>3577</v>
      </c>
      <c r="C1010" s="5" t="s">
        <v>3578</v>
      </c>
      <c r="D1010" s="5" t="s">
        <v>34</v>
      </c>
      <c r="E1010" s="5" t="s">
        <v>42</v>
      </c>
      <c r="F1010" s="5" t="s">
        <v>572</v>
      </c>
      <c r="H1010" s="5" t="s">
        <v>3492</v>
      </c>
      <c r="J1010" s="10" t="s">
        <v>72</v>
      </c>
      <c r="K1010" s="5" t="s">
        <v>3580</v>
      </c>
    </row>
    <row r="1011" ht="12.75" customHeight="1">
      <c r="A1011" s="5" t="s">
        <v>3566</v>
      </c>
      <c r="B1011" s="5" t="s">
        <v>3582</v>
      </c>
      <c r="D1011" s="5" t="s">
        <v>34</v>
      </c>
      <c r="E1011" s="5" t="s">
        <v>42</v>
      </c>
      <c r="F1011" s="5" t="s">
        <v>199</v>
      </c>
      <c r="H1011" s="5" t="s">
        <v>3563</v>
      </c>
      <c r="J1011" s="10" t="s">
        <v>72</v>
      </c>
      <c r="K1011" s="5" t="s">
        <v>3583</v>
      </c>
    </row>
    <row r="1012" ht="12.75" customHeight="1">
      <c r="A1012" s="5" t="s">
        <v>3584</v>
      </c>
      <c r="B1012" s="5" t="s">
        <v>3585</v>
      </c>
      <c r="D1012" s="5" t="s">
        <v>30</v>
      </c>
      <c r="E1012" s="5" t="s">
        <v>35</v>
      </c>
      <c r="F1012" s="5" t="s">
        <v>96</v>
      </c>
      <c r="H1012" s="5" t="s">
        <v>3586</v>
      </c>
      <c r="J1012" s="10" t="s">
        <v>72</v>
      </c>
    </row>
    <row r="1013" ht="12.75" customHeight="1">
      <c r="A1013" s="5" t="s">
        <v>3587</v>
      </c>
      <c r="B1013" s="10" t="s">
        <v>3588</v>
      </c>
      <c r="D1013" s="5" t="s">
        <v>30</v>
      </c>
      <c r="E1013" s="5" t="s">
        <v>35</v>
      </c>
      <c r="F1013" s="5" t="s">
        <v>96</v>
      </c>
      <c r="H1013" s="5" t="s">
        <v>3589</v>
      </c>
      <c r="J1013" s="10" t="s">
        <v>72</v>
      </c>
    </row>
    <row r="1014" ht="12.75" customHeight="1">
      <c r="A1014" s="5" t="s">
        <v>3590</v>
      </c>
      <c r="B1014" s="5" t="s">
        <v>3591</v>
      </c>
      <c r="D1014" s="5" t="s">
        <v>30</v>
      </c>
      <c r="E1014" s="5" t="s">
        <v>42</v>
      </c>
      <c r="F1014" s="5" t="s">
        <v>2638</v>
      </c>
      <c r="H1014" s="5" t="s">
        <v>3586</v>
      </c>
      <c r="J1014" s="10" t="s">
        <v>72</v>
      </c>
    </row>
    <row r="1015" ht="12.75" customHeight="1">
      <c r="A1015" s="5" t="s">
        <v>3592</v>
      </c>
      <c r="B1015" s="10" t="s">
        <v>3593</v>
      </c>
      <c r="D1015" s="5" t="s">
        <v>30</v>
      </c>
      <c r="E1015" s="5" t="s">
        <v>42</v>
      </c>
      <c r="F1015" s="5" t="s">
        <v>974</v>
      </c>
      <c r="H1015" s="5" t="s">
        <v>3589</v>
      </c>
      <c r="J1015" s="10" t="s">
        <v>72</v>
      </c>
    </row>
    <row r="1016" ht="12.75" customHeight="1">
      <c r="A1016" s="5" t="s">
        <v>3595</v>
      </c>
      <c r="B1016" s="5" t="s">
        <v>3597</v>
      </c>
      <c r="D1016" s="5" t="s">
        <v>34</v>
      </c>
      <c r="E1016" s="5" t="s">
        <v>42</v>
      </c>
      <c r="F1016" s="5" t="s">
        <v>672</v>
      </c>
      <c r="H1016" s="5" t="s">
        <v>3586</v>
      </c>
      <c r="J1016" s="10" t="s">
        <v>72</v>
      </c>
    </row>
    <row r="1017" ht="12.75" customHeight="1">
      <c r="A1017" s="5" t="s">
        <v>3598</v>
      </c>
      <c r="B1017" s="10" t="s">
        <v>3599</v>
      </c>
      <c r="D1017" s="5" t="s">
        <v>34</v>
      </c>
      <c r="E1017" s="5" t="s">
        <v>42</v>
      </c>
      <c r="F1017" s="5" t="s">
        <v>556</v>
      </c>
      <c r="H1017" s="5" t="s">
        <v>3589</v>
      </c>
      <c r="J1017" s="10" t="s">
        <v>72</v>
      </c>
    </row>
    <row r="1018" ht="12.75" customHeight="1">
      <c r="A1018" s="5" t="s">
        <v>3586</v>
      </c>
      <c r="B1018" s="5" t="s">
        <v>3600</v>
      </c>
      <c r="C1018" s="5" t="s">
        <v>3601</v>
      </c>
      <c r="D1018" s="5" t="s">
        <v>34</v>
      </c>
      <c r="E1018" s="5" t="s">
        <v>42</v>
      </c>
      <c r="F1018" s="5" t="s">
        <v>756</v>
      </c>
      <c r="H1018" s="5" t="s">
        <v>3492</v>
      </c>
      <c r="J1018" s="10" t="s">
        <v>72</v>
      </c>
      <c r="K1018" s="5" t="s">
        <v>3603</v>
      </c>
    </row>
    <row r="1019" ht="12.75" customHeight="1">
      <c r="A1019" s="5" t="s">
        <v>3589</v>
      </c>
      <c r="B1019" s="5" t="s">
        <v>3604</v>
      </c>
      <c r="D1019" s="5" t="s">
        <v>34</v>
      </c>
      <c r="E1019" s="5" t="s">
        <v>42</v>
      </c>
      <c r="F1019" s="5" t="s">
        <v>238</v>
      </c>
      <c r="H1019" s="5" t="s">
        <v>3586</v>
      </c>
      <c r="J1019" s="10" t="s">
        <v>72</v>
      </c>
      <c r="K1019" s="5" t="s">
        <v>3606</v>
      </c>
    </row>
    <row r="1020" ht="12.75" customHeight="1">
      <c r="A1020" s="5" t="s">
        <v>3608</v>
      </c>
      <c r="B1020" s="5" t="s">
        <v>3609</v>
      </c>
      <c r="D1020" s="5" t="s">
        <v>34</v>
      </c>
      <c r="E1020" s="5" t="s">
        <v>35</v>
      </c>
      <c r="F1020" s="5" t="s">
        <v>868</v>
      </c>
      <c r="G1020" s="10" t="s">
        <v>72</v>
      </c>
      <c r="H1020" s="5" t="s">
        <v>3610</v>
      </c>
      <c r="J1020" s="10" t="s">
        <v>72</v>
      </c>
      <c r="K1020" s="5" t="s">
        <v>3611</v>
      </c>
    </row>
    <row r="1021" ht="12.75" customHeight="1">
      <c r="A1021" s="5" t="s">
        <v>3612</v>
      </c>
      <c r="B1021" s="5" t="s">
        <v>3613</v>
      </c>
      <c r="D1021" s="5" t="s">
        <v>34</v>
      </c>
      <c r="E1021" s="5" t="s">
        <v>35</v>
      </c>
      <c r="F1021" s="5" t="s">
        <v>605</v>
      </c>
      <c r="G1021" s="10" t="s">
        <v>72</v>
      </c>
      <c r="H1021" s="5" t="s">
        <v>3608</v>
      </c>
      <c r="J1021" s="10" t="s">
        <v>72</v>
      </c>
    </row>
    <row r="1022" ht="12.75" customHeight="1">
      <c r="A1022" s="5" t="s">
        <v>3615</v>
      </c>
      <c r="B1022" s="5" t="s">
        <v>3616</v>
      </c>
      <c r="D1022" s="5" t="s">
        <v>34</v>
      </c>
      <c r="E1022" s="5" t="s">
        <v>42</v>
      </c>
      <c r="F1022" s="5" t="s">
        <v>400</v>
      </c>
      <c r="G1022" s="10" t="s">
        <v>72</v>
      </c>
      <c r="H1022" s="5" t="s">
        <v>3608</v>
      </c>
      <c r="J1022" s="10" t="s">
        <v>72</v>
      </c>
    </row>
    <row r="1023" ht="12.75" customHeight="1">
      <c r="A1023" s="5" t="s">
        <v>3619</v>
      </c>
      <c r="B1023" s="5" t="s">
        <v>3620</v>
      </c>
      <c r="D1023" s="5" t="s">
        <v>34</v>
      </c>
      <c r="E1023" s="5" t="s">
        <v>42</v>
      </c>
      <c r="F1023" s="5" t="s">
        <v>672</v>
      </c>
      <c r="G1023" s="10" t="s">
        <v>72</v>
      </c>
      <c r="H1023" s="5" t="s">
        <v>3608</v>
      </c>
      <c r="J1023" s="10" t="s">
        <v>72</v>
      </c>
    </row>
    <row r="1024" ht="12.75" customHeight="1">
      <c r="A1024" s="5" t="s">
        <v>3621</v>
      </c>
      <c r="B1024" s="5" t="s">
        <v>3622</v>
      </c>
      <c r="D1024" s="5" t="s">
        <v>34</v>
      </c>
      <c r="E1024" s="5" t="s">
        <v>42</v>
      </c>
      <c r="F1024" s="5" t="s">
        <v>637</v>
      </c>
      <c r="G1024" s="10" t="s">
        <v>72</v>
      </c>
      <c r="H1024" s="5" t="s">
        <v>3608</v>
      </c>
      <c r="J1024" s="10" t="s">
        <v>72</v>
      </c>
    </row>
    <row r="1025" ht="12.75" customHeight="1">
      <c r="A1025" s="5" t="s">
        <v>3623</v>
      </c>
      <c r="B1025" s="5" t="s">
        <v>3624</v>
      </c>
      <c r="D1025" s="5" t="s">
        <v>34</v>
      </c>
      <c r="E1025" s="5" t="s">
        <v>42</v>
      </c>
      <c r="F1025" s="5" t="s">
        <v>113</v>
      </c>
      <c r="G1025" s="10" t="s">
        <v>72</v>
      </c>
      <c r="H1025" s="5" t="s">
        <v>3608</v>
      </c>
      <c r="J1025" s="10" t="s">
        <v>72</v>
      </c>
    </row>
    <row r="1026" ht="12.75" customHeight="1">
      <c r="A1026" s="5" t="s">
        <v>3627</v>
      </c>
      <c r="B1026" s="5" t="s">
        <v>3628</v>
      </c>
      <c r="C1026" s="5" t="s">
        <v>3629</v>
      </c>
      <c r="D1026" s="5" t="s">
        <v>34</v>
      </c>
      <c r="E1026" s="5" t="s">
        <v>42</v>
      </c>
      <c r="F1026" s="5" t="s">
        <v>572</v>
      </c>
      <c r="H1026" s="5" t="s">
        <v>3630</v>
      </c>
    </row>
    <row r="1027" ht="12.75" customHeight="1">
      <c r="A1027" s="5" t="s">
        <v>3631</v>
      </c>
      <c r="B1027" s="5" t="s">
        <v>3632</v>
      </c>
      <c r="C1027" s="5" t="s">
        <v>3629</v>
      </c>
      <c r="D1027" s="5" t="s">
        <v>34</v>
      </c>
      <c r="E1027" s="5" t="s">
        <v>42</v>
      </c>
      <c r="F1027" s="5" t="s">
        <v>657</v>
      </c>
      <c r="H1027" s="5" t="s">
        <v>3630</v>
      </c>
    </row>
    <row r="1028" ht="12.75" customHeight="1">
      <c r="A1028" s="5" t="s">
        <v>3633</v>
      </c>
      <c r="B1028" s="5" t="s">
        <v>3634</v>
      </c>
      <c r="C1028" s="5" t="s">
        <v>3629</v>
      </c>
      <c r="D1028" s="5" t="s">
        <v>34</v>
      </c>
      <c r="E1028" s="5" t="s">
        <v>42</v>
      </c>
      <c r="F1028" s="5" t="s">
        <v>65</v>
      </c>
      <c r="H1028" s="5" t="s">
        <v>3630</v>
      </c>
    </row>
    <row r="1029" ht="12.75" customHeight="1">
      <c r="A1029" s="5" t="s">
        <v>3637</v>
      </c>
      <c r="B1029" s="10" t="s">
        <v>3638</v>
      </c>
      <c r="C1029" s="5" t="s">
        <v>3639</v>
      </c>
      <c r="D1029" s="5" t="s">
        <v>34</v>
      </c>
      <c r="E1029" s="5" t="s">
        <v>35</v>
      </c>
      <c r="F1029" s="5" t="s">
        <v>77</v>
      </c>
      <c r="G1029" s="10" t="s">
        <v>72</v>
      </c>
    </row>
    <row r="1030" ht="12.75" customHeight="1">
      <c r="A1030" s="5" t="s">
        <v>3640</v>
      </c>
      <c r="B1030" s="5" t="s">
        <v>3641</v>
      </c>
      <c r="C1030" s="5" t="s">
        <v>3642</v>
      </c>
      <c r="D1030" s="5" t="s">
        <v>50</v>
      </c>
      <c r="E1030" s="5" t="s">
        <v>42</v>
      </c>
      <c r="F1030" s="5" t="s">
        <v>720</v>
      </c>
      <c r="G1030" s="10" t="s">
        <v>72</v>
      </c>
    </row>
    <row r="1031" ht="12.75" customHeight="1">
      <c r="A1031" s="5" t="s">
        <v>3643</v>
      </c>
      <c r="B1031" s="5" t="s">
        <v>3644</v>
      </c>
      <c r="C1031" s="5" t="s">
        <v>3645</v>
      </c>
      <c r="D1031" s="5" t="s">
        <v>34</v>
      </c>
      <c r="E1031" s="5" t="s">
        <v>42</v>
      </c>
      <c r="F1031" s="5" t="s">
        <v>167</v>
      </c>
      <c r="G1031" s="10" t="s">
        <v>72</v>
      </c>
    </row>
    <row r="1032" ht="12.75" customHeight="1">
      <c r="A1032" s="5" t="s">
        <v>3648</v>
      </c>
      <c r="B1032" s="5" t="s">
        <v>3649</v>
      </c>
      <c r="C1032" s="5" t="s">
        <v>3650</v>
      </c>
      <c r="D1032" s="5" t="s">
        <v>34</v>
      </c>
      <c r="E1032" s="5" t="s">
        <v>35</v>
      </c>
      <c r="F1032" s="5" t="s">
        <v>90</v>
      </c>
    </row>
    <row r="1033" ht="12.75" customHeight="1">
      <c r="A1033" s="5" t="s">
        <v>3651</v>
      </c>
      <c r="B1033" s="5" t="s">
        <v>3652</v>
      </c>
      <c r="C1033" s="5" t="s">
        <v>3653</v>
      </c>
      <c r="D1033" s="5" t="s">
        <v>67</v>
      </c>
      <c r="E1033" s="5" t="s">
        <v>42</v>
      </c>
      <c r="F1033" s="5" t="s">
        <v>566</v>
      </c>
    </row>
    <row r="1034" ht="12.75" customHeight="1">
      <c r="A1034" s="5" t="s">
        <v>3654</v>
      </c>
      <c r="B1034" s="5" t="s">
        <v>3655</v>
      </c>
      <c r="C1034" s="5" t="s">
        <v>3656</v>
      </c>
      <c r="D1034" s="5" t="s">
        <v>34</v>
      </c>
      <c r="E1034" s="5" t="s">
        <v>35</v>
      </c>
      <c r="F1034" s="5" t="s">
        <v>616</v>
      </c>
      <c r="G1034" s="10" t="s">
        <v>72</v>
      </c>
    </row>
    <row r="1035" ht="12.75" customHeight="1">
      <c r="A1035" s="5" t="s">
        <v>3658</v>
      </c>
      <c r="B1035" s="5" t="s">
        <v>3659</v>
      </c>
      <c r="C1035" s="5" t="s">
        <v>3660</v>
      </c>
      <c r="D1035" s="5" t="s">
        <v>34</v>
      </c>
      <c r="E1035" s="5" t="s">
        <v>42</v>
      </c>
      <c r="F1035" s="5" t="s">
        <v>637</v>
      </c>
    </row>
    <row r="1036" ht="12.75" customHeight="1">
      <c r="A1036" s="5" t="s">
        <v>3662</v>
      </c>
      <c r="B1036" s="5" t="s">
        <v>3663</v>
      </c>
      <c r="C1036" s="5" t="s">
        <v>3664</v>
      </c>
      <c r="D1036" s="5" t="s">
        <v>34</v>
      </c>
      <c r="E1036" s="5" t="s">
        <v>42</v>
      </c>
      <c r="F1036" s="5" t="s">
        <v>3665</v>
      </c>
    </row>
    <row r="1037" ht="12.75" customHeight="1">
      <c r="A1037" s="5" t="s">
        <v>3666</v>
      </c>
      <c r="B1037" s="5" t="s">
        <v>3667</v>
      </c>
      <c r="C1037" s="5" t="s">
        <v>3668</v>
      </c>
      <c r="D1037" s="5" t="s">
        <v>30</v>
      </c>
      <c r="E1037" s="5" t="s">
        <v>35</v>
      </c>
      <c r="F1037" s="5" t="s">
        <v>96</v>
      </c>
      <c r="G1037" s="10" t="s">
        <v>72</v>
      </c>
    </row>
    <row r="1038" ht="12.75" customHeight="1">
      <c r="A1038" s="5" t="s">
        <v>3669</v>
      </c>
      <c r="B1038" s="5" t="s">
        <v>3670</v>
      </c>
      <c r="D1038" s="5" t="s">
        <v>30</v>
      </c>
      <c r="E1038" s="5" t="s">
        <v>42</v>
      </c>
      <c r="F1038" s="5" t="s">
        <v>1933</v>
      </c>
      <c r="G1038" s="10" t="s">
        <v>72</v>
      </c>
    </row>
    <row r="1039" ht="12.75" customHeight="1">
      <c r="A1039" s="5" t="s">
        <v>3672</v>
      </c>
      <c r="B1039" s="5" t="s">
        <v>3674</v>
      </c>
      <c r="C1039" s="5" t="s">
        <v>3675</v>
      </c>
      <c r="D1039" s="5" t="s">
        <v>30</v>
      </c>
      <c r="E1039" s="5" t="s">
        <v>42</v>
      </c>
      <c r="F1039" s="5" t="s">
        <v>974</v>
      </c>
      <c r="H1039" s="5" t="s">
        <v>3676</v>
      </c>
      <c r="I1039" s="10" t="s">
        <v>72</v>
      </c>
    </row>
    <row r="1040" ht="12.75" customHeight="1">
      <c r="A1040" s="5" t="s">
        <v>3677</v>
      </c>
      <c r="B1040" s="5" t="s">
        <v>3678</v>
      </c>
      <c r="D1040" s="5" t="s">
        <v>30</v>
      </c>
      <c r="E1040" s="5" t="s">
        <v>35</v>
      </c>
      <c r="F1040" s="5" t="s">
        <v>1868</v>
      </c>
      <c r="G1040" s="10" t="s">
        <v>72</v>
      </c>
    </row>
    <row r="1041" ht="12.75" customHeight="1">
      <c r="A1041" s="5" t="s">
        <v>3680</v>
      </c>
      <c r="B1041" s="5" t="s">
        <v>3681</v>
      </c>
      <c r="C1041" s="5" t="s">
        <v>3682</v>
      </c>
      <c r="D1041" s="5" t="s">
        <v>34</v>
      </c>
      <c r="E1041" s="5" t="s">
        <v>42</v>
      </c>
      <c r="F1041" s="5" t="s">
        <v>1753</v>
      </c>
      <c r="G1041" s="10" t="s">
        <v>72</v>
      </c>
    </row>
    <row r="1042" ht="12.75" customHeight="1">
      <c r="A1042" s="5" t="s">
        <v>3683</v>
      </c>
      <c r="B1042" s="10" t="s">
        <v>3684</v>
      </c>
      <c r="C1042" s="5" t="s">
        <v>3685</v>
      </c>
      <c r="D1042" s="5" t="s">
        <v>30</v>
      </c>
      <c r="E1042" s="5" t="s">
        <v>42</v>
      </c>
      <c r="F1042" s="5" t="s">
        <v>2701</v>
      </c>
      <c r="G1042" s="10" t="s">
        <v>72</v>
      </c>
    </row>
    <row r="1043" ht="12.75" customHeight="1">
      <c r="A1043" s="5" t="s">
        <v>3686</v>
      </c>
      <c r="B1043" s="5" t="s">
        <v>3687</v>
      </c>
      <c r="C1043" s="5" t="s">
        <v>3688</v>
      </c>
      <c r="D1043" s="5" t="s">
        <v>30</v>
      </c>
      <c r="E1043" s="5" t="s">
        <v>35</v>
      </c>
      <c r="F1043" s="5" t="s">
        <v>1143</v>
      </c>
      <c r="G1043" s="10" t="s">
        <v>72</v>
      </c>
    </row>
    <row r="1044" ht="12.75" customHeight="1">
      <c r="A1044" s="5" t="s">
        <v>3689</v>
      </c>
      <c r="B1044" s="5" t="s">
        <v>3690</v>
      </c>
      <c r="C1044" s="5" t="s">
        <v>3692</v>
      </c>
      <c r="D1044" s="5" t="s">
        <v>34</v>
      </c>
      <c r="E1044" s="5" t="s">
        <v>42</v>
      </c>
      <c r="F1044" s="5" t="s">
        <v>238</v>
      </c>
      <c r="G1044" s="10" t="s">
        <v>72</v>
      </c>
      <c r="K1044" s="5" t="s">
        <v>3694</v>
      </c>
      <c r="L1044" s="5" t="s">
        <v>3695</v>
      </c>
      <c r="M1044" s="5" t="s">
        <v>3695</v>
      </c>
    </row>
    <row r="1045" ht="12.75" customHeight="1">
      <c r="A1045" s="5" t="s">
        <v>3696</v>
      </c>
      <c r="B1045" s="10" t="s">
        <v>3697</v>
      </c>
      <c r="C1045" s="5" t="s">
        <v>3692</v>
      </c>
      <c r="D1045" s="5" t="s">
        <v>34</v>
      </c>
      <c r="E1045" s="5" t="s">
        <v>42</v>
      </c>
      <c r="F1045" s="5" t="s">
        <v>238</v>
      </c>
      <c r="G1045" s="10" t="s">
        <v>72</v>
      </c>
      <c r="H1045" s="5" t="s">
        <v>3689</v>
      </c>
      <c r="I1045" s="10" t="s">
        <v>72</v>
      </c>
    </row>
    <row r="1046" ht="12.75" customHeight="1">
      <c r="A1046" s="5" t="s">
        <v>3698</v>
      </c>
      <c r="B1046" s="10" t="s">
        <v>3699</v>
      </c>
      <c r="D1046" s="5" t="s">
        <v>34</v>
      </c>
      <c r="E1046" s="5" t="s">
        <v>42</v>
      </c>
      <c r="F1046" s="5" t="s">
        <v>238</v>
      </c>
      <c r="G1046" s="10" t="s">
        <v>72</v>
      </c>
      <c r="H1046" s="5" t="s">
        <v>3689</v>
      </c>
      <c r="I1046" s="10" t="s">
        <v>72</v>
      </c>
    </row>
    <row r="1047" ht="12.75" customHeight="1">
      <c r="A1047" s="5" t="s">
        <v>3702</v>
      </c>
      <c r="B1047" s="5" t="s">
        <v>3703</v>
      </c>
      <c r="D1047" s="5" t="s">
        <v>34</v>
      </c>
      <c r="E1047" s="5" t="s">
        <v>42</v>
      </c>
      <c r="F1047" s="5" t="s">
        <v>238</v>
      </c>
      <c r="G1047" s="10" t="s">
        <v>72</v>
      </c>
      <c r="H1047" s="5" t="s">
        <v>3689</v>
      </c>
      <c r="I1047" s="10" t="s">
        <v>72</v>
      </c>
    </row>
    <row r="1048" ht="12.75" customHeight="1">
      <c r="A1048" s="5" t="s">
        <v>3704</v>
      </c>
      <c r="B1048" s="5" t="s">
        <v>3705</v>
      </c>
      <c r="D1048" s="5" t="s">
        <v>34</v>
      </c>
      <c r="E1048" s="5" t="s">
        <v>42</v>
      </c>
      <c r="F1048" s="5" t="s">
        <v>238</v>
      </c>
      <c r="G1048" s="10" t="s">
        <v>72</v>
      </c>
      <c r="H1048" s="5" t="s">
        <v>3689</v>
      </c>
      <c r="I1048" s="10" t="s">
        <v>72</v>
      </c>
    </row>
    <row r="1049" ht="12.75" customHeight="1">
      <c r="A1049" s="5" t="s">
        <v>3707</v>
      </c>
      <c r="B1049" s="5" t="s">
        <v>3708</v>
      </c>
      <c r="D1049" s="5" t="s">
        <v>34</v>
      </c>
      <c r="E1049" s="5" t="s">
        <v>42</v>
      </c>
      <c r="F1049" s="5" t="s">
        <v>238</v>
      </c>
      <c r="G1049" s="10" t="s">
        <v>72</v>
      </c>
      <c r="H1049" s="5" t="s">
        <v>3689</v>
      </c>
      <c r="I1049" s="10" t="s">
        <v>72</v>
      </c>
    </row>
    <row r="1050" ht="12.75" customHeight="1">
      <c r="A1050" s="5" t="s">
        <v>3711</v>
      </c>
      <c r="B1050" s="5" t="s">
        <v>3712</v>
      </c>
      <c r="C1050" s="5" t="s">
        <v>2283</v>
      </c>
      <c r="D1050" s="5" t="s">
        <v>67</v>
      </c>
      <c r="E1050" s="5" t="s">
        <v>42</v>
      </c>
      <c r="F1050" s="5" t="s">
        <v>1260</v>
      </c>
    </row>
    <row r="1051" ht="12.75" customHeight="1">
      <c r="A1051" s="5" t="s">
        <v>3713</v>
      </c>
      <c r="B1051" s="10" t="s">
        <v>3714</v>
      </c>
      <c r="C1051" s="5" t="s">
        <v>3715</v>
      </c>
      <c r="D1051" s="5" t="s">
        <v>30</v>
      </c>
      <c r="E1051" s="5" t="s">
        <v>42</v>
      </c>
      <c r="F1051" s="5" t="s">
        <v>2420</v>
      </c>
      <c r="G1051" s="10" t="s">
        <v>72</v>
      </c>
      <c r="H1051" s="5" t="s">
        <v>1171</v>
      </c>
    </row>
    <row r="1052" ht="12.75" customHeight="1">
      <c r="A1052" s="5" t="s">
        <v>3717</v>
      </c>
      <c r="B1052" s="5" t="s">
        <v>3718</v>
      </c>
      <c r="D1052" s="5" t="s">
        <v>22</v>
      </c>
      <c r="E1052" s="5" t="s">
        <v>42</v>
      </c>
      <c r="F1052" s="5" t="s">
        <v>65</v>
      </c>
      <c r="H1052" s="5" t="s">
        <v>3721</v>
      </c>
      <c r="I1052" s="10" t="s">
        <v>72</v>
      </c>
    </row>
    <row r="1053" ht="12.75" customHeight="1">
      <c r="A1053" s="5" t="s">
        <v>3722</v>
      </c>
      <c r="B1053" s="10" t="s">
        <v>3723</v>
      </c>
      <c r="C1053" s="5" t="s">
        <v>3724</v>
      </c>
      <c r="D1053" s="5" t="s">
        <v>30</v>
      </c>
      <c r="E1053" s="5" t="s">
        <v>42</v>
      </c>
      <c r="F1053" s="5" t="s">
        <v>3107</v>
      </c>
      <c r="H1053" s="5" t="s">
        <v>3725</v>
      </c>
    </row>
    <row r="1054" ht="12.75" customHeight="1">
      <c r="A1054" s="5" t="s">
        <v>3726</v>
      </c>
      <c r="B1054" s="5" t="s">
        <v>3727</v>
      </c>
      <c r="C1054" s="5" t="s">
        <v>3728</v>
      </c>
      <c r="D1054" s="5" t="s">
        <v>30</v>
      </c>
      <c r="E1054" s="5" t="s">
        <v>42</v>
      </c>
      <c r="F1054" s="5" t="s">
        <v>974</v>
      </c>
      <c r="G1054" s="10" t="s">
        <v>72</v>
      </c>
    </row>
    <row r="1055" ht="12.75" customHeight="1">
      <c r="A1055" s="5" t="s">
        <v>3730</v>
      </c>
      <c r="B1055" s="10" t="s">
        <v>3731</v>
      </c>
      <c r="C1055" s="5" t="s">
        <v>3733</v>
      </c>
      <c r="D1055" s="5" t="s">
        <v>74</v>
      </c>
      <c r="E1055" s="5" t="s">
        <v>35</v>
      </c>
      <c r="F1055" s="5" t="s">
        <v>616</v>
      </c>
    </row>
    <row r="1056" ht="12.75" customHeight="1">
      <c r="A1056" s="5" t="s">
        <v>3735</v>
      </c>
      <c r="B1056" s="5" t="s">
        <v>3736</v>
      </c>
      <c r="D1056" s="5" t="s">
        <v>30</v>
      </c>
      <c r="E1056" s="5" t="s">
        <v>42</v>
      </c>
      <c r="F1056" s="5" t="s">
        <v>395</v>
      </c>
      <c r="G1056" s="10" t="s">
        <v>72</v>
      </c>
      <c r="H1056" s="5" t="s">
        <v>3737</v>
      </c>
      <c r="K1056" s="5" t="s">
        <v>3738</v>
      </c>
    </row>
    <row r="1057" ht="12.75" customHeight="1">
      <c r="A1057" s="5" t="s">
        <v>3739</v>
      </c>
      <c r="B1057" s="5" t="s">
        <v>3740</v>
      </c>
      <c r="D1057" s="5" t="s">
        <v>30</v>
      </c>
      <c r="E1057" s="5" t="s">
        <v>42</v>
      </c>
      <c r="F1057" s="5" t="s">
        <v>2196</v>
      </c>
      <c r="G1057" s="10" t="s">
        <v>72</v>
      </c>
      <c r="H1057" s="5" t="s">
        <v>3735</v>
      </c>
    </row>
    <row r="1058" ht="12.75" customHeight="1">
      <c r="A1058" s="5" t="s">
        <v>3741</v>
      </c>
      <c r="B1058" s="5" t="s">
        <v>3743</v>
      </c>
      <c r="D1058" s="5" t="s">
        <v>30</v>
      </c>
      <c r="E1058" s="5" t="s">
        <v>42</v>
      </c>
      <c r="F1058" s="5" t="s">
        <v>2701</v>
      </c>
      <c r="G1058" s="10" t="s">
        <v>72</v>
      </c>
      <c r="H1058" s="5" t="s">
        <v>3735</v>
      </c>
    </row>
    <row r="1059" ht="12.75" customHeight="1">
      <c r="A1059" s="5" t="s">
        <v>3745</v>
      </c>
      <c r="B1059" s="5" t="s">
        <v>3746</v>
      </c>
      <c r="D1059" s="5" t="s">
        <v>30</v>
      </c>
      <c r="E1059" s="5" t="s">
        <v>42</v>
      </c>
      <c r="F1059" s="5" t="s">
        <v>967</v>
      </c>
      <c r="H1059" s="5" t="s">
        <v>3747</v>
      </c>
      <c r="I1059" s="10" t="s">
        <v>72</v>
      </c>
    </row>
    <row r="1060" ht="12.75" customHeight="1">
      <c r="A1060" s="5" t="s">
        <v>3748</v>
      </c>
      <c r="B1060" s="5" t="s">
        <v>3749</v>
      </c>
      <c r="D1060" s="5" t="s">
        <v>30</v>
      </c>
      <c r="E1060" s="5" t="s">
        <v>35</v>
      </c>
      <c r="F1060" s="5" t="s">
        <v>545</v>
      </c>
      <c r="H1060" s="5" t="s">
        <v>3750</v>
      </c>
      <c r="I1060" s="10" t="s">
        <v>72</v>
      </c>
    </row>
    <row r="1061" ht="12.75" customHeight="1">
      <c r="A1061" s="5" t="s">
        <v>3752</v>
      </c>
      <c r="B1061" s="5" t="s">
        <v>3753</v>
      </c>
      <c r="D1061" s="5" t="s">
        <v>30</v>
      </c>
      <c r="E1061" s="5" t="s">
        <v>42</v>
      </c>
      <c r="F1061" s="5" t="s">
        <v>157</v>
      </c>
      <c r="H1061" s="5" t="s">
        <v>3755</v>
      </c>
      <c r="I1061" s="10" t="s">
        <v>72</v>
      </c>
    </row>
    <row r="1062" ht="12.75" customHeight="1">
      <c r="A1062" s="5" t="s">
        <v>3756</v>
      </c>
      <c r="B1062" s="5" t="s">
        <v>3757</v>
      </c>
      <c r="D1062" s="5" t="s">
        <v>30</v>
      </c>
      <c r="E1062" s="5" t="s">
        <v>42</v>
      </c>
      <c r="F1062" s="5" t="s">
        <v>967</v>
      </c>
      <c r="H1062" s="5" t="s">
        <v>3086</v>
      </c>
      <c r="I1062" s="10" t="s">
        <v>72</v>
      </c>
    </row>
    <row r="1063" ht="12.75" customHeight="1">
      <c r="A1063" s="5" t="s">
        <v>3758</v>
      </c>
      <c r="B1063" s="5" t="s">
        <v>3759</v>
      </c>
      <c r="D1063" s="5" t="s">
        <v>30</v>
      </c>
      <c r="E1063" s="5" t="s">
        <v>42</v>
      </c>
      <c r="F1063" s="5" t="s">
        <v>3107</v>
      </c>
      <c r="G1063" s="10" t="s">
        <v>72</v>
      </c>
      <c r="H1063" s="5" t="s">
        <v>3737</v>
      </c>
      <c r="I1063" s="10" t="s">
        <v>72</v>
      </c>
    </row>
    <row r="1064" ht="12.75" customHeight="1">
      <c r="A1064" s="5" t="s">
        <v>3763</v>
      </c>
      <c r="B1064" s="5" t="s">
        <v>3764</v>
      </c>
      <c r="D1064" s="5" t="s">
        <v>30</v>
      </c>
      <c r="E1064" s="5" t="s">
        <v>42</v>
      </c>
      <c r="F1064" s="5" t="s">
        <v>3107</v>
      </c>
      <c r="G1064" s="10" t="s">
        <v>72</v>
      </c>
      <c r="H1064" s="5" t="s">
        <v>3737</v>
      </c>
      <c r="I1064" s="10" t="s">
        <v>72</v>
      </c>
    </row>
    <row r="1065" ht="12.75" customHeight="1">
      <c r="A1065" s="5" t="s">
        <v>3765</v>
      </c>
      <c r="B1065" s="10" t="s">
        <v>3766</v>
      </c>
      <c r="C1065" s="5" t="s">
        <v>3767</v>
      </c>
      <c r="D1065" s="5" t="s">
        <v>30</v>
      </c>
      <c r="E1065" s="5" t="s">
        <v>42</v>
      </c>
      <c r="F1065" s="5" t="s">
        <v>157</v>
      </c>
    </row>
    <row r="1066" ht="12.75" customHeight="1">
      <c r="A1066" s="5" t="s">
        <v>3768</v>
      </c>
      <c r="B1066" s="5" t="s">
        <v>3769</v>
      </c>
      <c r="C1066" s="5" t="s">
        <v>3770</v>
      </c>
      <c r="D1066" s="5" t="s">
        <v>30</v>
      </c>
      <c r="E1066" s="5" t="s">
        <v>35</v>
      </c>
      <c r="F1066" s="5" t="s">
        <v>2390</v>
      </c>
    </row>
    <row r="1067" ht="12.75" customHeight="1">
      <c r="A1067" s="5" t="s">
        <v>3773</v>
      </c>
      <c r="B1067" s="5" t="s">
        <v>3774</v>
      </c>
      <c r="C1067" s="5" t="s">
        <v>3775</v>
      </c>
      <c r="D1067" s="5" t="s">
        <v>30</v>
      </c>
      <c r="E1067" s="5" t="s">
        <v>35</v>
      </c>
      <c r="F1067" s="5" t="s">
        <v>2401</v>
      </c>
    </row>
    <row r="1068" ht="12.75" customHeight="1">
      <c r="A1068" s="5" t="s">
        <v>3776</v>
      </c>
      <c r="B1068" s="10" t="s">
        <v>3777</v>
      </c>
      <c r="C1068" s="5" t="s">
        <v>3778</v>
      </c>
      <c r="D1068" s="5" t="s">
        <v>30</v>
      </c>
      <c r="E1068" s="5" t="s">
        <v>35</v>
      </c>
      <c r="F1068" s="5" t="s">
        <v>1324</v>
      </c>
    </row>
    <row r="1069" ht="12.75" customHeight="1">
      <c r="A1069" s="5" t="s">
        <v>3779</v>
      </c>
      <c r="B1069" s="10" t="s">
        <v>3780</v>
      </c>
      <c r="C1069" s="5" t="s">
        <v>3781</v>
      </c>
      <c r="D1069" s="5" t="s">
        <v>38</v>
      </c>
      <c r="E1069" s="5" t="s">
        <v>42</v>
      </c>
      <c r="F1069" s="5" t="s">
        <v>672</v>
      </c>
    </row>
    <row r="1070" ht="12.75" customHeight="1">
      <c r="A1070" s="5" t="s">
        <v>3782</v>
      </c>
      <c r="B1070" s="10" t="s">
        <v>3783</v>
      </c>
      <c r="C1070" s="5" t="s">
        <v>3784</v>
      </c>
      <c r="D1070" s="5" t="s">
        <v>30</v>
      </c>
      <c r="E1070" s="5" t="s">
        <v>35</v>
      </c>
      <c r="F1070" s="5" t="s">
        <v>1831</v>
      </c>
    </row>
    <row r="1071" ht="12.75" customHeight="1">
      <c r="A1071" s="5" t="s">
        <v>3786</v>
      </c>
      <c r="B1071" s="5" t="s">
        <v>3787</v>
      </c>
      <c r="C1071" s="5" t="s">
        <v>3788</v>
      </c>
      <c r="D1071" s="5" t="s">
        <v>30</v>
      </c>
      <c r="E1071" s="5" t="s">
        <v>42</v>
      </c>
      <c r="F1071" s="5" t="s">
        <v>395</v>
      </c>
    </row>
    <row r="1072" ht="12.75" customHeight="1">
      <c r="A1072" s="5" t="s">
        <v>3790</v>
      </c>
      <c r="B1072" s="5" t="s">
        <v>3791</v>
      </c>
      <c r="C1072" s="5" t="s">
        <v>3792</v>
      </c>
      <c r="D1072" s="5" t="s">
        <v>22</v>
      </c>
      <c r="E1072" s="5" t="s">
        <v>42</v>
      </c>
      <c r="F1072" s="5" t="s">
        <v>572</v>
      </c>
      <c r="G1072" s="10" t="s">
        <v>72</v>
      </c>
    </row>
    <row r="1073" ht="12.75" customHeight="1">
      <c r="A1073" s="5" t="s">
        <v>3793</v>
      </c>
      <c r="B1073" s="10" t="s">
        <v>3794</v>
      </c>
      <c r="C1073" s="5" t="s">
        <v>3795</v>
      </c>
      <c r="D1073" s="5" t="s">
        <v>30</v>
      </c>
      <c r="E1073" s="5" t="s">
        <v>42</v>
      </c>
      <c r="F1073" s="5" t="s">
        <v>535</v>
      </c>
    </row>
    <row r="1074" ht="12.75" customHeight="1">
      <c r="A1074" s="5" t="s">
        <v>3796</v>
      </c>
      <c r="B1074" s="5" t="s">
        <v>3797</v>
      </c>
      <c r="C1074" s="5" t="s">
        <v>3799</v>
      </c>
      <c r="D1074" s="5" t="s">
        <v>30</v>
      </c>
      <c r="E1074" s="5" t="s">
        <v>42</v>
      </c>
      <c r="F1074" s="5" t="s">
        <v>2638</v>
      </c>
    </row>
    <row r="1075" ht="12.75" customHeight="1">
      <c r="A1075" s="5" t="s">
        <v>3801</v>
      </c>
      <c r="B1075" s="5" t="s">
        <v>3802</v>
      </c>
      <c r="C1075" s="5" t="s">
        <v>3803</v>
      </c>
      <c r="D1075" s="5" t="s">
        <v>30</v>
      </c>
      <c r="E1075" s="5" t="s">
        <v>42</v>
      </c>
      <c r="F1075" s="5" t="s">
        <v>2218</v>
      </c>
    </row>
    <row r="1076" ht="12.75" customHeight="1">
      <c r="A1076" s="5" t="s">
        <v>3804</v>
      </c>
      <c r="B1076" s="10" t="s">
        <v>3805</v>
      </c>
      <c r="C1076" s="5" t="s">
        <v>3806</v>
      </c>
      <c r="D1076" s="5" t="s">
        <v>30</v>
      </c>
      <c r="E1076" s="5" t="s">
        <v>42</v>
      </c>
      <c r="F1076" s="5" t="s">
        <v>211</v>
      </c>
    </row>
    <row r="1077" ht="12.75" customHeight="1">
      <c r="A1077" s="5" t="s">
        <v>3807</v>
      </c>
      <c r="B1077" s="5" t="s">
        <v>3808</v>
      </c>
      <c r="D1077" s="5" t="s">
        <v>34</v>
      </c>
      <c r="E1077" s="5" t="s">
        <v>42</v>
      </c>
      <c r="F1077" s="5" t="s">
        <v>43</v>
      </c>
      <c r="H1077" s="5" t="s">
        <v>3811</v>
      </c>
      <c r="I1077" s="10" t="s">
        <v>72</v>
      </c>
    </row>
    <row r="1078" ht="12.75" customHeight="1">
      <c r="A1078" s="5" t="s">
        <v>3811</v>
      </c>
      <c r="B1078" s="5" t="s">
        <v>3813</v>
      </c>
      <c r="C1078" s="5" t="s">
        <v>3814</v>
      </c>
      <c r="D1078" s="5" t="s">
        <v>34</v>
      </c>
      <c r="E1078" s="5" t="s">
        <v>42</v>
      </c>
      <c r="F1078" s="5" t="s">
        <v>43</v>
      </c>
      <c r="L1078" s="5" t="s">
        <v>3807</v>
      </c>
    </row>
    <row r="1079" ht="12.75" customHeight="1">
      <c r="A1079" s="5" t="s">
        <v>3815</v>
      </c>
      <c r="B1079" s="5" t="s">
        <v>3816</v>
      </c>
      <c r="C1079" s="5" t="s">
        <v>3817</v>
      </c>
      <c r="D1079" s="5" t="s">
        <v>22</v>
      </c>
      <c r="E1079" s="5" t="s">
        <v>42</v>
      </c>
      <c r="F1079" s="5" t="s">
        <v>228</v>
      </c>
      <c r="G1079" s="10" t="s">
        <v>72</v>
      </c>
    </row>
    <row r="1080" ht="12.75" customHeight="1">
      <c r="A1080" s="5" t="s">
        <v>3819</v>
      </c>
      <c r="B1080" s="5" t="s">
        <v>3820</v>
      </c>
      <c r="D1080" s="5" t="s">
        <v>30</v>
      </c>
      <c r="E1080" s="5" t="s">
        <v>42</v>
      </c>
      <c r="F1080" s="5" t="s">
        <v>967</v>
      </c>
      <c r="G1080" s="10" t="s">
        <v>72</v>
      </c>
      <c r="H1080" s="5" t="s">
        <v>3737</v>
      </c>
    </row>
    <row r="1081" ht="12.75" customHeight="1">
      <c r="A1081" s="5" t="s">
        <v>3822</v>
      </c>
      <c r="B1081" s="5" t="s">
        <v>3823</v>
      </c>
      <c r="D1081" s="5" t="s">
        <v>30</v>
      </c>
      <c r="E1081" s="5" t="s">
        <v>42</v>
      </c>
      <c r="F1081" s="5" t="s">
        <v>395</v>
      </c>
      <c r="G1081" s="10" t="s">
        <v>72</v>
      </c>
      <c r="H1081" s="5" t="s">
        <v>3737</v>
      </c>
    </row>
    <row r="1082" ht="12.75" customHeight="1">
      <c r="A1082" s="5" t="s">
        <v>3825</v>
      </c>
      <c r="B1082" s="5" t="s">
        <v>3826</v>
      </c>
      <c r="D1082" s="5" t="s">
        <v>30</v>
      </c>
      <c r="E1082" s="5" t="s">
        <v>42</v>
      </c>
      <c r="F1082" s="5" t="s">
        <v>974</v>
      </c>
      <c r="G1082" s="10" t="s">
        <v>72</v>
      </c>
      <c r="H1082" s="5" t="s">
        <v>3737</v>
      </c>
    </row>
    <row r="1083" ht="12.75" customHeight="1">
      <c r="A1083" s="5" t="s">
        <v>3827</v>
      </c>
      <c r="B1083" s="5" t="s">
        <v>3828</v>
      </c>
      <c r="D1083" s="5" t="s">
        <v>30</v>
      </c>
      <c r="E1083" s="5" t="s">
        <v>42</v>
      </c>
      <c r="F1083" s="5" t="s">
        <v>967</v>
      </c>
      <c r="G1083" s="10" t="s">
        <v>72</v>
      </c>
      <c r="H1083" s="5" t="s">
        <v>3737</v>
      </c>
    </row>
    <row r="1084" ht="12.75" customHeight="1">
      <c r="A1084" s="5" t="s">
        <v>3829</v>
      </c>
      <c r="B1084" s="5" t="s">
        <v>3831</v>
      </c>
      <c r="D1084" s="5" t="s">
        <v>30</v>
      </c>
      <c r="E1084" s="5" t="s">
        <v>42</v>
      </c>
      <c r="F1084" s="5" t="s">
        <v>2701</v>
      </c>
      <c r="G1084" s="10" t="s">
        <v>72</v>
      </c>
      <c r="H1084" s="5" t="s">
        <v>3737</v>
      </c>
    </row>
    <row r="1085" ht="12.75" customHeight="1">
      <c r="A1085" s="5" t="s">
        <v>3833</v>
      </c>
      <c r="B1085" s="5" t="s">
        <v>3834</v>
      </c>
      <c r="D1085" s="5" t="s">
        <v>30</v>
      </c>
      <c r="E1085" s="5" t="s">
        <v>42</v>
      </c>
      <c r="F1085" s="5" t="s">
        <v>2701</v>
      </c>
      <c r="G1085" s="10" t="s">
        <v>72</v>
      </c>
      <c r="H1085" s="5" t="s">
        <v>3737</v>
      </c>
    </row>
    <row r="1086" ht="12.75" customHeight="1">
      <c r="A1086" s="5" t="s">
        <v>3835</v>
      </c>
      <c r="B1086" s="5" t="s">
        <v>3836</v>
      </c>
      <c r="D1086" s="5" t="s">
        <v>30</v>
      </c>
      <c r="E1086" s="5" t="s">
        <v>42</v>
      </c>
      <c r="F1086" s="5" t="s">
        <v>1911</v>
      </c>
      <c r="G1086" s="10" t="s">
        <v>72</v>
      </c>
      <c r="H1086" s="5" t="s">
        <v>3737</v>
      </c>
    </row>
    <row r="1087" ht="12.75" customHeight="1">
      <c r="A1087" s="5" t="s">
        <v>3837</v>
      </c>
      <c r="B1087" s="5" t="s">
        <v>3838</v>
      </c>
      <c r="D1087" s="5" t="s">
        <v>30</v>
      </c>
      <c r="E1087" s="5" t="s">
        <v>42</v>
      </c>
      <c r="F1087" s="5" t="s">
        <v>967</v>
      </c>
      <c r="G1087" s="10" t="s">
        <v>72</v>
      </c>
      <c r="H1087" s="5" t="s">
        <v>3737</v>
      </c>
    </row>
    <row r="1088" ht="12.75" customHeight="1">
      <c r="A1088" s="5" t="s">
        <v>3841</v>
      </c>
      <c r="B1088" s="5" t="s">
        <v>3842</v>
      </c>
      <c r="D1088" s="5" t="s">
        <v>30</v>
      </c>
      <c r="E1088" s="5" t="s">
        <v>42</v>
      </c>
      <c r="F1088" s="5" t="s">
        <v>3843</v>
      </c>
      <c r="G1088" s="10" t="s">
        <v>72</v>
      </c>
      <c r="H1088" s="5" t="s">
        <v>3737</v>
      </c>
    </row>
    <row r="1089" ht="12.75" customHeight="1">
      <c r="A1089" s="5" t="s">
        <v>3737</v>
      </c>
      <c r="B1089" s="5" t="s">
        <v>3844</v>
      </c>
      <c r="C1089" s="5" t="s">
        <v>3845</v>
      </c>
      <c r="D1089" s="5" t="s">
        <v>30</v>
      </c>
      <c r="E1089" s="5" t="s">
        <v>42</v>
      </c>
      <c r="F1089" s="5" t="s">
        <v>3107</v>
      </c>
      <c r="G1089" s="10" t="s">
        <v>72</v>
      </c>
      <c r="K1089" s="5" t="s">
        <v>3846</v>
      </c>
      <c r="L1089" s="5" t="s">
        <v>3847</v>
      </c>
      <c r="M1089" s="5" t="s">
        <v>3847</v>
      </c>
    </row>
    <row r="1090" ht="12.75" customHeight="1">
      <c r="A1090" s="5" t="s">
        <v>3848</v>
      </c>
      <c r="B1090" s="5" t="s">
        <v>3850</v>
      </c>
      <c r="D1090" s="5" t="s">
        <v>30</v>
      </c>
      <c r="E1090" s="5" t="s">
        <v>42</v>
      </c>
      <c r="F1090" s="5" t="s">
        <v>2218</v>
      </c>
      <c r="G1090" s="10" t="s">
        <v>72</v>
      </c>
      <c r="H1090" s="5" t="s">
        <v>3737</v>
      </c>
    </row>
    <row r="1091" ht="12.75" customHeight="1">
      <c r="A1091" s="5" t="s">
        <v>3852</v>
      </c>
      <c r="B1091" s="5" t="s">
        <v>3853</v>
      </c>
      <c r="D1091" s="5" t="s">
        <v>30</v>
      </c>
      <c r="E1091" s="5" t="s">
        <v>42</v>
      </c>
      <c r="F1091" s="5" t="s">
        <v>2701</v>
      </c>
      <c r="G1091" s="10" t="s">
        <v>72</v>
      </c>
      <c r="H1091" s="5" t="s">
        <v>3737</v>
      </c>
    </row>
    <row r="1092" ht="12.75" customHeight="1">
      <c r="A1092" s="5" t="s">
        <v>3854</v>
      </c>
      <c r="B1092" s="5" t="s">
        <v>3855</v>
      </c>
      <c r="C1092" s="5" t="s">
        <v>3856</v>
      </c>
      <c r="D1092" s="5" t="s">
        <v>30</v>
      </c>
      <c r="E1092" s="5" t="s">
        <v>42</v>
      </c>
      <c r="F1092" s="5" t="s">
        <v>2771</v>
      </c>
    </row>
    <row r="1093" ht="12.75" customHeight="1">
      <c r="A1093" s="5" t="s">
        <v>3857</v>
      </c>
      <c r="B1093" s="5" t="s">
        <v>3858</v>
      </c>
      <c r="C1093" s="5" t="s">
        <v>3859</v>
      </c>
      <c r="D1093" s="5" t="s">
        <v>34</v>
      </c>
      <c r="E1093" s="5" t="s">
        <v>42</v>
      </c>
      <c r="F1093" s="5" t="s">
        <v>113</v>
      </c>
    </row>
    <row r="1094" ht="12.75" customHeight="1">
      <c r="A1094" s="5" t="s">
        <v>3861</v>
      </c>
      <c r="B1094" s="5" t="s">
        <v>3862</v>
      </c>
      <c r="C1094" s="5" t="s">
        <v>3859</v>
      </c>
      <c r="D1094" s="5" t="s">
        <v>34</v>
      </c>
      <c r="E1094" s="5" t="s">
        <v>42</v>
      </c>
      <c r="F1094" s="5" t="s">
        <v>556</v>
      </c>
    </row>
    <row r="1095" ht="12.75" customHeight="1">
      <c r="A1095" s="5" t="s">
        <v>3864</v>
      </c>
      <c r="B1095" s="5" t="s">
        <v>3865</v>
      </c>
      <c r="C1095" s="5" t="s">
        <v>3866</v>
      </c>
      <c r="D1095" s="5" t="s">
        <v>30</v>
      </c>
      <c r="E1095" s="5" t="s">
        <v>35</v>
      </c>
      <c r="F1095" s="5" t="s">
        <v>1831</v>
      </c>
    </row>
    <row r="1096" ht="12.75" customHeight="1">
      <c r="A1096" s="5" t="s">
        <v>3867</v>
      </c>
      <c r="B1096" s="5" t="s">
        <v>3868</v>
      </c>
      <c r="C1096" s="5" t="s">
        <v>3870</v>
      </c>
      <c r="D1096" s="5" t="s">
        <v>30</v>
      </c>
      <c r="E1096" s="5" t="s">
        <v>42</v>
      </c>
      <c r="F1096" s="5" t="s">
        <v>2420</v>
      </c>
    </row>
    <row r="1097" ht="12.75" customHeight="1">
      <c r="A1097" s="5" t="s">
        <v>3872</v>
      </c>
      <c r="B1097" s="5" t="s">
        <v>3873</v>
      </c>
      <c r="C1097" s="5" t="s">
        <v>3874</v>
      </c>
      <c r="D1097" s="5" t="s">
        <v>30</v>
      </c>
      <c r="E1097" s="5" t="s">
        <v>42</v>
      </c>
      <c r="F1097" s="5" t="s">
        <v>2869</v>
      </c>
    </row>
    <row r="1098" ht="12.75" customHeight="1">
      <c r="A1098" s="5" t="s">
        <v>3875</v>
      </c>
      <c r="B1098" s="5" t="s">
        <v>3876</v>
      </c>
      <c r="C1098" s="5" t="s">
        <v>3877</v>
      </c>
      <c r="D1098" s="5" t="s">
        <v>30</v>
      </c>
      <c r="E1098" s="5" t="s">
        <v>42</v>
      </c>
      <c r="F1098" s="5" t="s">
        <v>2196</v>
      </c>
    </row>
    <row r="1099" ht="12.75" customHeight="1">
      <c r="A1099" s="5" t="s">
        <v>3878</v>
      </c>
      <c r="B1099" s="5" t="s">
        <v>3879</v>
      </c>
      <c r="C1099" s="5" t="s">
        <v>3880</v>
      </c>
      <c r="D1099" s="5" t="s">
        <v>30</v>
      </c>
      <c r="E1099" s="5" t="s">
        <v>42</v>
      </c>
      <c r="F1099" s="5" t="s">
        <v>2701</v>
      </c>
    </row>
    <row r="1100" ht="12.75" customHeight="1">
      <c r="A1100" s="5" t="s">
        <v>3881</v>
      </c>
      <c r="B1100" s="10" t="s">
        <v>3882</v>
      </c>
      <c r="C1100" s="5" t="s">
        <v>3884</v>
      </c>
      <c r="D1100" s="5" t="s">
        <v>30</v>
      </c>
      <c r="E1100" s="5" t="s">
        <v>35</v>
      </c>
      <c r="F1100" s="5" t="s">
        <v>96</v>
      </c>
      <c r="G1100" s="10" t="s">
        <v>72</v>
      </c>
    </row>
    <row r="1101" ht="12.75" customHeight="1">
      <c r="A1101" s="5" t="s">
        <v>3886</v>
      </c>
      <c r="B1101" s="5" t="s">
        <v>3887</v>
      </c>
      <c r="C1101" s="5" t="s">
        <v>3888</v>
      </c>
      <c r="D1101" s="5" t="s">
        <v>30</v>
      </c>
      <c r="E1101" s="5" t="s">
        <v>42</v>
      </c>
      <c r="F1101" s="5" t="s">
        <v>974</v>
      </c>
      <c r="G1101" s="10" t="s">
        <v>72</v>
      </c>
    </row>
    <row r="1102" ht="12.75" customHeight="1">
      <c r="A1102" s="5" t="s">
        <v>3889</v>
      </c>
      <c r="B1102" s="5" t="s">
        <v>3890</v>
      </c>
      <c r="C1102" s="5" t="s">
        <v>3891</v>
      </c>
      <c r="D1102" s="5" t="s">
        <v>30</v>
      </c>
      <c r="E1102" s="5" t="s">
        <v>42</v>
      </c>
      <c r="F1102" s="5" t="s">
        <v>1223</v>
      </c>
    </row>
    <row r="1103" ht="12.75" customHeight="1">
      <c r="A1103" s="5" t="s">
        <v>3892</v>
      </c>
      <c r="B1103" s="5" t="s">
        <v>3893</v>
      </c>
      <c r="C1103" s="5" t="s">
        <v>3894</v>
      </c>
      <c r="D1103" s="5" t="s">
        <v>34</v>
      </c>
      <c r="E1103" s="5" t="s">
        <v>42</v>
      </c>
      <c r="F1103" s="5" t="s">
        <v>720</v>
      </c>
    </row>
    <row r="1104" ht="12.75" customHeight="1">
      <c r="A1104" s="5" t="s">
        <v>3896</v>
      </c>
      <c r="B1104" s="5" t="s">
        <v>3898</v>
      </c>
      <c r="C1104" s="5" t="s">
        <v>3894</v>
      </c>
      <c r="D1104" s="5" t="s">
        <v>34</v>
      </c>
      <c r="E1104" s="5" t="s">
        <v>42</v>
      </c>
      <c r="F1104" s="5" t="s">
        <v>83</v>
      </c>
    </row>
    <row r="1105" ht="12.75" customHeight="1">
      <c r="A1105" s="5" t="s">
        <v>3899</v>
      </c>
      <c r="B1105" s="10" t="s">
        <v>3900</v>
      </c>
      <c r="C1105" s="5" t="s">
        <v>3901</v>
      </c>
      <c r="D1105" s="5" t="s">
        <v>30</v>
      </c>
      <c r="E1105" s="5" t="s">
        <v>42</v>
      </c>
      <c r="F1105" s="5" t="s">
        <v>1911</v>
      </c>
      <c r="G1105" s="10" t="s">
        <v>72</v>
      </c>
    </row>
    <row r="1106" ht="12.75" customHeight="1">
      <c r="A1106" s="5" t="s">
        <v>3902</v>
      </c>
      <c r="B1106" s="10" t="s">
        <v>3903</v>
      </c>
      <c r="C1106" s="5" t="s">
        <v>3904</v>
      </c>
      <c r="D1106" s="5" t="s">
        <v>30</v>
      </c>
      <c r="E1106" s="5" t="s">
        <v>35</v>
      </c>
      <c r="F1106" s="5" t="s">
        <v>545</v>
      </c>
      <c r="G1106" s="10" t="s">
        <v>72</v>
      </c>
    </row>
    <row r="1107" ht="12.75" customHeight="1">
      <c r="A1107" s="5" t="s">
        <v>3906</v>
      </c>
      <c r="B1107" s="10" t="s">
        <v>3907</v>
      </c>
      <c r="C1107" s="5" t="s">
        <v>3909</v>
      </c>
      <c r="D1107" s="5" t="s">
        <v>30</v>
      </c>
      <c r="E1107" s="5" t="s">
        <v>42</v>
      </c>
      <c r="F1107" s="5" t="s">
        <v>967</v>
      </c>
      <c r="G1107" s="10" t="s">
        <v>72</v>
      </c>
    </row>
    <row r="1108" ht="12.75" customHeight="1">
      <c r="A1108" s="5" t="s">
        <v>3910</v>
      </c>
      <c r="B1108" s="5" t="s">
        <v>3911</v>
      </c>
      <c r="C1108" s="5" t="s">
        <v>3912</v>
      </c>
      <c r="D1108" s="5" t="s">
        <v>30</v>
      </c>
      <c r="E1108" s="5" t="s">
        <v>42</v>
      </c>
      <c r="F1108" s="5" t="s">
        <v>974</v>
      </c>
    </row>
    <row r="1109" ht="12.75" customHeight="1">
      <c r="A1109" s="5" t="s">
        <v>3913</v>
      </c>
      <c r="B1109" s="5" t="s">
        <v>3914</v>
      </c>
      <c r="C1109" s="5" t="s">
        <v>3915</v>
      </c>
      <c r="D1109" s="5" t="s">
        <v>30</v>
      </c>
      <c r="E1109" s="5" t="s">
        <v>42</v>
      </c>
      <c r="F1109" s="5" t="s">
        <v>211</v>
      </c>
      <c r="G1109" s="10" t="s">
        <v>72</v>
      </c>
      <c r="H1109" s="5" t="s">
        <v>1153</v>
      </c>
    </row>
    <row r="1110" ht="12.75" customHeight="1">
      <c r="A1110" s="5" t="s">
        <v>3917</v>
      </c>
      <c r="B1110" s="10" t="s">
        <v>3918</v>
      </c>
      <c r="C1110" s="5" t="s">
        <v>3920</v>
      </c>
      <c r="D1110" s="5" t="s">
        <v>34</v>
      </c>
      <c r="E1110" s="5" t="s">
        <v>42</v>
      </c>
      <c r="F1110" s="5" t="s">
        <v>65</v>
      </c>
    </row>
    <row r="1111" ht="12.75" customHeight="1">
      <c r="A1111" s="5" t="s">
        <v>3921</v>
      </c>
      <c r="B1111" s="10" t="s">
        <v>3922</v>
      </c>
      <c r="C1111" s="5" t="s">
        <v>3923</v>
      </c>
      <c r="D1111" s="5" t="s">
        <v>38</v>
      </c>
      <c r="E1111" s="5" t="s">
        <v>42</v>
      </c>
      <c r="F1111" s="5" t="s">
        <v>423</v>
      </c>
    </row>
    <row r="1112" ht="12.75" customHeight="1">
      <c r="A1112" s="5" t="s">
        <v>3924</v>
      </c>
      <c r="B1112" s="5" t="s">
        <v>3925</v>
      </c>
      <c r="C1112" s="5" t="s">
        <v>3926</v>
      </c>
      <c r="D1112" s="5" t="s">
        <v>46</v>
      </c>
      <c r="E1112" s="5" t="s">
        <v>42</v>
      </c>
      <c r="F1112" s="5" t="s">
        <v>157</v>
      </c>
      <c r="H1112" s="5" t="s">
        <v>3927</v>
      </c>
    </row>
    <row r="1113" ht="12.75" customHeight="1">
      <c r="A1113" s="5" t="s">
        <v>3928</v>
      </c>
      <c r="B1113" s="10" t="s">
        <v>3929</v>
      </c>
      <c r="D1113" s="5" t="s">
        <v>46</v>
      </c>
      <c r="E1113" s="5" t="s">
        <v>42</v>
      </c>
      <c r="F1113" s="5" t="s">
        <v>157</v>
      </c>
      <c r="G1113" s="10" t="s">
        <v>72</v>
      </c>
    </row>
    <row r="1114" ht="12.75" customHeight="1">
      <c r="A1114" s="5" t="s">
        <v>3932</v>
      </c>
      <c r="B1114" s="10" t="s">
        <v>3933</v>
      </c>
      <c r="D1114" s="5" t="s">
        <v>46</v>
      </c>
      <c r="E1114" s="5" t="s">
        <v>42</v>
      </c>
      <c r="F1114" s="5" t="s">
        <v>157</v>
      </c>
      <c r="G1114" s="10" t="s">
        <v>72</v>
      </c>
    </row>
    <row r="1115" ht="12.75" customHeight="1">
      <c r="A1115" s="5" t="s">
        <v>3934</v>
      </c>
      <c r="B1115" s="5" t="s">
        <v>3935</v>
      </c>
      <c r="C1115" s="5" t="s">
        <v>3936</v>
      </c>
      <c r="D1115" s="5" t="s">
        <v>124</v>
      </c>
      <c r="E1115" s="5" t="s">
        <v>35</v>
      </c>
      <c r="F1115" s="5" t="s">
        <v>763</v>
      </c>
    </row>
    <row r="1116" ht="12.75" customHeight="1">
      <c r="A1116" s="5" t="s">
        <v>3937</v>
      </c>
      <c r="B1116" s="5" t="s">
        <v>3938</v>
      </c>
      <c r="C1116" s="5" t="s">
        <v>3939</v>
      </c>
      <c r="D1116" s="5" t="s">
        <v>34</v>
      </c>
      <c r="E1116" s="5" t="s">
        <v>42</v>
      </c>
      <c r="F1116" s="5" t="s">
        <v>162</v>
      </c>
    </row>
    <row r="1117" ht="12.75" customHeight="1">
      <c r="A1117" s="5" t="s">
        <v>3940</v>
      </c>
      <c r="B1117" s="5" t="s">
        <v>3941</v>
      </c>
      <c r="C1117" s="5" t="s">
        <v>3942</v>
      </c>
      <c r="D1117" s="5" t="s">
        <v>34</v>
      </c>
      <c r="E1117" s="5" t="s">
        <v>42</v>
      </c>
      <c r="F1117" s="5" t="s">
        <v>575</v>
      </c>
    </row>
    <row r="1118" ht="12.75" customHeight="1">
      <c r="A1118" s="5" t="s">
        <v>3944</v>
      </c>
      <c r="B1118" s="5" t="s">
        <v>3945</v>
      </c>
      <c r="C1118" s="5" t="s">
        <v>3946</v>
      </c>
      <c r="D1118" s="5" t="s">
        <v>34</v>
      </c>
      <c r="E1118" s="5" t="s">
        <v>35</v>
      </c>
      <c r="F1118" s="5" t="s">
        <v>710</v>
      </c>
    </row>
    <row r="1119" ht="12.75" customHeight="1">
      <c r="A1119" s="5" t="s">
        <v>3947</v>
      </c>
      <c r="B1119" s="5" t="s">
        <v>3948</v>
      </c>
      <c r="C1119" s="5" t="s">
        <v>3949</v>
      </c>
      <c r="D1119" s="5" t="s">
        <v>34</v>
      </c>
      <c r="E1119" s="5" t="s">
        <v>35</v>
      </c>
      <c r="F1119" s="5" t="s">
        <v>868</v>
      </c>
    </row>
    <row r="1120" ht="12.75" customHeight="1">
      <c r="A1120" s="5" t="s">
        <v>3951</v>
      </c>
      <c r="B1120" s="5" t="s">
        <v>3952</v>
      </c>
      <c r="C1120" s="5" t="s">
        <v>3953</v>
      </c>
      <c r="D1120" s="5" t="s">
        <v>34</v>
      </c>
      <c r="E1120" s="5" t="s">
        <v>35</v>
      </c>
      <c r="F1120" s="5" t="s">
        <v>36</v>
      </c>
    </row>
    <row r="1121" ht="12.75" customHeight="1">
      <c r="A1121" s="5" t="s">
        <v>3954</v>
      </c>
      <c r="B1121" s="5" t="s">
        <v>3955</v>
      </c>
      <c r="C1121" s="5" t="s">
        <v>3956</v>
      </c>
      <c r="D1121" s="5" t="s">
        <v>34</v>
      </c>
      <c r="E1121" s="5" t="s">
        <v>35</v>
      </c>
      <c r="F1121" s="5" t="s">
        <v>616</v>
      </c>
    </row>
    <row r="1122" ht="12.75" customHeight="1">
      <c r="A1122" s="5" t="s">
        <v>3957</v>
      </c>
      <c r="B1122" s="5" t="s">
        <v>3958</v>
      </c>
      <c r="C1122" s="5" t="s">
        <v>3959</v>
      </c>
      <c r="D1122" s="5" t="s">
        <v>34</v>
      </c>
      <c r="E1122" s="5" t="s">
        <v>42</v>
      </c>
      <c r="F1122" s="5" t="s">
        <v>113</v>
      </c>
    </row>
    <row r="1123" ht="12.75" customHeight="1">
      <c r="A1123" s="5" t="s">
        <v>3960</v>
      </c>
      <c r="B1123" s="5" t="s">
        <v>3961</v>
      </c>
      <c r="C1123" s="5" t="s">
        <v>3963</v>
      </c>
      <c r="D1123" s="5" t="s">
        <v>34</v>
      </c>
      <c r="E1123" s="5" t="s">
        <v>42</v>
      </c>
      <c r="F1123" s="5" t="s">
        <v>672</v>
      </c>
    </row>
    <row r="1124" ht="12.75" customHeight="1">
      <c r="A1124" s="5" t="s">
        <v>3965</v>
      </c>
      <c r="B1124" s="5" t="s">
        <v>3966</v>
      </c>
      <c r="C1124" s="5" t="s">
        <v>3967</v>
      </c>
      <c r="D1124" s="5" t="s">
        <v>38</v>
      </c>
      <c r="E1124" s="5" t="s">
        <v>42</v>
      </c>
      <c r="F1124" s="5" t="s">
        <v>83</v>
      </c>
    </row>
    <row r="1125" ht="12.75" customHeight="1">
      <c r="A1125" s="5" t="s">
        <v>3968</v>
      </c>
      <c r="B1125" s="5" t="s">
        <v>3969</v>
      </c>
      <c r="C1125" s="5" t="s">
        <v>3970</v>
      </c>
      <c r="D1125" s="5" t="s">
        <v>34</v>
      </c>
      <c r="E1125" s="5" t="s">
        <v>42</v>
      </c>
      <c r="F1125" s="5" t="s">
        <v>657</v>
      </c>
    </row>
    <row r="1126" ht="12.75" customHeight="1">
      <c r="A1126" s="5" t="s">
        <v>3971</v>
      </c>
      <c r="B1126" s="5" t="s">
        <v>3972</v>
      </c>
      <c r="C1126" s="5" t="s">
        <v>3973</v>
      </c>
      <c r="D1126" s="5" t="s">
        <v>34</v>
      </c>
      <c r="E1126" s="5" t="s">
        <v>35</v>
      </c>
      <c r="F1126" s="5" t="s">
        <v>868</v>
      </c>
    </row>
    <row r="1127" ht="12.75" customHeight="1">
      <c r="A1127" s="5" t="s">
        <v>3974</v>
      </c>
      <c r="B1127" s="10" t="s">
        <v>3976</v>
      </c>
      <c r="C1127" s="5" t="s">
        <v>3977</v>
      </c>
      <c r="D1127" s="5" t="s">
        <v>30</v>
      </c>
      <c r="E1127" s="5" t="s">
        <v>42</v>
      </c>
      <c r="F1127" s="5" t="s">
        <v>2218</v>
      </c>
    </row>
    <row r="1128" ht="12.75" customHeight="1">
      <c r="A1128" s="5" t="s">
        <v>3979</v>
      </c>
      <c r="B1128" s="10" t="s">
        <v>3980</v>
      </c>
      <c r="D1128" s="5" t="s">
        <v>30</v>
      </c>
      <c r="E1128" s="5" t="s">
        <v>35</v>
      </c>
      <c r="F1128" s="5" t="s">
        <v>2401</v>
      </c>
      <c r="H1128" s="5" t="s">
        <v>2866</v>
      </c>
      <c r="I1128" s="10" t="s">
        <v>72</v>
      </c>
    </row>
    <row r="1129" ht="12.75" customHeight="1">
      <c r="A1129" s="5" t="s">
        <v>3747</v>
      </c>
      <c r="B1129" s="10" t="s">
        <v>3981</v>
      </c>
      <c r="D1129" s="5" t="s">
        <v>30</v>
      </c>
      <c r="E1129" s="5" t="s">
        <v>42</v>
      </c>
      <c r="F1129" s="5" t="s">
        <v>967</v>
      </c>
      <c r="H1129" s="5" t="s">
        <v>3086</v>
      </c>
      <c r="I1129" s="10" t="s">
        <v>72</v>
      </c>
      <c r="L1129" s="5" t="s">
        <v>3745</v>
      </c>
    </row>
    <row r="1130" ht="12.75" customHeight="1">
      <c r="A1130" s="5" t="s">
        <v>3750</v>
      </c>
      <c r="B1130" s="10" t="s">
        <v>3982</v>
      </c>
      <c r="D1130" s="5" t="s">
        <v>30</v>
      </c>
      <c r="E1130" s="5" t="s">
        <v>35</v>
      </c>
      <c r="F1130" s="5" t="s">
        <v>545</v>
      </c>
      <c r="H1130" s="5" t="s">
        <v>3097</v>
      </c>
      <c r="I1130" s="10" t="s">
        <v>72</v>
      </c>
      <c r="L1130" s="5" t="s">
        <v>3748</v>
      </c>
    </row>
    <row r="1131" ht="12.75" customHeight="1">
      <c r="A1131" s="5" t="s">
        <v>3755</v>
      </c>
      <c r="B1131" s="10" t="s">
        <v>3985</v>
      </c>
      <c r="D1131" s="5" t="s">
        <v>30</v>
      </c>
      <c r="E1131" s="5" t="s">
        <v>42</v>
      </c>
      <c r="F1131" s="5" t="s">
        <v>157</v>
      </c>
      <c r="H1131" s="5" t="s">
        <v>3148</v>
      </c>
      <c r="I1131" s="10" t="s">
        <v>72</v>
      </c>
      <c r="L1131" s="5" t="s">
        <v>3752</v>
      </c>
    </row>
    <row r="1132" ht="12.75" customHeight="1">
      <c r="A1132" s="5" t="s">
        <v>3060</v>
      </c>
      <c r="B1132" s="5" t="s">
        <v>3986</v>
      </c>
      <c r="D1132" s="5" t="s">
        <v>30</v>
      </c>
      <c r="E1132" s="5" t="s">
        <v>35</v>
      </c>
      <c r="F1132" s="5" t="s">
        <v>1886</v>
      </c>
      <c r="H1132" s="5" t="s">
        <v>3056</v>
      </c>
      <c r="I1132" s="10" t="s">
        <v>72</v>
      </c>
    </row>
    <row r="1133" ht="12.75" customHeight="1">
      <c r="A1133" s="5" t="s">
        <v>3068</v>
      </c>
      <c r="B1133" s="5" t="s">
        <v>3987</v>
      </c>
      <c r="D1133" s="5" t="s">
        <v>30</v>
      </c>
      <c r="E1133" s="5" t="s">
        <v>35</v>
      </c>
      <c r="F1133" s="5" t="s">
        <v>3067</v>
      </c>
      <c r="H1133" s="5" t="s">
        <v>3064</v>
      </c>
      <c r="I1133" s="10" t="s">
        <v>72</v>
      </c>
    </row>
    <row r="1134" ht="12.75" customHeight="1">
      <c r="A1134" s="5" t="s">
        <v>3074</v>
      </c>
      <c r="B1134" s="5" t="s">
        <v>3990</v>
      </c>
      <c r="D1134" s="5" t="s">
        <v>30</v>
      </c>
      <c r="E1134" s="5" t="s">
        <v>35</v>
      </c>
      <c r="F1134" s="5" t="s">
        <v>2401</v>
      </c>
      <c r="H1134" s="5" t="s">
        <v>3072</v>
      </c>
      <c r="I1134" s="10" t="s">
        <v>72</v>
      </c>
    </row>
    <row r="1135" ht="12.75" customHeight="1">
      <c r="A1135" s="5" t="s">
        <v>3991</v>
      </c>
      <c r="B1135" s="5" t="s">
        <v>3992</v>
      </c>
      <c r="D1135" s="5" t="s">
        <v>30</v>
      </c>
      <c r="E1135" s="5" t="s">
        <v>42</v>
      </c>
      <c r="F1135" s="5" t="s">
        <v>157</v>
      </c>
      <c r="H1135" s="5" t="s">
        <v>2987</v>
      </c>
      <c r="I1135" s="10" t="s">
        <v>72</v>
      </c>
    </row>
    <row r="1136" ht="12.75" customHeight="1">
      <c r="A1136" s="5" t="s">
        <v>3071</v>
      </c>
      <c r="B1136" s="5" t="s">
        <v>3993</v>
      </c>
      <c r="D1136" s="5" t="s">
        <v>30</v>
      </c>
      <c r="E1136" s="5" t="s">
        <v>42</v>
      </c>
      <c r="F1136" s="5" t="s">
        <v>211</v>
      </c>
      <c r="H1136" s="5" t="s">
        <v>3069</v>
      </c>
      <c r="I1136" s="10" t="s">
        <v>72</v>
      </c>
    </row>
    <row r="1137" ht="12.75" customHeight="1">
      <c r="A1137" s="5" t="s">
        <v>3079</v>
      </c>
      <c r="B1137" s="5" t="s">
        <v>3996</v>
      </c>
      <c r="D1137" s="5" t="s">
        <v>30</v>
      </c>
      <c r="E1137" s="5" t="s">
        <v>42</v>
      </c>
      <c r="F1137" s="5" t="s">
        <v>2771</v>
      </c>
      <c r="H1137" s="5" t="s">
        <v>3076</v>
      </c>
      <c r="I1137" s="10" t="s">
        <v>72</v>
      </c>
    </row>
    <row r="1138" ht="12.75" customHeight="1">
      <c r="A1138" s="5" t="s">
        <v>3082</v>
      </c>
      <c r="B1138" s="5" t="s">
        <v>3997</v>
      </c>
      <c r="D1138" s="5" t="s">
        <v>30</v>
      </c>
      <c r="E1138" s="5" t="s">
        <v>42</v>
      </c>
      <c r="F1138" s="5" t="s">
        <v>2638</v>
      </c>
      <c r="H1138" s="5" t="s">
        <v>3080</v>
      </c>
      <c r="I1138" s="10" t="s">
        <v>72</v>
      </c>
    </row>
    <row r="1139" ht="12.75" customHeight="1">
      <c r="A1139" s="5" t="s">
        <v>3998</v>
      </c>
      <c r="B1139" s="5" t="s">
        <v>3999</v>
      </c>
      <c r="D1139" s="5" t="s">
        <v>30</v>
      </c>
      <c r="E1139" s="5" t="s">
        <v>35</v>
      </c>
      <c r="F1139" s="5" t="s">
        <v>2401</v>
      </c>
      <c r="H1139" s="5" t="s">
        <v>2866</v>
      </c>
      <c r="I1139" s="10" t="s">
        <v>72</v>
      </c>
    </row>
    <row r="1140" ht="12.75" customHeight="1">
      <c r="A1140" s="5" t="s">
        <v>3093</v>
      </c>
      <c r="B1140" s="5" t="s">
        <v>4002</v>
      </c>
      <c r="D1140" s="5" t="s">
        <v>30</v>
      </c>
      <c r="E1140" s="5" t="s">
        <v>35</v>
      </c>
      <c r="F1140" s="5" t="s">
        <v>924</v>
      </c>
      <c r="H1140" s="5" t="s">
        <v>3091</v>
      </c>
      <c r="I1140" s="10" t="s">
        <v>72</v>
      </c>
    </row>
    <row r="1141" ht="12.75" customHeight="1">
      <c r="A1141" s="5" t="s">
        <v>4003</v>
      </c>
      <c r="B1141" s="5" t="s">
        <v>4004</v>
      </c>
      <c r="D1141" s="5" t="s">
        <v>30</v>
      </c>
      <c r="E1141" s="5" t="s">
        <v>35</v>
      </c>
      <c r="F1141" s="5" t="s">
        <v>545</v>
      </c>
      <c r="H1141" s="5" t="s">
        <v>3097</v>
      </c>
      <c r="I1141" s="10" t="s">
        <v>72</v>
      </c>
    </row>
    <row r="1142" ht="12.75" customHeight="1">
      <c r="A1142" s="5" t="s">
        <v>4005</v>
      </c>
      <c r="B1142" s="5" t="s">
        <v>4006</v>
      </c>
      <c r="D1142" s="5" t="s">
        <v>30</v>
      </c>
      <c r="E1142" s="5" t="s">
        <v>42</v>
      </c>
      <c r="F1142" s="5" t="s">
        <v>967</v>
      </c>
      <c r="H1142" s="5" t="s">
        <v>3086</v>
      </c>
      <c r="I1142" s="10" t="s">
        <v>72</v>
      </c>
    </row>
    <row r="1143" ht="12.75" customHeight="1">
      <c r="A1143" s="5" t="s">
        <v>3096</v>
      </c>
      <c r="B1143" s="5" t="s">
        <v>4009</v>
      </c>
      <c r="D1143" s="5" t="s">
        <v>30</v>
      </c>
      <c r="E1143" s="5" t="s">
        <v>42</v>
      </c>
      <c r="F1143" s="5" t="s">
        <v>535</v>
      </c>
      <c r="H1143" s="5" t="s">
        <v>3094</v>
      </c>
      <c r="I1143" s="10" t="s">
        <v>72</v>
      </c>
    </row>
    <row r="1144" ht="12.75" customHeight="1">
      <c r="A1144" s="5" t="s">
        <v>3104</v>
      </c>
      <c r="B1144" s="5" t="s">
        <v>4010</v>
      </c>
      <c r="D1144" s="5" t="s">
        <v>30</v>
      </c>
      <c r="E1144" s="5" t="s">
        <v>42</v>
      </c>
      <c r="F1144" s="5" t="s">
        <v>2420</v>
      </c>
      <c r="H1144" s="5" t="s">
        <v>3100</v>
      </c>
      <c r="I1144" s="10" t="s">
        <v>72</v>
      </c>
    </row>
    <row r="1145" ht="12.75" customHeight="1">
      <c r="A1145" s="5" t="s">
        <v>3108</v>
      </c>
      <c r="B1145" s="5" t="s">
        <v>4011</v>
      </c>
      <c r="D1145" s="5" t="s">
        <v>30</v>
      </c>
      <c r="E1145" s="5" t="s">
        <v>42</v>
      </c>
      <c r="F1145" s="5" t="s">
        <v>3107</v>
      </c>
      <c r="H1145" s="5" t="s">
        <v>3105</v>
      </c>
      <c r="I1145" s="10" t="s">
        <v>72</v>
      </c>
    </row>
    <row r="1146" ht="12.75" customHeight="1">
      <c r="A1146" s="5" t="s">
        <v>3112</v>
      </c>
      <c r="B1146" s="5" t="s">
        <v>4014</v>
      </c>
      <c r="D1146" s="5" t="s">
        <v>30</v>
      </c>
      <c r="E1146" s="5" t="s">
        <v>35</v>
      </c>
      <c r="F1146" s="5" t="s">
        <v>1868</v>
      </c>
      <c r="H1146" s="5" t="s">
        <v>3109</v>
      </c>
      <c r="I1146" s="10" t="s">
        <v>72</v>
      </c>
    </row>
    <row r="1147" ht="12.75" customHeight="1">
      <c r="A1147" s="5" t="s">
        <v>3120</v>
      </c>
      <c r="B1147" s="5" t="s">
        <v>4015</v>
      </c>
      <c r="D1147" s="5" t="s">
        <v>30</v>
      </c>
      <c r="E1147" s="5" t="s">
        <v>35</v>
      </c>
      <c r="F1147" s="5" t="s">
        <v>1143</v>
      </c>
      <c r="H1147" s="5" t="s">
        <v>3118</v>
      </c>
      <c r="I1147" s="10" t="s">
        <v>72</v>
      </c>
    </row>
    <row r="1148" ht="12.75" customHeight="1">
      <c r="A1148" s="5" t="s">
        <v>3127</v>
      </c>
      <c r="B1148" s="5" t="s">
        <v>4016</v>
      </c>
      <c r="D1148" s="5" t="s">
        <v>30</v>
      </c>
      <c r="E1148" s="5" t="s">
        <v>35</v>
      </c>
      <c r="F1148" s="5" t="s">
        <v>1875</v>
      </c>
      <c r="H1148" s="5" t="s">
        <v>3124</v>
      </c>
      <c r="I1148" s="10" t="s">
        <v>72</v>
      </c>
    </row>
    <row r="1149" ht="12.75" customHeight="1">
      <c r="A1149" s="5" t="s">
        <v>4017</v>
      </c>
      <c r="B1149" s="5" t="s">
        <v>4018</v>
      </c>
      <c r="D1149" s="5" t="s">
        <v>30</v>
      </c>
      <c r="E1149" s="5" t="s">
        <v>42</v>
      </c>
      <c r="F1149" s="5" t="s">
        <v>2869</v>
      </c>
      <c r="H1149" s="5" t="s">
        <v>2871</v>
      </c>
      <c r="I1149" s="10" t="s">
        <v>72</v>
      </c>
    </row>
    <row r="1150" ht="12.75" customHeight="1">
      <c r="A1150" s="5" t="s">
        <v>3123</v>
      </c>
      <c r="B1150" s="5" t="s">
        <v>4019</v>
      </c>
      <c r="D1150" s="5" t="s">
        <v>30</v>
      </c>
      <c r="E1150" s="5" t="s">
        <v>42</v>
      </c>
      <c r="F1150" s="5" t="s">
        <v>2196</v>
      </c>
      <c r="H1150" s="5" t="s">
        <v>3121</v>
      </c>
      <c r="I1150" s="10" t="s">
        <v>72</v>
      </c>
    </row>
    <row r="1151" ht="12.75" customHeight="1">
      <c r="A1151" s="5" t="s">
        <v>3131</v>
      </c>
      <c r="B1151" s="5" t="s">
        <v>4020</v>
      </c>
      <c r="D1151" s="5" t="s">
        <v>30</v>
      </c>
      <c r="E1151" s="5" t="s">
        <v>42</v>
      </c>
      <c r="F1151" s="5" t="s">
        <v>1223</v>
      </c>
      <c r="H1151" s="5" t="s">
        <v>3129</v>
      </c>
      <c r="I1151" s="10" t="s">
        <v>72</v>
      </c>
    </row>
    <row r="1152" ht="12.75" customHeight="1">
      <c r="A1152" s="5" t="s">
        <v>3134</v>
      </c>
      <c r="B1152" s="5" t="s">
        <v>4023</v>
      </c>
      <c r="D1152" s="5" t="s">
        <v>30</v>
      </c>
      <c r="E1152" s="5" t="s">
        <v>42</v>
      </c>
      <c r="F1152" s="5" t="s">
        <v>974</v>
      </c>
      <c r="H1152" s="5" t="s">
        <v>3132</v>
      </c>
      <c r="I1152" s="10" t="s">
        <v>72</v>
      </c>
    </row>
    <row r="1153" ht="12.75" customHeight="1">
      <c r="A1153" s="5" t="s">
        <v>4024</v>
      </c>
      <c r="B1153" s="5" t="s">
        <v>4025</v>
      </c>
      <c r="C1153" s="5" t="s">
        <v>4026</v>
      </c>
      <c r="D1153" s="5" t="s">
        <v>30</v>
      </c>
      <c r="E1153" s="5" t="s">
        <v>42</v>
      </c>
      <c r="F1153" s="5" t="s">
        <v>2196</v>
      </c>
    </row>
    <row r="1154" ht="12.75" customHeight="1">
      <c r="A1154" s="5" t="s">
        <v>4027</v>
      </c>
      <c r="B1154" s="5" t="s">
        <v>4028</v>
      </c>
      <c r="C1154" s="5" t="s">
        <v>4029</v>
      </c>
      <c r="D1154" s="5" t="s">
        <v>30</v>
      </c>
      <c r="E1154" s="5" t="s">
        <v>35</v>
      </c>
      <c r="F1154" s="5" t="s">
        <v>2390</v>
      </c>
    </row>
    <row r="1155" ht="12.75" customHeight="1">
      <c r="A1155" s="5" t="s">
        <v>4031</v>
      </c>
      <c r="B1155" s="5" t="s">
        <v>4032</v>
      </c>
      <c r="C1155" s="5" t="s">
        <v>4034</v>
      </c>
      <c r="D1155" s="5" t="s">
        <v>34</v>
      </c>
      <c r="E1155" s="5" t="s">
        <v>42</v>
      </c>
      <c r="F1155" s="5" t="s">
        <v>3665</v>
      </c>
    </row>
    <row r="1156" ht="12.75" customHeight="1">
      <c r="A1156" s="5" t="s">
        <v>4035</v>
      </c>
      <c r="B1156" s="10" t="s">
        <v>4036</v>
      </c>
      <c r="C1156" s="5" t="s">
        <v>595</v>
      </c>
      <c r="D1156" s="5" t="s">
        <v>34</v>
      </c>
      <c r="E1156" s="5" t="s">
        <v>42</v>
      </c>
      <c r="F1156" s="5" t="s">
        <v>238</v>
      </c>
    </row>
    <row r="1157" ht="12.75" customHeight="1">
      <c r="A1157" s="5" t="s">
        <v>4037</v>
      </c>
      <c r="B1157" s="5" t="s">
        <v>4038</v>
      </c>
      <c r="C1157" s="5" t="s">
        <v>4039</v>
      </c>
      <c r="D1157" s="5" t="s">
        <v>34</v>
      </c>
      <c r="E1157" s="5" t="s">
        <v>35</v>
      </c>
      <c r="F1157" s="5" t="s">
        <v>913</v>
      </c>
    </row>
    <row r="1158" ht="12.75" customHeight="1">
      <c r="A1158" s="5" t="s">
        <v>4040</v>
      </c>
      <c r="B1158" s="5" t="s">
        <v>4042</v>
      </c>
      <c r="C1158" s="5" t="s">
        <v>4043</v>
      </c>
      <c r="D1158" s="5" t="s">
        <v>38</v>
      </c>
      <c r="E1158" s="5" t="s">
        <v>42</v>
      </c>
      <c r="F1158" s="5" t="s">
        <v>756</v>
      </c>
    </row>
    <row r="1159" ht="12.75" customHeight="1">
      <c r="A1159" s="5" t="s">
        <v>4045</v>
      </c>
      <c r="B1159" s="10" t="s">
        <v>4046</v>
      </c>
      <c r="C1159" s="5" t="s">
        <v>4047</v>
      </c>
      <c r="D1159" s="5" t="s">
        <v>34</v>
      </c>
      <c r="E1159" s="5" t="s">
        <v>42</v>
      </c>
      <c r="F1159" s="5" t="s">
        <v>113</v>
      </c>
      <c r="H1159" s="5" t="s">
        <v>4048</v>
      </c>
    </row>
    <row r="1160" ht="12.75" customHeight="1">
      <c r="A1160" s="5" t="s">
        <v>4049</v>
      </c>
      <c r="B1160" s="5" t="s">
        <v>4050</v>
      </c>
      <c r="C1160" s="5" t="s">
        <v>4051</v>
      </c>
      <c r="D1160" s="5" t="s">
        <v>80</v>
      </c>
      <c r="E1160" s="5" t="s">
        <v>42</v>
      </c>
      <c r="F1160" s="5" t="s">
        <v>2638</v>
      </c>
      <c r="G1160" s="10" t="s">
        <v>72</v>
      </c>
      <c r="H1160" s="5" t="s">
        <v>1166</v>
      </c>
    </row>
    <row r="1161" ht="12.75" customHeight="1">
      <c r="A1161" s="5" t="s">
        <v>4052</v>
      </c>
      <c r="B1161" s="5" t="s">
        <v>4053</v>
      </c>
      <c r="C1161" s="5" t="s">
        <v>4054</v>
      </c>
      <c r="D1161" s="5" t="s">
        <v>34</v>
      </c>
      <c r="E1161" s="5" t="s">
        <v>42</v>
      </c>
      <c r="F1161" s="5" t="s">
        <v>572</v>
      </c>
      <c r="G1161" s="10" t="s">
        <v>72</v>
      </c>
    </row>
    <row r="1162" ht="12.75" customHeight="1">
      <c r="A1162" s="5" t="s">
        <v>4057</v>
      </c>
      <c r="B1162" s="5" t="s">
        <v>4058</v>
      </c>
      <c r="C1162" s="5" t="s">
        <v>3629</v>
      </c>
      <c r="D1162" s="5" t="s">
        <v>34</v>
      </c>
      <c r="E1162" s="5" t="s">
        <v>42</v>
      </c>
      <c r="F1162" s="5" t="s">
        <v>65</v>
      </c>
      <c r="H1162" s="5" t="s">
        <v>4059</v>
      </c>
    </row>
    <row r="1163" ht="12.75" customHeight="1">
      <c r="A1163" s="5" t="s">
        <v>4060</v>
      </c>
      <c r="B1163" s="5" t="s">
        <v>4061</v>
      </c>
      <c r="C1163" s="5" t="s">
        <v>3629</v>
      </c>
      <c r="D1163" s="5" t="s">
        <v>34</v>
      </c>
      <c r="E1163" s="5" t="s">
        <v>42</v>
      </c>
      <c r="F1163" s="5" t="s">
        <v>1991</v>
      </c>
      <c r="H1163" s="5" t="s">
        <v>3630</v>
      </c>
    </row>
    <row r="1164" ht="12.75" customHeight="1">
      <c r="A1164" s="5" t="s">
        <v>4062</v>
      </c>
      <c r="B1164" s="5" t="s">
        <v>4063</v>
      </c>
      <c r="C1164" s="5" t="s">
        <v>3629</v>
      </c>
      <c r="D1164" s="5" t="s">
        <v>34</v>
      </c>
      <c r="E1164" s="5" t="s">
        <v>42</v>
      </c>
      <c r="F1164" s="5" t="s">
        <v>637</v>
      </c>
      <c r="H1164" s="5" t="s">
        <v>4064</v>
      </c>
    </row>
    <row r="1165" ht="12.75" customHeight="1">
      <c r="A1165" s="5" t="s">
        <v>4066</v>
      </c>
      <c r="B1165" s="10" t="s">
        <v>4067</v>
      </c>
      <c r="C1165" s="5" t="s">
        <v>2968</v>
      </c>
      <c r="D1165" s="5" t="s">
        <v>30</v>
      </c>
      <c r="E1165" s="5" t="s">
        <v>35</v>
      </c>
      <c r="F1165" s="5" t="s">
        <v>1896</v>
      </c>
      <c r="G1165" s="10" t="s">
        <v>72</v>
      </c>
      <c r="H1165" s="5" t="s">
        <v>2969</v>
      </c>
    </row>
    <row r="1166" ht="12.75" customHeight="1">
      <c r="A1166" s="5" t="s">
        <v>4069</v>
      </c>
      <c r="B1166" s="10" t="s">
        <v>4070</v>
      </c>
      <c r="D1166" s="5" t="s">
        <v>30</v>
      </c>
      <c r="E1166" s="5" t="s">
        <v>42</v>
      </c>
      <c r="F1166" s="5" t="s">
        <v>211</v>
      </c>
      <c r="G1166" s="10" t="s">
        <v>72</v>
      </c>
      <c r="H1166" s="5" t="s">
        <v>2977</v>
      </c>
    </row>
    <row r="1167" ht="12.75" customHeight="1">
      <c r="A1167" s="5" t="s">
        <v>4071</v>
      </c>
      <c r="B1167" s="5" t="s">
        <v>4072</v>
      </c>
      <c r="C1167" s="5" t="s">
        <v>4071</v>
      </c>
      <c r="D1167" s="5" t="s">
        <v>50</v>
      </c>
      <c r="E1167" s="5" t="s">
        <v>35</v>
      </c>
      <c r="F1167" s="5" t="s">
        <v>619</v>
      </c>
    </row>
    <row r="1168" ht="12.75" customHeight="1">
      <c r="A1168" s="5" t="s">
        <v>4074</v>
      </c>
      <c r="B1168" s="5" t="s">
        <v>4075</v>
      </c>
      <c r="C1168" s="5" t="s">
        <v>4074</v>
      </c>
      <c r="D1168" s="5" t="s">
        <v>38</v>
      </c>
      <c r="E1168" s="5" t="s">
        <v>42</v>
      </c>
      <c r="F1168" s="5" t="s">
        <v>572</v>
      </c>
      <c r="G1168" s="10" t="s">
        <v>72</v>
      </c>
    </row>
    <row r="1169" ht="12.75" customHeight="1">
      <c r="A1169" s="5" t="s">
        <v>4077</v>
      </c>
      <c r="B1169" s="10" t="s">
        <v>4078</v>
      </c>
      <c r="C1169" s="5" t="s">
        <v>4077</v>
      </c>
      <c r="D1169" s="5" t="s">
        <v>124</v>
      </c>
      <c r="E1169" s="5" t="s">
        <v>35</v>
      </c>
      <c r="F1169" s="5" t="s">
        <v>763</v>
      </c>
    </row>
    <row r="1170" ht="12.75" customHeight="1">
      <c r="A1170" s="5" t="s">
        <v>4079</v>
      </c>
      <c r="B1170" s="5" t="s">
        <v>4080</v>
      </c>
      <c r="C1170" s="5" t="s">
        <v>4079</v>
      </c>
      <c r="D1170" s="5" t="s">
        <v>34</v>
      </c>
      <c r="E1170" s="5" t="s">
        <v>42</v>
      </c>
      <c r="F1170" s="5" t="s">
        <v>572</v>
      </c>
      <c r="G1170" s="10" t="s">
        <v>72</v>
      </c>
    </row>
    <row r="1171" ht="12.75" customHeight="1">
      <c r="A1171" s="5" t="s">
        <v>4081</v>
      </c>
      <c r="B1171" s="10" t="s">
        <v>4082</v>
      </c>
      <c r="C1171" s="5" t="s">
        <v>4083</v>
      </c>
      <c r="D1171" s="5" t="s">
        <v>30</v>
      </c>
      <c r="E1171" s="5" t="s">
        <v>42</v>
      </c>
      <c r="F1171" s="5" t="s">
        <v>211</v>
      </c>
    </row>
    <row r="1172" ht="12.75" customHeight="1">
      <c r="A1172" s="5" t="s">
        <v>4086</v>
      </c>
      <c r="B1172" s="5" t="s">
        <v>4087</v>
      </c>
      <c r="C1172" s="5" t="s">
        <v>4088</v>
      </c>
      <c r="D1172" s="5" t="s">
        <v>30</v>
      </c>
      <c r="E1172" s="5" t="s">
        <v>35</v>
      </c>
      <c r="F1172" s="5" t="s">
        <v>263</v>
      </c>
    </row>
    <row r="1173" ht="12.75" customHeight="1">
      <c r="A1173" s="5" t="s">
        <v>4089</v>
      </c>
      <c r="B1173" s="10" t="s">
        <v>4090</v>
      </c>
      <c r="C1173" s="5" t="s">
        <v>4088</v>
      </c>
      <c r="D1173" s="5" t="s">
        <v>30</v>
      </c>
      <c r="E1173" s="5" t="s">
        <v>35</v>
      </c>
      <c r="F1173" s="5" t="s">
        <v>263</v>
      </c>
    </row>
    <row r="1174" ht="12.75" customHeight="1">
      <c r="A1174" s="5" t="s">
        <v>4091</v>
      </c>
      <c r="B1174" s="5" t="s">
        <v>4092</v>
      </c>
      <c r="C1174" s="5" t="s">
        <v>4091</v>
      </c>
      <c r="D1174" s="5" t="s">
        <v>34</v>
      </c>
      <c r="E1174" s="5" t="s">
        <v>42</v>
      </c>
      <c r="F1174" s="5" t="s">
        <v>445</v>
      </c>
      <c r="L1174" s="5" t="s">
        <v>4094</v>
      </c>
    </row>
    <row r="1175" ht="12.75" customHeight="1">
      <c r="A1175" s="5" t="s">
        <v>4094</v>
      </c>
      <c r="B1175" s="5" t="s">
        <v>4096</v>
      </c>
      <c r="C1175" s="5" t="s">
        <v>4091</v>
      </c>
      <c r="D1175" s="5" t="s">
        <v>34</v>
      </c>
      <c r="E1175" s="5" t="s">
        <v>42</v>
      </c>
      <c r="F1175" s="5" t="s">
        <v>445</v>
      </c>
      <c r="H1175" s="5" t="s">
        <v>4091</v>
      </c>
      <c r="I1175" s="10" t="s">
        <v>72</v>
      </c>
    </row>
    <row r="1176" ht="12.75" customHeight="1">
      <c r="A1176" s="5" t="s">
        <v>4097</v>
      </c>
      <c r="B1176" s="5" t="s">
        <v>4098</v>
      </c>
      <c r="C1176" s="5" t="s">
        <v>4099</v>
      </c>
      <c r="D1176" s="5" t="s">
        <v>30</v>
      </c>
      <c r="E1176" s="5" t="s">
        <v>42</v>
      </c>
      <c r="F1176" s="5" t="s">
        <v>2638</v>
      </c>
      <c r="G1176" s="10" t="s">
        <v>72</v>
      </c>
    </row>
    <row r="1177" ht="12.75" customHeight="1">
      <c r="A1177" s="5" t="s">
        <v>4100</v>
      </c>
      <c r="B1177" s="10" t="s">
        <v>4101</v>
      </c>
      <c r="C1177" s="5" t="s">
        <v>4100</v>
      </c>
      <c r="D1177" s="5" t="s">
        <v>34</v>
      </c>
      <c r="E1177" s="5" t="s">
        <v>35</v>
      </c>
      <c r="F1177" s="5" t="s">
        <v>90</v>
      </c>
    </row>
    <row r="1178" ht="12.75" customHeight="1">
      <c r="A1178" s="5" t="s">
        <v>4104</v>
      </c>
      <c r="B1178" s="5" t="s">
        <v>4105</v>
      </c>
      <c r="C1178" s="5" t="s">
        <v>4106</v>
      </c>
      <c r="D1178" s="5" t="s">
        <v>55</v>
      </c>
      <c r="E1178" s="5" t="s">
        <v>42</v>
      </c>
      <c r="F1178" s="5" t="s">
        <v>4107</v>
      </c>
    </row>
    <row r="1179" ht="12.75" customHeight="1">
      <c r="A1179" s="5" t="s">
        <v>4108</v>
      </c>
      <c r="B1179" s="5" t="s">
        <v>4109</v>
      </c>
      <c r="C1179" s="5" t="s">
        <v>4108</v>
      </c>
      <c r="D1179" s="5" t="s">
        <v>22</v>
      </c>
      <c r="E1179" s="5" t="s">
        <v>42</v>
      </c>
      <c r="F1179" s="5" t="s">
        <v>732</v>
      </c>
      <c r="G1179" s="10" t="s">
        <v>72</v>
      </c>
    </row>
    <row r="1180" ht="12.75" customHeight="1">
      <c r="A1180" s="5" t="s">
        <v>4110</v>
      </c>
      <c r="B1180" s="10" t="s">
        <v>4111</v>
      </c>
      <c r="C1180" s="5" t="s">
        <v>4110</v>
      </c>
      <c r="D1180" s="5" t="s">
        <v>22</v>
      </c>
      <c r="E1180" s="5" t="s">
        <v>42</v>
      </c>
      <c r="F1180" s="5" t="s">
        <v>657</v>
      </c>
      <c r="G1180" s="10" t="s">
        <v>72</v>
      </c>
    </row>
    <row r="1181" ht="12.75" customHeight="1">
      <c r="A1181" s="5" t="s">
        <v>4113</v>
      </c>
      <c r="B1181" s="5" t="s">
        <v>4115</v>
      </c>
      <c r="C1181" s="5" t="s">
        <v>4113</v>
      </c>
      <c r="D1181" s="5" t="s">
        <v>67</v>
      </c>
      <c r="E1181" s="5" t="s">
        <v>35</v>
      </c>
      <c r="F1181" s="5" t="s">
        <v>624</v>
      </c>
    </row>
    <row r="1182" ht="12.75" customHeight="1">
      <c r="A1182" s="5" t="s">
        <v>4116</v>
      </c>
      <c r="B1182" s="5" t="s">
        <v>4117</v>
      </c>
      <c r="C1182" s="5" t="s">
        <v>4118</v>
      </c>
      <c r="D1182" s="5" t="s">
        <v>80</v>
      </c>
      <c r="E1182" s="5" t="s">
        <v>42</v>
      </c>
      <c r="F1182" s="5" t="s">
        <v>2420</v>
      </c>
      <c r="H1182" s="5" t="s">
        <v>4119</v>
      </c>
    </row>
    <row r="1183" ht="12.75" customHeight="1">
      <c r="A1183" s="5" t="s">
        <v>4120</v>
      </c>
      <c r="B1183" s="5" t="s">
        <v>4121</v>
      </c>
      <c r="C1183" s="5" t="s">
        <v>4122</v>
      </c>
      <c r="D1183" s="5" t="s">
        <v>55</v>
      </c>
      <c r="E1183" s="5" t="s">
        <v>42</v>
      </c>
      <c r="F1183" s="5" t="s">
        <v>4124</v>
      </c>
      <c r="G1183" s="10" t="s">
        <v>72</v>
      </c>
      <c r="H1183" s="5" t="s">
        <v>4125</v>
      </c>
    </row>
    <row r="1184" ht="12.75" customHeight="1">
      <c r="A1184" s="5" t="s">
        <v>4127</v>
      </c>
      <c r="B1184" s="5" t="s">
        <v>4128</v>
      </c>
      <c r="C1184" s="5" t="s">
        <v>4129</v>
      </c>
      <c r="D1184" s="5" t="s">
        <v>55</v>
      </c>
      <c r="E1184" s="5" t="s">
        <v>42</v>
      </c>
      <c r="F1184" s="5" t="s">
        <v>1947</v>
      </c>
      <c r="H1184" s="5" t="s">
        <v>1292</v>
      </c>
    </row>
    <row r="1185" ht="12.75" customHeight="1">
      <c r="A1185" s="5" t="s">
        <v>4130</v>
      </c>
      <c r="B1185" s="5" t="s">
        <v>4131</v>
      </c>
      <c r="C1185" s="5" t="s">
        <v>4132</v>
      </c>
      <c r="D1185" s="5" t="s">
        <v>50</v>
      </c>
      <c r="E1185" s="5" t="s">
        <v>42</v>
      </c>
      <c r="F1185" s="5" t="s">
        <v>65</v>
      </c>
      <c r="G1185" s="10" t="s">
        <v>72</v>
      </c>
    </row>
    <row r="1186" ht="12.75" customHeight="1">
      <c r="A1186" s="5" t="s">
        <v>4133</v>
      </c>
      <c r="B1186" s="5" t="s">
        <v>4134</v>
      </c>
      <c r="C1186" s="5" t="s">
        <v>4135</v>
      </c>
      <c r="D1186" s="5" t="s">
        <v>74</v>
      </c>
      <c r="E1186" s="5" t="s">
        <v>35</v>
      </c>
      <c r="F1186" s="5" t="s">
        <v>713</v>
      </c>
      <c r="G1186" s="10" t="s">
        <v>72</v>
      </c>
    </row>
    <row r="1187" ht="12.75" customHeight="1">
      <c r="A1187" s="5" t="s">
        <v>4136</v>
      </c>
      <c r="B1187" s="5" t="s">
        <v>4138</v>
      </c>
      <c r="C1187" s="5" t="s">
        <v>4139</v>
      </c>
      <c r="D1187" s="5" t="s">
        <v>46</v>
      </c>
      <c r="E1187" s="5" t="s">
        <v>35</v>
      </c>
      <c r="F1187" s="5" t="s">
        <v>2390</v>
      </c>
      <c r="H1187" s="5" t="s">
        <v>4141</v>
      </c>
    </row>
    <row r="1188" ht="12.75" customHeight="1">
      <c r="A1188" s="5" t="s">
        <v>4142</v>
      </c>
      <c r="B1188" s="5" t="s">
        <v>4143</v>
      </c>
      <c r="C1188" s="5" t="s">
        <v>4144</v>
      </c>
      <c r="D1188" s="5" t="s">
        <v>67</v>
      </c>
      <c r="E1188" s="5" t="s">
        <v>35</v>
      </c>
      <c r="F1188" s="5" t="s">
        <v>4145</v>
      </c>
      <c r="H1188" s="5" t="s">
        <v>1297</v>
      </c>
    </row>
    <row r="1189" ht="12.75" customHeight="1">
      <c r="A1189" s="5" t="s">
        <v>4146</v>
      </c>
      <c r="B1189" s="5" t="s">
        <v>4147</v>
      </c>
      <c r="C1189" s="5" t="s">
        <v>4148</v>
      </c>
      <c r="D1189" s="5" t="s">
        <v>30</v>
      </c>
      <c r="E1189" s="5" t="s">
        <v>35</v>
      </c>
      <c r="F1189" s="5" t="s">
        <v>1896</v>
      </c>
    </row>
    <row r="1190" ht="12.75" customHeight="1">
      <c r="A1190" s="5" t="s">
        <v>4149</v>
      </c>
      <c r="B1190" s="5" t="s">
        <v>4151</v>
      </c>
      <c r="C1190" s="5" t="s">
        <v>4152</v>
      </c>
      <c r="D1190" s="5" t="s">
        <v>34</v>
      </c>
      <c r="E1190" s="5" t="s">
        <v>35</v>
      </c>
      <c r="F1190" s="5" t="s">
        <v>77</v>
      </c>
    </row>
    <row r="1191" ht="12.75" customHeight="1">
      <c r="A1191" s="5" t="s">
        <v>4154</v>
      </c>
      <c r="B1191" s="5" t="s">
        <v>4155</v>
      </c>
      <c r="C1191" s="5" t="s">
        <v>4156</v>
      </c>
      <c r="D1191" s="5" t="s">
        <v>34</v>
      </c>
      <c r="E1191" s="5" t="s">
        <v>35</v>
      </c>
      <c r="F1191" s="5" t="s">
        <v>278</v>
      </c>
    </row>
    <row r="1192" ht="12.75" customHeight="1">
      <c r="A1192" s="5" t="s">
        <v>4157</v>
      </c>
      <c r="B1192" s="5" t="s">
        <v>4158</v>
      </c>
      <c r="C1192" s="5" t="s">
        <v>4159</v>
      </c>
      <c r="D1192" s="5" t="s">
        <v>74</v>
      </c>
      <c r="E1192" s="5" t="s">
        <v>35</v>
      </c>
      <c r="F1192" s="5" t="s">
        <v>267</v>
      </c>
      <c r="G1192" s="10" t="s">
        <v>72</v>
      </c>
      <c r="H1192" s="5" t="s">
        <v>4160</v>
      </c>
    </row>
    <row r="1193" ht="12.75" customHeight="1">
      <c r="A1193" s="5" t="s">
        <v>4161</v>
      </c>
      <c r="B1193" s="5" t="s">
        <v>4162</v>
      </c>
      <c r="C1193" s="5" t="s">
        <v>4164</v>
      </c>
      <c r="D1193" s="5" t="s">
        <v>34</v>
      </c>
      <c r="E1193" s="5" t="s">
        <v>42</v>
      </c>
      <c r="F1193" s="5" t="s">
        <v>672</v>
      </c>
    </row>
    <row r="1194" ht="12.75" customHeight="1">
      <c r="A1194" s="5" t="s">
        <v>4166</v>
      </c>
      <c r="B1194" s="5" t="s">
        <v>4167</v>
      </c>
      <c r="C1194" s="5" t="s">
        <v>4168</v>
      </c>
      <c r="D1194" s="5" t="s">
        <v>74</v>
      </c>
      <c r="E1194" s="5" t="s">
        <v>42</v>
      </c>
      <c r="F1194" s="5" t="s">
        <v>445</v>
      </c>
      <c r="G1194" s="10" t="s">
        <v>72</v>
      </c>
      <c r="H1194" s="5" t="s">
        <v>4169</v>
      </c>
    </row>
    <row r="1195" ht="12.75" customHeight="1">
      <c r="A1195" s="5" t="s">
        <v>4170</v>
      </c>
      <c r="B1195" s="5" t="s">
        <v>4171</v>
      </c>
      <c r="C1195" s="5" t="s">
        <v>4172</v>
      </c>
      <c r="D1195" s="5" t="s">
        <v>22</v>
      </c>
      <c r="E1195" s="5" t="s">
        <v>42</v>
      </c>
      <c r="F1195" s="5" t="s">
        <v>610</v>
      </c>
      <c r="H1195" s="5" t="s">
        <v>4173</v>
      </c>
      <c r="I1195" s="10" t="s">
        <v>72</v>
      </c>
    </row>
    <row r="1196" ht="12.75" customHeight="1">
      <c r="A1196" s="5" t="s">
        <v>4175</v>
      </c>
      <c r="B1196" s="5" t="s">
        <v>4176</v>
      </c>
      <c r="D1196" s="5" t="s">
        <v>142</v>
      </c>
      <c r="E1196" s="5" t="s">
        <v>35</v>
      </c>
      <c r="F1196" s="5" t="s">
        <v>172</v>
      </c>
      <c r="G1196" s="10" t="s">
        <v>72</v>
      </c>
      <c r="H1196" s="5" t="s">
        <v>2197</v>
      </c>
    </row>
    <row r="1197" ht="12.75" customHeight="1">
      <c r="A1197" s="5" t="s">
        <v>4178</v>
      </c>
      <c r="B1197" s="5" t="s">
        <v>4179</v>
      </c>
      <c r="D1197" s="5" t="s">
        <v>108</v>
      </c>
      <c r="E1197" s="5" t="s">
        <v>42</v>
      </c>
      <c r="F1197" s="5" t="s">
        <v>572</v>
      </c>
      <c r="G1197" s="10" t="s">
        <v>72</v>
      </c>
      <c r="H1197" s="5" t="s">
        <v>2604</v>
      </c>
    </row>
    <row r="1198" ht="12.75" customHeight="1">
      <c r="A1198" s="5" t="s">
        <v>4180</v>
      </c>
      <c r="B1198" s="5" t="s">
        <v>4181</v>
      </c>
      <c r="C1198" s="5" t="s">
        <v>4182</v>
      </c>
      <c r="D1198" s="5" t="s">
        <v>34</v>
      </c>
      <c r="E1198" s="5" t="s">
        <v>42</v>
      </c>
      <c r="F1198" s="5" t="s">
        <v>54</v>
      </c>
      <c r="H1198" s="5" t="s">
        <v>4183</v>
      </c>
    </row>
    <row r="1199" ht="12.75" customHeight="1">
      <c r="A1199" s="5" t="s">
        <v>1811</v>
      </c>
      <c r="B1199" s="5" t="s">
        <v>4184</v>
      </c>
      <c r="C1199" s="5" t="s">
        <v>4185</v>
      </c>
      <c r="D1199" s="5" t="s">
        <v>22</v>
      </c>
      <c r="E1199" s="5" t="s">
        <v>42</v>
      </c>
      <c r="F1199" s="5" t="s">
        <v>199</v>
      </c>
      <c r="H1199" s="5" t="s">
        <v>1807</v>
      </c>
      <c r="I1199" s="10" t="s">
        <v>72</v>
      </c>
    </row>
    <row r="1200" ht="12.75" customHeight="1">
      <c r="A1200" s="5" t="s">
        <v>4186</v>
      </c>
      <c r="B1200" s="5" t="s">
        <v>4188</v>
      </c>
      <c r="C1200" s="5" t="s">
        <v>4189</v>
      </c>
      <c r="D1200" s="5" t="s">
        <v>22</v>
      </c>
      <c r="E1200" s="5" t="s">
        <v>35</v>
      </c>
      <c r="F1200" s="5" t="s">
        <v>110</v>
      </c>
      <c r="H1200" s="5" t="s">
        <v>4191</v>
      </c>
      <c r="I1200" s="10" t="s">
        <v>72</v>
      </c>
    </row>
    <row r="1201" ht="12.75" customHeight="1">
      <c r="A1201" s="5" t="s">
        <v>4192</v>
      </c>
      <c r="B1201" s="5" t="s">
        <v>4193</v>
      </c>
      <c r="C1201" s="5" t="s">
        <v>4194</v>
      </c>
      <c r="D1201" s="5" t="s">
        <v>34</v>
      </c>
      <c r="E1201" s="5" t="s">
        <v>42</v>
      </c>
      <c r="F1201" s="5" t="s">
        <v>634</v>
      </c>
    </row>
    <row r="1202" ht="12.75" customHeight="1">
      <c r="A1202" s="5" t="s">
        <v>4195</v>
      </c>
      <c r="B1202" s="5" t="s">
        <v>4196</v>
      </c>
      <c r="C1202" s="5" t="s">
        <v>4197</v>
      </c>
      <c r="D1202" s="5" t="s">
        <v>22</v>
      </c>
      <c r="E1202" s="5" t="s">
        <v>42</v>
      </c>
      <c r="F1202" s="5" t="s">
        <v>199</v>
      </c>
    </row>
    <row r="1203" ht="12.75" customHeight="1">
      <c r="A1203" s="5" t="s">
        <v>4198</v>
      </c>
      <c r="B1203" s="5" t="s">
        <v>4199</v>
      </c>
      <c r="C1203" s="5" t="s">
        <v>4201</v>
      </c>
      <c r="D1203" s="5" t="s">
        <v>22</v>
      </c>
      <c r="E1203" s="5" t="s">
        <v>42</v>
      </c>
      <c r="F1203" s="5" t="s">
        <v>199</v>
      </c>
    </row>
    <row r="1204" ht="12.75" customHeight="1">
      <c r="A1204" s="5" t="s">
        <v>4203</v>
      </c>
      <c r="B1204" s="5" t="s">
        <v>4204</v>
      </c>
      <c r="C1204" s="5" t="s">
        <v>4205</v>
      </c>
      <c r="D1204" s="5" t="s">
        <v>22</v>
      </c>
      <c r="E1204" s="5" t="s">
        <v>42</v>
      </c>
      <c r="F1204" s="5" t="s">
        <v>199</v>
      </c>
    </row>
    <row r="1205" ht="12.75" customHeight="1">
      <c r="A1205" s="5" t="s">
        <v>4206</v>
      </c>
      <c r="B1205" s="5" t="s">
        <v>4207</v>
      </c>
      <c r="C1205" s="5" t="s">
        <v>4208</v>
      </c>
      <c r="D1205" s="5" t="s">
        <v>124</v>
      </c>
      <c r="E1205" s="5" t="s">
        <v>42</v>
      </c>
      <c r="F1205" s="5" t="s">
        <v>426</v>
      </c>
    </row>
    <row r="1206" ht="12.75" customHeight="1">
      <c r="A1206" s="5" t="s">
        <v>4209</v>
      </c>
      <c r="B1206" s="5" t="s">
        <v>4210</v>
      </c>
      <c r="C1206" s="5" t="s">
        <v>4211</v>
      </c>
      <c r="D1206" s="5" t="s">
        <v>34</v>
      </c>
      <c r="E1206" s="5" t="s">
        <v>42</v>
      </c>
      <c r="F1206" s="5" t="s">
        <v>228</v>
      </c>
      <c r="G1206" s="10" t="s">
        <v>72</v>
      </c>
      <c r="H1206" s="5" t="s">
        <v>4213</v>
      </c>
      <c r="I1206" s="10" t="s">
        <v>72</v>
      </c>
    </row>
    <row r="1207" ht="12.75" customHeight="1">
      <c r="A1207" s="5" t="s">
        <v>4215</v>
      </c>
      <c r="B1207" s="5" t="s">
        <v>4216</v>
      </c>
      <c r="D1207" s="5" t="s">
        <v>34</v>
      </c>
      <c r="E1207" s="5" t="s">
        <v>42</v>
      </c>
      <c r="F1207" s="5" t="s">
        <v>228</v>
      </c>
      <c r="G1207" s="10" t="s">
        <v>72</v>
      </c>
      <c r="H1207" s="5" t="s">
        <v>4217</v>
      </c>
      <c r="I1207" s="10" t="s">
        <v>72</v>
      </c>
    </row>
    <row r="1208" ht="12.75" customHeight="1">
      <c r="A1208" s="5" t="s">
        <v>4218</v>
      </c>
      <c r="B1208" s="5" t="s">
        <v>4219</v>
      </c>
      <c r="C1208" s="5" t="s">
        <v>4220</v>
      </c>
      <c r="D1208" s="5" t="s">
        <v>50</v>
      </c>
      <c r="E1208" s="5" t="s">
        <v>42</v>
      </c>
      <c r="F1208" s="5" t="s">
        <v>43</v>
      </c>
    </row>
    <row r="1209" ht="12.75" customHeight="1">
      <c r="A1209" s="5" t="s">
        <v>4221</v>
      </c>
      <c r="B1209" s="5" t="s">
        <v>4222</v>
      </c>
      <c r="C1209" s="5" t="s">
        <v>4223</v>
      </c>
      <c r="D1209" s="5" t="s">
        <v>50</v>
      </c>
      <c r="E1209" s="5" t="s">
        <v>35</v>
      </c>
      <c r="F1209" s="5" t="s">
        <v>172</v>
      </c>
      <c r="G1209" s="10" t="s">
        <v>72</v>
      </c>
    </row>
    <row r="1210" ht="12.75" customHeight="1">
      <c r="A1210" s="5" t="s">
        <v>4225</v>
      </c>
      <c r="B1210" s="5" t="s">
        <v>4227</v>
      </c>
      <c r="C1210" s="5" t="s">
        <v>4223</v>
      </c>
      <c r="D1210" s="5" t="s">
        <v>50</v>
      </c>
      <c r="E1210" s="5" t="s">
        <v>42</v>
      </c>
      <c r="F1210" s="5" t="s">
        <v>54</v>
      </c>
      <c r="G1210" s="10" t="s">
        <v>72</v>
      </c>
    </row>
    <row r="1211" ht="12.75" customHeight="1">
      <c r="A1211" s="5" t="s">
        <v>4228</v>
      </c>
      <c r="B1211" s="5" t="s">
        <v>4229</v>
      </c>
      <c r="C1211" s="5" t="s">
        <v>4220</v>
      </c>
      <c r="D1211" s="5" t="s">
        <v>50</v>
      </c>
      <c r="E1211" s="5" t="s">
        <v>42</v>
      </c>
      <c r="F1211" s="5" t="s">
        <v>720</v>
      </c>
      <c r="G1211" s="10" t="s">
        <v>72</v>
      </c>
    </row>
    <row r="1212" ht="12.75" customHeight="1">
      <c r="A1212" s="5" t="s">
        <v>4230</v>
      </c>
      <c r="B1212" s="10" t="s">
        <v>4231</v>
      </c>
      <c r="C1212" s="5" t="s">
        <v>4220</v>
      </c>
      <c r="D1212" s="5" t="s">
        <v>50</v>
      </c>
      <c r="E1212" s="5" t="s">
        <v>42</v>
      </c>
      <c r="F1212" s="5" t="s">
        <v>199</v>
      </c>
      <c r="G1212" s="10" t="s">
        <v>72</v>
      </c>
    </row>
    <row r="1213" ht="12.75" customHeight="1">
      <c r="A1213" s="5" t="s">
        <v>4233</v>
      </c>
      <c r="B1213" s="5" t="s">
        <v>4234</v>
      </c>
      <c r="C1213" s="5" t="s">
        <v>4220</v>
      </c>
      <c r="D1213" s="5" t="s">
        <v>50</v>
      </c>
      <c r="E1213" s="5" t="s">
        <v>42</v>
      </c>
      <c r="F1213" s="5" t="s">
        <v>720</v>
      </c>
      <c r="G1213" s="10" t="s">
        <v>72</v>
      </c>
    </row>
    <row r="1214" ht="12.75" customHeight="1">
      <c r="A1214" s="5" t="s">
        <v>4236</v>
      </c>
      <c r="B1214" s="5" t="s">
        <v>4237</v>
      </c>
      <c r="C1214" s="5" t="s">
        <v>4220</v>
      </c>
      <c r="D1214" s="5" t="s">
        <v>50</v>
      </c>
      <c r="E1214" s="5" t="s">
        <v>35</v>
      </c>
      <c r="F1214" s="5" t="s">
        <v>619</v>
      </c>
      <c r="G1214" s="10" t="s">
        <v>72</v>
      </c>
    </row>
    <row r="1215" ht="12.75" customHeight="1">
      <c r="A1215" s="5" t="s">
        <v>4238</v>
      </c>
      <c r="B1215" s="5" t="s">
        <v>4239</v>
      </c>
      <c r="C1215" s="5" t="s">
        <v>4220</v>
      </c>
      <c r="D1215" s="5" t="s">
        <v>50</v>
      </c>
      <c r="E1215" s="5" t="s">
        <v>42</v>
      </c>
      <c r="F1215" s="5" t="s">
        <v>657</v>
      </c>
      <c r="G1215" s="10" t="s">
        <v>72</v>
      </c>
    </row>
    <row r="1216" ht="12.75" customHeight="1">
      <c r="A1216" s="5" t="s">
        <v>4241</v>
      </c>
      <c r="B1216" s="5" t="s">
        <v>4242</v>
      </c>
      <c r="C1216" s="5" t="s">
        <v>4220</v>
      </c>
      <c r="D1216" s="5" t="s">
        <v>50</v>
      </c>
      <c r="E1216" s="5" t="s">
        <v>42</v>
      </c>
      <c r="F1216" s="5" t="s">
        <v>54</v>
      </c>
      <c r="G1216" s="10" t="s">
        <v>72</v>
      </c>
    </row>
    <row r="1217" ht="12.75" customHeight="1">
      <c r="A1217" s="5" t="s">
        <v>4244</v>
      </c>
      <c r="B1217" s="5" t="s">
        <v>4245</v>
      </c>
      <c r="C1217" s="5" t="s">
        <v>4220</v>
      </c>
      <c r="D1217" s="5" t="s">
        <v>50</v>
      </c>
      <c r="E1217" s="5" t="s">
        <v>42</v>
      </c>
      <c r="F1217" s="5" t="s">
        <v>556</v>
      </c>
      <c r="G1217" s="10" t="s">
        <v>72</v>
      </c>
    </row>
    <row r="1218" ht="12.75" customHeight="1">
      <c r="A1218" s="5" t="s">
        <v>4246</v>
      </c>
      <c r="B1218" s="5" t="s">
        <v>4247</v>
      </c>
      <c r="C1218" s="5" t="s">
        <v>4220</v>
      </c>
      <c r="D1218" s="5" t="s">
        <v>50</v>
      </c>
      <c r="E1218" s="5" t="s">
        <v>42</v>
      </c>
      <c r="F1218" s="5" t="s">
        <v>238</v>
      </c>
      <c r="G1218" s="10" t="s">
        <v>72</v>
      </c>
    </row>
    <row r="1219" ht="12.75" customHeight="1">
      <c r="A1219" s="5" t="s">
        <v>4248</v>
      </c>
      <c r="B1219" s="5" t="s">
        <v>4249</v>
      </c>
      <c r="C1219" s="5" t="s">
        <v>4220</v>
      </c>
      <c r="D1219" s="5" t="s">
        <v>50</v>
      </c>
      <c r="E1219" s="5" t="s">
        <v>42</v>
      </c>
      <c r="F1219" s="5" t="s">
        <v>720</v>
      </c>
      <c r="G1219" s="10" t="s">
        <v>72</v>
      </c>
    </row>
    <row r="1220" ht="12.75" customHeight="1">
      <c r="A1220" s="5" t="s">
        <v>4251</v>
      </c>
      <c r="B1220" s="5" t="s">
        <v>4252</v>
      </c>
      <c r="C1220" s="5" t="s">
        <v>4220</v>
      </c>
      <c r="D1220" s="5" t="s">
        <v>50</v>
      </c>
      <c r="E1220" s="5" t="s">
        <v>42</v>
      </c>
      <c r="F1220" s="5" t="s">
        <v>720</v>
      </c>
      <c r="G1220" s="10" t="s">
        <v>72</v>
      </c>
    </row>
    <row r="1221" ht="12.75" customHeight="1">
      <c r="A1221" s="5" t="s">
        <v>4254</v>
      </c>
      <c r="B1221" s="5" t="s">
        <v>4255</v>
      </c>
      <c r="C1221" s="5" t="s">
        <v>4220</v>
      </c>
      <c r="D1221" s="5" t="s">
        <v>50</v>
      </c>
      <c r="E1221" s="5" t="s">
        <v>42</v>
      </c>
      <c r="F1221" s="5" t="s">
        <v>720</v>
      </c>
    </row>
    <row r="1222" ht="12.75" customHeight="1">
      <c r="A1222" s="5" t="s">
        <v>4256</v>
      </c>
      <c r="B1222" s="5" t="s">
        <v>4257</v>
      </c>
      <c r="C1222" s="5" t="s">
        <v>4220</v>
      </c>
      <c r="D1222" s="5" t="s">
        <v>50</v>
      </c>
      <c r="E1222" s="5" t="s">
        <v>42</v>
      </c>
      <c r="F1222" s="5" t="s">
        <v>637</v>
      </c>
    </row>
    <row r="1223" ht="12.75" customHeight="1">
      <c r="A1223" s="5" t="s">
        <v>4258</v>
      </c>
      <c r="B1223" s="5" t="s">
        <v>4259</v>
      </c>
      <c r="C1223" s="5" t="s">
        <v>4220</v>
      </c>
      <c r="D1223" s="5" t="s">
        <v>50</v>
      </c>
      <c r="E1223" s="5" t="s">
        <v>42</v>
      </c>
      <c r="F1223" s="5" t="s">
        <v>238</v>
      </c>
    </row>
    <row r="1224" ht="12.75" customHeight="1">
      <c r="A1224" s="5" t="s">
        <v>4262</v>
      </c>
      <c r="B1224" s="5" t="s">
        <v>4263</v>
      </c>
      <c r="C1224" s="5" t="s">
        <v>4220</v>
      </c>
      <c r="D1224" s="5" t="s">
        <v>34</v>
      </c>
      <c r="E1224" s="5" t="s">
        <v>42</v>
      </c>
      <c r="F1224" s="5" t="s">
        <v>599</v>
      </c>
    </row>
    <row r="1225" ht="12.75" customHeight="1">
      <c r="A1225" s="5" t="s">
        <v>4264</v>
      </c>
      <c r="B1225" s="5" t="s">
        <v>4265</v>
      </c>
      <c r="C1225" s="5" t="s">
        <v>4220</v>
      </c>
      <c r="D1225" s="5" t="s">
        <v>50</v>
      </c>
      <c r="E1225" s="5" t="s">
        <v>42</v>
      </c>
      <c r="F1225" s="5" t="s">
        <v>720</v>
      </c>
      <c r="G1225" s="10" t="s">
        <v>72</v>
      </c>
    </row>
    <row r="1226" ht="12.75" customHeight="1">
      <c r="A1226" s="5" t="s">
        <v>4266</v>
      </c>
      <c r="B1226" s="5" t="s">
        <v>4267</v>
      </c>
      <c r="C1226" s="5" t="s">
        <v>4220</v>
      </c>
      <c r="D1226" s="5" t="s">
        <v>50</v>
      </c>
      <c r="E1226" s="5" t="s">
        <v>42</v>
      </c>
      <c r="F1226" s="5" t="s">
        <v>720</v>
      </c>
      <c r="G1226" s="10" t="s">
        <v>72</v>
      </c>
    </row>
    <row r="1227" ht="12.75" customHeight="1">
      <c r="A1227" s="5" t="s">
        <v>4270</v>
      </c>
      <c r="B1227" s="5" t="s">
        <v>4271</v>
      </c>
      <c r="C1227" s="5" t="s">
        <v>4272</v>
      </c>
      <c r="D1227" s="5" t="s">
        <v>34</v>
      </c>
      <c r="E1227" s="5" t="s">
        <v>35</v>
      </c>
      <c r="F1227" s="5" t="s">
        <v>913</v>
      </c>
    </row>
    <row r="1228" ht="12.75" customHeight="1">
      <c r="A1228" s="5" t="s">
        <v>4273</v>
      </c>
      <c r="B1228" s="5" t="s">
        <v>4274</v>
      </c>
      <c r="C1228" s="5" t="s">
        <v>4272</v>
      </c>
      <c r="D1228" s="5" t="s">
        <v>34</v>
      </c>
      <c r="E1228" s="5" t="s">
        <v>42</v>
      </c>
      <c r="F1228" s="5" t="s">
        <v>599</v>
      </c>
    </row>
    <row r="1229" ht="12.75" customHeight="1">
      <c r="A1229" s="5" t="s">
        <v>4275</v>
      </c>
      <c r="B1229" s="5" t="s">
        <v>4276</v>
      </c>
      <c r="D1229" s="5" t="s">
        <v>34</v>
      </c>
      <c r="E1229" s="5" t="s">
        <v>42</v>
      </c>
      <c r="F1229" s="5" t="s">
        <v>599</v>
      </c>
      <c r="H1229" s="5" t="s">
        <v>4277</v>
      </c>
      <c r="I1229" s="10" t="s">
        <v>72</v>
      </c>
    </row>
    <row r="1230" ht="12.75" customHeight="1">
      <c r="A1230" s="5" t="s">
        <v>4279</v>
      </c>
      <c r="B1230" s="5" t="s">
        <v>4281</v>
      </c>
      <c r="C1230" s="5" t="s">
        <v>2242</v>
      </c>
      <c r="D1230" s="5" t="s">
        <v>50</v>
      </c>
      <c r="E1230" s="5" t="s">
        <v>42</v>
      </c>
      <c r="F1230" s="5" t="s">
        <v>657</v>
      </c>
      <c r="H1230" s="5" t="s">
        <v>4282</v>
      </c>
      <c r="I1230" s="10" t="s">
        <v>72</v>
      </c>
    </row>
    <row r="1231" ht="12.75" customHeight="1">
      <c r="A1231" s="5" t="s">
        <v>4283</v>
      </c>
      <c r="B1231" s="10" t="s">
        <v>4284</v>
      </c>
      <c r="C1231" s="5" t="s">
        <v>2242</v>
      </c>
      <c r="D1231" s="5" t="s">
        <v>67</v>
      </c>
      <c r="E1231" s="5" t="s">
        <v>42</v>
      </c>
      <c r="F1231" s="5" t="s">
        <v>1308</v>
      </c>
      <c r="H1231" s="5" t="s">
        <v>4285</v>
      </c>
      <c r="I1231" s="10" t="s">
        <v>72</v>
      </c>
    </row>
    <row r="1232" ht="12.75" customHeight="1">
      <c r="A1232" s="5" t="s">
        <v>4286</v>
      </c>
      <c r="B1232" s="5" t="s">
        <v>4287</v>
      </c>
      <c r="C1232" s="5" t="s">
        <v>691</v>
      </c>
      <c r="D1232" s="5" t="s">
        <v>74</v>
      </c>
      <c r="E1232" s="5" t="s">
        <v>42</v>
      </c>
      <c r="F1232" s="5" t="s">
        <v>572</v>
      </c>
      <c r="H1232" s="5" t="s">
        <v>4289</v>
      </c>
      <c r="I1232" s="10" t="s">
        <v>72</v>
      </c>
    </row>
    <row r="1233" ht="12.75" customHeight="1">
      <c r="A1233" s="5" t="s">
        <v>4291</v>
      </c>
      <c r="B1233" s="5" t="s">
        <v>4292</v>
      </c>
      <c r="C1233" s="5" t="s">
        <v>691</v>
      </c>
      <c r="D1233" s="5" t="s">
        <v>30</v>
      </c>
      <c r="E1233" s="5" t="s">
        <v>35</v>
      </c>
      <c r="F1233" s="5" t="s">
        <v>1831</v>
      </c>
      <c r="H1233" s="5" t="s">
        <v>4293</v>
      </c>
      <c r="I1233" s="10" t="s">
        <v>72</v>
      </c>
    </row>
    <row r="1234" ht="12.75" customHeight="1">
      <c r="A1234" s="5" t="s">
        <v>4294</v>
      </c>
      <c r="B1234" s="5" t="s">
        <v>4295</v>
      </c>
      <c r="C1234" s="5" t="s">
        <v>691</v>
      </c>
      <c r="D1234" s="5" t="s">
        <v>22</v>
      </c>
      <c r="E1234" s="5" t="s">
        <v>42</v>
      </c>
      <c r="F1234" s="5" t="s">
        <v>423</v>
      </c>
      <c r="H1234" s="5" t="s">
        <v>4296</v>
      </c>
      <c r="I1234" s="10" t="s">
        <v>72</v>
      </c>
    </row>
    <row r="1235" ht="12.75" customHeight="1">
      <c r="A1235" s="5" t="s">
        <v>4297</v>
      </c>
      <c r="B1235" s="5" t="s">
        <v>4298</v>
      </c>
      <c r="C1235" s="5" t="s">
        <v>691</v>
      </c>
      <c r="D1235" s="5" t="s">
        <v>34</v>
      </c>
      <c r="E1235" s="5" t="s">
        <v>42</v>
      </c>
      <c r="F1235" s="5" t="s">
        <v>572</v>
      </c>
      <c r="H1235" s="5" t="s">
        <v>2862</v>
      </c>
      <c r="I1235" s="10" t="s">
        <v>72</v>
      </c>
    </row>
    <row r="1236" ht="12.75" customHeight="1">
      <c r="A1236" s="5" t="s">
        <v>4301</v>
      </c>
      <c r="B1236" s="5" t="s">
        <v>4302</v>
      </c>
      <c r="C1236" s="5" t="s">
        <v>691</v>
      </c>
      <c r="D1236" s="5" t="s">
        <v>30</v>
      </c>
      <c r="E1236" s="5" t="s">
        <v>42</v>
      </c>
      <c r="F1236" s="5" t="s">
        <v>974</v>
      </c>
      <c r="H1236" s="5" t="s">
        <v>3676</v>
      </c>
      <c r="I1236" s="10" t="s">
        <v>72</v>
      </c>
    </row>
    <row r="1237" ht="12.75" customHeight="1">
      <c r="A1237" s="5" t="s">
        <v>4303</v>
      </c>
      <c r="B1237" s="5" t="s">
        <v>4304</v>
      </c>
      <c r="C1237" s="5" t="s">
        <v>691</v>
      </c>
      <c r="D1237" s="5" t="s">
        <v>74</v>
      </c>
      <c r="E1237" s="5" t="s">
        <v>35</v>
      </c>
      <c r="F1237" s="5" t="s">
        <v>868</v>
      </c>
      <c r="H1237" s="5" t="s">
        <v>4305</v>
      </c>
      <c r="I1237" s="10" t="s">
        <v>72</v>
      </c>
    </row>
    <row r="1238" ht="12.75" customHeight="1">
      <c r="A1238" s="5" t="s">
        <v>4306</v>
      </c>
      <c r="B1238" s="10" t="s">
        <v>4307</v>
      </c>
      <c r="C1238" s="5" t="s">
        <v>691</v>
      </c>
      <c r="D1238" s="5" t="s">
        <v>50</v>
      </c>
      <c r="E1238" s="5" t="s">
        <v>42</v>
      </c>
      <c r="F1238" s="5" t="s">
        <v>657</v>
      </c>
      <c r="H1238" s="5" t="s">
        <v>2243</v>
      </c>
      <c r="I1238" s="10" t="s">
        <v>72</v>
      </c>
    </row>
    <row r="1239" ht="12.75" customHeight="1">
      <c r="A1239" s="5" t="s">
        <v>4310</v>
      </c>
      <c r="B1239" s="5" t="s">
        <v>4311</v>
      </c>
      <c r="C1239" s="5" t="s">
        <v>691</v>
      </c>
      <c r="D1239" s="5" t="s">
        <v>50</v>
      </c>
      <c r="E1239" s="5" t="s">
        <v>35</v>
      </c>
      <c r="F1239" s="5" t="s">
        <v>605</v>
      </c>
      <c r="H1239" s="5" t="s">
        <v>4312</v>
      </c>
      <c r="I1239" s="10" t="s">
        <v>72</v>
      </c>
    </row>
    <row r="1240" ht="12.75" customHeight="1">
      <c r="A1240" s="5" t="s">
        <v>4313</v>
      </c>
      <c r="B1240" s="5" t="s">
        <v>4314</v>
      </c>
      <c r="C1240" s="5" t="s">
        <v>4315</v>
      </c>
      <c r="D1240" s="5" t="s">
        <v>74</v>
      </c>
      <c r="E1240" s="5" t="s">
        <v>42</v>
      </c>
      <c r="F1240" s="5" t="s">
        <v>572</v>
      </c>
      <c r="H1240" s="5" t="s">
        <v>4289</v>
      </c>
      <c r="I1240" s="10" t="s">
        <v>72</v>
      </c>
    </row>
    <row r="1241" ht="12.75" customHeight="1">
      <c r="A1241" s="5" t="s">
        <v>4316</v>
      </c>
      <c r="B1241" s="5" t="s">
        <v>4317</v>
      </c>
      <c r="D1241" s="5" t="s">
        <v>46</v>
      </c>
      <c r="E1241" s="5" t="s">
        <v>35</v>
      </c>
      <c r="F1241" s="5" t="s">
        <v>1831</v>
      </c>
      <c r="H1241" s="5" t="s">
        <v>3676</v>
      </c>
    </row>
    <row r="1242" ht="12.75" customHeight="1">
      <c r="A1242" s="5" t="s">
        <v>4319</v>
      </c>
      <c r="B1242" s="5" t="s">
        <v>4321</v>
      </c>
      <c r="C1242" s="5" t="s">
        <v>4322</v>
      </c>
      <c r="D1242" s="5" t="s">
        <v>30</v>
      </c>
      <c r="E1242" s="5" t="s">
        <v>42</v>
      </c>
      <c r="F1242" s="5" t="s">
        <v>2218</v>
      </c>
      <c r="G1242" s="10" t="s">
        <v>72</v>
      </c>
      <c r="H1242" s="5" t="s">
        <v>1153</v>
      </c>
    </row>
    <row r="1243" ht="12.75" customHeight="1">
      <c r="A1243" s="5" t="s">
        <v>4323</v>
      </c>
      <c r="B1243" s="5" t="s">
        <v>4324</v>
      </c>
      <c r="C1243" s="5" t="s">
        <v>4325</v>
      </c>
      <c r="D1243" s="5" t="s">
        <v>30</v>
      </c>
      <c r="E1243" s="5" t="s">
        <v>42</v>
      </c>
      <c r="F1243" s="5" t="s">
        <v>2638</v>
      </c>
      <c r="G1243" s="10" t="s">
        <v>72</v>
      </c>
      <c r="H1243" s="5" t="s">
        <v>4125</v>
      </c>
    </row>
    <row r="1244" ht="12.75" customHeight="1">
      <c r="A1244" s="5" t="s">
        <v>4326</v>
      </c>
      <c r="B1244" s="5" t="s">
        <v>4327</v>
      </c>
      <c r="C1244" s="5" t="s">
        <v>4328</v>
      </c>
      <c r="D1244" s="5" t="s">
        <v>30</v>
      </c>
      <c r="E1244" s="5" t="s">
        <v>42</v>
      </c>
      <c r="F1244" s="5" t="s">
        <v>2638</v>
      </c>
      <c r="G1244" s="10" t="s">
        <v>72</v>
      </c>
      <c r="H1244" s="5" t="s">
        <v>2120</v>
      </c>
    </row>
    <row r="1245" ht="12.75" customHeight="1">
      <c r="A1245" s="5" t="s">
        <v>4331</v>
      </c>
      <c r="B1245" s="5" t="s">
        <v>4332</v>
      </c>
      <c r="C1245" s="5" t="s">
        <v>4333</v>
      </c>
      <c r="D1245" s="5" t="s">
        <v>30</v>
      </c>
      <c r="E1245" s="5" t="s">
        <v>42</v>
      </c>
      <c r="F1245" s="5" t="s">
        <v>974</v>
      </c>
      <c r="G1245" s="10" t="s">
        <v>72</v>
      </c>
      <c r="H1245" s="5" t="s">
        <v>4334</v>
      </c>
    </row>
    <row r="1246" ht="12.75" customHeight="1">
      <c r="A1246" s="5" t="s">
        <v>4335</v>
      </c>
      <c r="B1246" s="5" t="s">
        <v>4336</v>
      </c>
      <c r="D1246" s="5" t="s">
        <v>34</v>
      </c>
      <c r="E1246" s="5" t="s">
        <v>42</v>
      </c>
      <c r="F1246" s="5" t="s">
        <v>83</v>
      </c>
      <c r="H1246" s="5" t="s">
        <v>4337</v>
      </c>
      <c r="I1246" s="10" t="s">
        <v>72</v>
      </c>
    </row>
    <row r="1247" ht="12.75" customHeight="1">
      <c r="A1247" s="5" t="s">
        <v>4338</v>
      </c>
      <c r="B1247" s="5" t="s">
        <v>4339</v>
      </c>
      <c r="D1247" s="5" t="s">
        <v>34</v>
      </c>
      <c r="E1247" s="5" t="s">
        <v>42</v>
      </c>
      <c r="F1247" s="5" t="s">
        <v>83</v>
      </c>
      <c r="H1247" s="5" t="s">
        <v>4337</v>
      </c>
      <c r="I1247" s="10" t="s">
        <v>72</v>
      </c>
    </row>
    <row r="1248" ht="12.75" customHeight="1">
      <c r="A1248" s="5" t="s">
        <v>4342</v>
      </c>
      <c r="B1248" s="5" t="s">
        <v>4343</v>
      </c>
      <c r="D1248" s="5" t="s">
        <v>34</v>
      </c>
      <c r="E1248" s="5" t="s">
        <v>42</v>
      </c>
      <c r="F1248" s="5" t="s">
        <v>83</v>
      </c>
      <c r="H1248" s="5" t="s">
        <v>4337</v>
      </c>
      <c r="I1248" s="10" t="s">
        <v>72</v>
      </c>
    </row>
    <row r="1249" ht="12.75" customHeight="1">
      <c r="A1249" s="5" t="s">
        <v>4344</v>
      </c>
      <c r="B1249" s="5" t="s">
        <v>4345</v>
      </c>
      <c r="D1249" s="5" t="s">
        <v>34</v>
      </c>
      <c r="E1249" s="5" t="s">
        <v>42</v>
      </c>
      <c r="F1249" s="5" t="s">
        <v>83</v>
      </c>
      <c r="H1249" s="5" t="s">
        <v>4337</v>
      </c>
      <c r="I1249" s="10" t="s">
        <v>72</v>
      </c>
    </row>
    <row r="1250" ht="12.75" customHeight="1">
      <c r="A1250" s="5" t="s">
        <v>4337</v>
      </c>
      <c r="B1250" s="5" t="s">
        <v>4346</v>
      </c>
      <c r="C1250" s="5" t="s">
        <v>4347</v>
      </c>
      <c r="D1250" s="5" t="s">
        <v>34</v>
      </c>
      <c r="E1250" s="5" t="s">
        <v>42</v>
      </c>
      <c r="F1250" s="5" t="s">
        <v>83</v>
      </c>
      <c r="L1250" s="5" t="s">
        <v>4348</v>
      </c>
    </row>
    <row r="1251" ht="12.75" customHeight="1">
      <c r="A1251" s="5" t="s">
        <v>4350</v>
      </c>
      <c r="B1251" s="5" t="s">
        <v>4351</v>
      </c>
      <c r="D1251" s="5" t="s">
        <v>30</v>
      </c>
      <c r="E1251" s="5" t="s">
        <v>35</v>
      </c>
      <c r="F1251" s="5" t="s">
        <v>96</v>
      </c>
      <c r="G1251" s="10" t="s">
        <v>72</v>
      </c>
    </row>
    <row r="1252" ht="12.75" customHeight="1">
      <c r="A1252" s="5" t="s">
        <v>4353</v>
      </c>
      <c r="B1252" s="5" t="s">
        <v>4354</v>
      </c>
      <c r="D1252" s="5" t="s">
        <v>30</v>
      </c>
      <c r="E1252" s="5" t="s">
        <v>35</v>
      </c>
      <c r="F1252" s="5" t="s">
        <v>1143</v>
      </c>
      <c r="G1252" s="10" t="s">
        <v>72</v>
      </c>
      <c r="H1252" s="5" t="s">
        <v>4355</v>
      </c>
      <c r="I1252" s="10" t="s">
        <v>72</v>
      </c>
    </row>
    <row r="1253" ht="12.75" customHeight="1">
      <c r="A1253" s="5" t="s">
        <v>4356</v>
      </c>
      <c r="B1253" s="5" t="s">
        <v>4357</v>
      </c>
      <c r="C1253" s="5" t="s">
        <v>4358</v>
      </c>
      <c r="D1253" s="5" t="s">
        <v>50</v>
      </c>
      <c r="E1253" s="5" t="s">
        <v>35</v>
      </c>
      <c r="F1253" s="5" t="s">
        <v>90</v>
      </c>
      <c r="G1253" s="10" t="s">
        <v>72</v>
      </c>
      <c r="H1253" s="5" t="s">
        <v>4359</v>
      </c>
    </row>
    <row r="1254" ht="12.75" customHeight="1">
      <c r="A1254" s="5" t="s">
        <v>4361</v>
      </c>
      <c r="B1254" s="5" t="s">
        <v>4362</v>
      </c>
      <c r="C1254" s="5" t="s">
        <v>4364</v>
      </c>
      <c r="D1254" s="5" t="s">
        <v>38</v>
      </c>
      <c r="E1254" s="5" t="s">
        <v>35</v>
      </c>
      <c r="F1254" s="5" t="s">
        <v>90</v>
      </c>
      <c r="G1254" s="10" t="s">
        <v>72</v>
      </c>
      <c r="H1254" s="5" t="s">
        <v>4365</v>
      </c>
    </row>
    <row r="1255" ht="12.75" customHeight="1">
      <c r="A1255" s="5" t="s">
        <v>4366</v>
      </c>
      <c r="B1255" s="5" t="s">
        <v>4367</v>
      </c>
      <c r="C1255" s="5" t="s">
        <v>4368</v>
      </c>
      <c r="D1255" s="5" t="s">
        <v>34</v>
      </c>
      <c r="E1255" s="5" t="s">
        <v>42</v>
      </c>
      <c r="F1255" s="5" t="s">
        <v>65</v>
      </c>
      <c r="G1255" s="10" t="s">
        <v>72</v>
      </c>
      <c r="H1255" s="5" t="s">
        <v>4369</v>
      </c>
    </row>
    <row r="1256" ht="12.75" customHeight="1">
      <c r="A1256" s="5" t="s">
        <v>4370</v>
      </c>
      <c r="B1256" s="5" t="s">
        <v>4371</v>
      </c>
      <c r="C1256" s="5" t="s">
        <v>4368</v>
      </c>
      <c r="D1256" s="5" t="s">
        <v>34</v>
      </c>
      <c r="E1256" s="5" t="s">
        <v>42</v>
      </c>
      <c r="F1256" s="5" t="s">
        <v>1753</v>
      </c>
      <c r="G1256" s="10" t="s">
        <v>72</v>
      </c>
      <c r="H1256" s="5" t="s">
        <v>4373</v>
      </c>
    </row>
    <row r="1257" ht="12.75" customHeight="1">
      <c r="A1257" s="5" t="s">
        <v>4375</v>
      </c>
      <c r="B1257" s="5" t="s">
        <v>4376</v>
      </c>
      <c r="C1257" s="5" t="s">
        <v>2242</v>
      </c>
      <c r="D1257" s="5" t="s">
        <v>67</v>
      </c>
      <c r="E1257" s="5" t="s">
        <v>42</v>
      </c>
      <c r="F1257" s="5" t="s">
        <v>1308</v>
      </c>
      <c r="H1257" s="5" t="s">
        <v>1297</v>
      </c>
      <c r="I1257" s="10" t="s">
        <v>72</v>
      </c>
    </row>
    <row r="1258" ht="12.75" customHeight="1">
      <c r="A1258" s="5" t="s">
        <v>4377</v>
      </c>
      <c r="B1258" s="5" t="s">
        <v>4378</v>
      </c>
      <c r="C1258" s="5" t="s">
        <v>4379</v>
      </c>
      <c r="D1258" s="5" t="s">
        <v>30</v>
      </c>
      <c r="E1258" s="5" t="s">
        <v>42</v>
      </c>
      <c r="F1258" s="5" t="s">
        <v>2771</v>
      </c>
      <c r="G1258" s="10" t="s">
        <v>72</v>
      </c>
    </row>
    <row r="1259" ht="12.75" customHeight="1">
      <c r="A1259" s="5" t="s">
        <v>4380</v>
      </c>
      <c r="B1259" s="5" t="s">
        <v>4381</v>
      </c>
      <c r="D1259" s="5" t="s">
        <v>67</v>
      </c>
      <c r="E1259" s="5" t="s">
        <v>42</v>
      </c>
      <c r="F1259" s="5" t="s">
        <v>1033</v>
      </c>
      <c r="G1259" s="10" t="s">
        <v>72</v>
      </c>
    </row>
    <row r="1260" ht="12.75" customHeight="1">
      <c r="A1260" s="5" t="s">
        <v>4382</v>
      </c>
      <c r="B1260" s="5" t="s">
        <v>4383</v>
      </c>
      <c r="C1260" s="5" t="s">
        <v>4384</v>
      </c>
      <c r="D1260" s="5" t="s">
        <v>34</v>
      </c>
      <c r="E1260" s="5" t="s">
        <v>35</v>
      </c>
      <c r="F1260" s="5" t="s">
        <v>77</v>
      </c>
      <c r="G1260" s="10" t="s">
        <v>72</v>
      </c>
      <c r="H1260" s="5" t="s">
        <v>3610</v>
      </c>
    </row>
    <row r="1261" ht="12.75" customHeight="1">
      <c r="A1261" s="5" t="s">
        <v>4387</v>
      </c>
      <c r="B1261" s="5" t="s">
        <v>4388</v>
      </c>
      <c r="C1261" s="5" t="s">
        <v>4389</v>
      </c>
      <c r="D1261" s="5" t="s">
        <v>34</v>
      </c>
      <c r="E1261" s="5" t="s">
        <v>42</v>
      </c>
      <c r="F1261" s="5" t="s">
        <v>599</v>
      </c>
      <c r="G1261" s="10" t="s">
        <v>72</v>
      </c>
      <c r="H1261" s="5" t="s">
        <v>3610</v>
      </c>
    </row>
    <row r="1262" ht="12.75" customHeight="1">
      <c r="A1262" s="5" t="s">
        <v>4390</v>
      </c>
      <c r="B1262" s="5" t="s">
        <v>4391</v>
      </c>
      <c r="D1262" s="5" t="s">
        <v>30</v>
      </c>
      <c r="E1262" s="5" t="s">
        <v>35</v>
      </c>
      <c r="F1262" s="5" t="s">
        <v>1875</v>
      </c>
      <c r="G1262" s="10" t="s">
        <v>72</v>
      </c>
      <c r="H1262" s="5" t="s">
        <v>4392</v>
      </c>
      <c r="I1262" s="10" t="s">
        <v>72</v>
      </c>
    </row>
    <row r="1263" ht="12.75" customHeight="1">
      <c r="A1263" s="5" t="s">
        <v>4393</v>
      </c>
      <c r="B1263" s="5" t="s">
        <v>4394</v>
      </c>
      <c r="D1263" s="5" t="s">
        <v>55</v>
      </c>
      <c r="E1263" s="5" t="s">
        <v>42</v>
      </c>
      <c r="F1263" s="5" t="s">
        <v>454</v>
      </c>
      <c r="H1263" s="5" t="s">
        <v>1292</v>
      </c>
      <c r="I1263" s="10" t="s">
        <v>72</v>
      </c>
    </row>
    <row r="1264" ht="12.75" customHeight="1">
      <c r="A1264" s="5" t="s">
        <v>4397</v>
      </c>
      <c r="B1264" s="5" t="s">
        <v>4398</v>
      </c>
      <c r="D1264" s="5" t="s">
        <v>94</v>
      </c>
      <c r="E1264" s="5" t="s">
        <v>35</v>
      </c>
      <c r="F1264" s="5" t="s">
        <v>710</v>
      </c>
      <c r="H1264" s="5" t="s">
        <v>4399</v>
      </c>
      <c r="I1264" s="10" t="s">
        <v>72</v>
      </c>
    </row>
    <row r="1265" ht="12.75" customHeight="1">
      <c r="A1265" s="5" t="s">
        <v>4400</v>
      </c>
      <c r="B1265" s="10" t="s">
        <v>4401</v>
      </c>
      <c r="D1265" s="5" t="s">
        <v>101</v>
      </c>
      <c r="E1265" s="5" t="s">
        <v>42</v>
      </c>
      <c r="F1265" s="5" t="s">
        <v>157</v>
      </c>
      <c r="H1265" s="5" t="s">
        <v>4402</v>
      </c>
      <c r="I1265" s="10" t="s">
        <v>72</v>
      </c>
    </row>
    <row r="1266" ht="12.75" customHeight="1">
      <c r="A1266" s="5" t="s">
        <v>4403</v>
      </c>
      <c r="B1266" s="5" t="s">
        <v>4405</v>
      </c>
      <c r="D1266" s="5" t="s">
        <v>122</v>
      </c>
      <c r="E1266" s="5" t="s">
        <v>42</v>
      </c>
      <c r="F1266" s="5" t="s">
        <v>400</v>
      </c>
      <c r="H1266" s="5" t="s">
        <v>4407</v>
      </c>
      <c r="I1266" s="10" t="s">
        <v>72</v>
      </c>
    </row>
    <row r="1267" ht="12.75" customHeight="1">
      <c r="A1267" s="5" t="s">
        <v>4408</v>
      </c>
      <c r="B1267" s="5" t="s">
        <v>4409</v>
      </c>
      <c r="D1267" s="5" t="s">
        <v>116</v>
      </c>
      <c r="E1267" s="5" t="s">
        <v>35</v>
      </c>
      <c r="F1267" s="5" t="s">
        <v>4410</v>
      </c>
      <c r="H1267" s="5" t="s">
        <v>4411</v>
      </c>
      <c r="I1267" s="10" t="s">
        <v>72</v>
      </c>
    </row>
    <row r="1268" ht="12.75" customHeight="1">
      <c r="A1268" s="5" t="s">
        <v>4412</v>
      </c>
      <c r="B1268" s="5" t="s">
        <v>4413</v>
      </c>
      <c r="D1268" s="5" t="s">
        <v>46</v>
      </c>
      <c r="E1268" s="5" t="s">
        <v>42</v>
      </c>
      <c r="F1268" s="5" t="s">
        <v>395</v>
      </c>
      <c r="G1268" s="10" t="s">
        <v>72</v>
      </c>
      <c r="H1268" s="5" t="s">
        <v>4414</v>
      </c>
    </row>
    <row r="1269" ht="12.75" customHeight="1">
      <c r="A1269" s="5" t="s">
        <v>4416</v>
      </c>
      <c r="B1269" s="5" t="s">
        <v>4417</v>
      </c>
      <c r="D1269" s="5" t="s">
        <v>50</v>
      </c>
      <c r="E1269" s="5" t="s">
        <v>42</v>
      </c>
      <c r="F1269" s="5" t="s">
        <v>445</v>
      </c>
      <c r="H1269" s="5" t="s">
        <v>4419</v>
      </c>
      <c r="I1269" s="10" t="s">
        <v>72</v>
      </c>
    </row>
    <row r="1270" ht="12.75" customHeight="1">
      <c r="A1270" s="5" t="s">
        <v>4420</v>
      </c>
      <c r="B1270" s="5" t="s">
        <v>4421</v>
      </c>
      <c r="C1270" s="5" t="s">
        <v>2242</v>
      </c>
      <c r="D1270" s="5" t="s">
        <v>22</v>
      </c>
      <c r="E1270" s="5" t="s">
        <v>42</v>
      </c>
      <c r="F1270" s="5" t="s">
        <v>610</v>
      </c>
      <c r="H1270" s="5" t="s">
        <v>4422</v>
      </c>
      <c r="I1270" s="10" t="s">
        <v>72</v>
      </c>
    </row>
    <row r="1271" ht="12.75" customHeight="1">
      <c r="A1271" s="5" t="s">
        <v>4423</v>
      </c>
      <c r="B1271" s="5" t="s">
        <v>4424</v>
      </c>
      <c r="C1271" s="5" t="s">
        <v>2242</v>
      </c>
      <c r="D1271" s="5" t="s">
        <v>50</v>
      </c>
      <c r="E1271" s="5" t="s">
        <v>35</v>
      </c>
      <c r="F1271" s="5" t="s">
        <v>605</v>
      </c>
      <c r="H1271" s="5" t="s">
        <v>4312</v>
      </c>
      <c r="I1271" s="10" t="s">
        <v>72</v>
      </c>
    </row>
    <row r="1272" ht="12.75" customHeight="1">
      <c r="A1272" s="5" t="s">
        <v>4427</v>
      </c>
      <c r="B1272" s="5" t="s">
        <v>4428</v>
      </c>
      <c r="C1272" s="5" t="s">
        <v>2242</v>
      </c>
      <c r="D1272" s="5" t="s">
        <v>34</v>
      </c>
      <c r="E1272" s="5" t="s">
        <v>42</v>
      </c>
      <c r="F1272" s="5" t="s">
        <v>572</v>
      </c>
      <c r="H1272" s="5" t="s">
        <v>2862</v>
      </c>
      <c r="I1272" s="10" t="s">
        <v>72</v>
      </c>
    </row>
    <row r="1273" ht="12.75" customHeight="1">
      <c r="A1273" s="5" t="s">
        <v>4429</v>
      </c>
      <c r="B1273" s="5" t="s">
        <v>4430</v>
      </c>
      <c r="C1273" s="5" t="s">
        <v>2242</v>
      </c>
      <c r="D1273" s="5" t="s">
        <v>74</v>
      </c>
      <c r="E1273" s="5" t="s">
        <v>35</v>
      </c>
      <c r="F1273" s="5" t="s">
        <v>868</v>
      </c>
      <c r="H1273" s="5" t="s">
        <v>4305</v>
      </c>
      <c r="I1273" s="10" t="s">
        <v>72</v>
      </c>
    </row>
    <row r="1274" ht="12.75" customHeight="1">
      <c r="A1274" s="5" t="s">
        <v>4431</v>
      </c>
      <c r="B1274" s="5" t="s">
        <v>4432</v>
      </c>
      <c r="C1274" s="5" t="s">
        <v>2242</v>
      </c>
      <c r="D1274" s="5" t="s">
        <v>50</v>
      </c>
      <c r="E1274" s="5" t="s">
        <v>42</v>
      </c>
      <c r="F1274" s="5" t="s">
        <v>657</v>
      </c>
      <c r="H1274" s="5" t="s">
        <v>2243</v>
      </c>
      <c r="I1274" s="10" t="s">
        <v>72</v>
      </c>
    </row>
    <row r="1275" ht="12.75" customHeight="1">
      <c r="A1275" s="5" t="s">
        <v>4435</v>
      </c>
      <c r="B1275" s="5" t="s">
        <v>4436</v>
      </c>
      <c r="C1275" s="5" t="s">
        <v>4437</v>
      </c>
      <c r="D1275" s="5" t="s">
        <v>30</v>
      </c>
      <c r="E1275" s="5" t="s">
        <v>42</v>
      </c>
      <c r="F1275" s="5" t="s">
        <v>974</v>
      </c>
      <c r="G1275" s="10" t="s">
        <v>72</v>
      </c>
      <c r="H1275" s="5" t="s">
        <v>4438</v>
      </c>
      <c r="I1275" s="10" t="s">
        <v>72</v>
      </c>
    </row>
    <row r="1276" ht="12.75" customHeight="1">
      <c r="A1276" s="5" t="s">
        <v>4439</v>
      </c>
      <c r="B1276" s="5" t="s">
        <v>4440</v>
      </c>
      <c r="C1276" s="5" t="s">
        <v>4441</v>
      </c>
      <c r="D1276" s="5" t="s">
        <v>34</v>
      </c>
      <c r="E1276" s="5" t="s">
        <v>42</v>
      </c>
      <c r="F1276" s="5" t="s">
        <v>732</v>
      </c>
      <c r="G1276" s="10" t="s">
        <v>72</v>
      </c>
      <c r="H1276" s="5" t="s">
        <v>4442</v>
      </c>
      <c r="K1276" s="5" t="s">
        <v>4443</v>
      </c>
      <c r="L1276" s="5" t="s">
        <v>4445</v>
      </c>
      <c r="M1276" s="5" t="s">
        <v>4445</v>
      </c>
    </row>
    <row r="1277" ht="12.75" customHeight="1">
      <c r="A1277" s="5" t="s">
        <v>4447</v>
      </c>
      <c r="B1277" s="5" t="s">
        <v>4448</v>
      </c>
      <c r="D1277" s="5" t="s">
        <v>34</v>
      </c>
      <c r="E1277" s="5" t="s">
        <v>42</v>
      </c>
      <c r="F1277" s="5" t="s">
        <v>732</v>
      </c>
      <c r="G1277" s="10" t="s">
        <v>72</v>
      </c>
      <c r="H1277" s="5" t="s">
        <v>4439</v>
      </c>
    </row>
    <row r="1278" ht="12.75" customHeight="1">
      <c r="A1278" s="5" t="s">
        <v>4449</v>
      </c>
      <c r="B1278" s="5" t="s">
        <v>4450</v>
      </c>
      <c r="D1278" s="5" t="s">
        <v>34</v>
      </c>
      <c r="E1278" s="5" t="s">
        <v>42</v>
      </c>
      <c r="F1278" s="5" t="s">
        <v>732</v>
      </c>
      <c r="G1278" s="10" t="s">
        <v>72</v>
      </c>
      <c r="H1278" s="5" t="s">
        <v>4439</v>
      </c>
      <c r="I1278" s="10" t="s">
        <v>72</v>
      </c>
    </row>
    <row r="1279" ht="12.75" customHeight="1">
      <c r="A1279" s="5" t="s">
        <v>4451</v>
      </c>
      <c r="B1279" s="5" t="s">
        <v>4452</v>
      </c>
      <c r="D1279" s="5" t="s">
        <v>34</v>
      </c>
      <c r="E1279" s="5" t="s">
        <v>35</v>
      </c>
      <c r="F1279" s="5" t="s">
        <v>868</v>
      </c>
      <c r="G1279" s="10" t="s">
        <v>72</v>
      </c>
      <c r="H1279" s="5" t="s">
        <v>4455</v>
      </c>
    </row>
    <row r="1280" ht="12.75" customHeight="1">
      <c r="A1280" s="5" t="s">
        <v>4455</v>
      </c>
      <c r="B1280" s="5" t="s">
        <v>4456</v>
      </c>
      <c r="D1280" s="5" t="s">
        <v>34</v>
      </c>
      <c r="E1280" s="5" t="s">
        <v>42</v>
      </c>
      <c r="F1280" s="5" t="s">
        <v>732</v>
      </c>
      <c r="G1280" s="10" t="s">
        <v>72</v>
      </c>
      <c r="H1280" s="5" t="s">
        <v>4439</v>
      </c>
      <c r="I1280" s="10" t="s">
        <v>72</v>
      </c>
      <c r="K1280" s="5" t="s">
        <v>4451</v>
      </c>
    </row>
    <row r="1281" ht="12.75" customHeight="1">
      <c r="A1281" s="5" t="s">
        <v>4457</v>
      </c>
      <c r="B1281" s="5" t="s">
        <v>4458</v>
      </c>
      <c r="D1281" s="5" t="s">
        <v>34</v>
      </c>
      <c r="E1281" s="5" t="s">
        <v>35</v>
      </c>
      <c r="F1281" s="5" t="s">
        <v>619</v>
      </c>
      <c r="G1281" s="10" t="s">
        <v>72</v>
      </c>
      <c r="H1281" s="5" t="s">
        <v>4459</v>
      </c>
    </row>
    <row r="1282" ht="12.75" customHeight="1">
      <c r="A1282" s="5" t="s">
        <v>4459</v>
      </c>
      <c r="B1282" s="5" t="s">
        <v>4461</v>
      </c>
      <c r="D1282" s="5" t="s">
        <v>34</v>
      </c>
      <c r="E1282" s="5" t="s">
        <v>42</v>
      </c>
      <c r="F1282" s="5" t="s">
        <v>732</v>
      </c>
      <c r="G1282" s="10" t="s">
        <v>72</v>
      </c>
      <c r="H1282" s="5" t="s">
        <v>4439</v>
      </c>
      <c r="I1282" s="10" t="s">
        <v>72</v>
      </c>
      <c r="K1282" s="5" t="s">
        <v>4457</v>
      </c>
    </row>
    <row r="1283" ht="12.75" customHeight="1">
      <c r="A1283" s="5" t="s">
        <v>4463</v>
      </c>
      <c r="B1283" s="5" t="s">
        <v>4464</v>
      </c>
      <c r="C1283" s="5" t="s">
        <v>4465</v>
      </c>
      <c r="D1283" s="5" t="s">
        <v>74</v>
      </c>
      <c r="E1283" s="5" t="s">
        <v>42</v>
      </c>
      <c r="F1283" s="5" t="s">
        <v>572</v>
      </c>
      <c r="H1283" s="5" t="s">
        <v>4289</v>
      </c>
      <c r="I1283" s="10" t="s">
        <v>72</v>
      </c>
    </row>
    <row r="1284" ht="12.75" customHeight="1">
      <c r="A1284" s="5" t="s">
        <v>4466</v>
      </c>
      <c r="B1284" s="5" t="s">
        <v>4467</v>
      </c>
      <c r="C1284" s="5" t="s">
        <v>4468</v>
      </c>
      <c r="D1284" s="5" t="s">
        <v>74</v>
      </c>
      <c r="E1284" s="5" t="s">
        <v>42</v>
      </c>
      <c r="F1284" s="5" t="s">
        <v>445</v>
      </c>
    </row>
    <row r="1285" ht="12.75" customHeight="1">
      <c r="A1285" s="5" t="s">
        <v>4469</v>
      </c>
      <c r="B1285" s="5" t="s">
        <v>4470</v>
      </c>
      <c r="C1285" s="5" t="s">
        <v>4471</v>
      </c>
      <c r="D1285" s="5" t="s">
        <v>74</v>
      </c>
      <c r="E1285" s="5" t="s">
        <v>35</v>
      </c>
      <c r="F1285" s="5" t="s">
        <v>267</v>
      </c>
    </row>
    <row r="1286" ht="12.75" customHeight="1">
      <c r="A1286" s="5" t="s">
        <v>4474</v>
      </c>
      <c r="B1286" s="5" t="s">
        <v>4475</v>
      </c>
      <c r="C1286" s="5" t="s">
        <v>4476</v>
      </c>
      <c r="D1286" s="5" t="s">
        <v>74</v>
      </c>
      <c r="E1286" s="5" t="s">
        <v>35</v>
      </c>
      <c r="F1286" s="5" t="s">
        <v>267</v>
      </c>
    </row>
    <row r="1287" ht="12.75" customHeight="1">
      <c r="A1287" s="5" t="s">
        <v>4477</v>
      </c>
      <c r="B1287" s="5" t="s">
        <v>4478</v>
      </c>
      <c r="C1287" s="5" t="s">
        <v>4479</v>
      </c>
      <c r="D1287" s="5" t="s">
        <v>34</v>
      </c>
      <c r="E1287" s="5" t="s">
        <v>42</v>
      </c>
      <c r="F1287" s="5" t="s">
        <v>1753</v>
      </c>
      <c r="H1287" s="5" t="s">
        <v>4480</v>
      </c>
    </row>
    <row r="1288" ht="12.75" customHeight="1">
      <c r="A1288" s="5" t="s">
        <v>4481</v>
      </c>
      <c r="B1288" s="5" t="s">
        <v>4482</v>
      </c>
      <c r="C1288" s="5" t="s">
        <v>4483</v>
      </c>
      <c r="D1288" s="5" t="s">
        <v>55</v>
      </c>
      <c r="E1288" s="5" t="s">
        <v>42</v>
      </c>
      <c r="F1288" s="5" t="s">
        <v>4107</v>
      </c>
      <c r="H1288" s="5" t="s">
        <v>1153</v>
      </c>
    </row>
    <row r="1289" ht="12.75" customHeight="1">
      <c r="A1289" s="5" t="s">
        <v>4486</v>
      </c>
      <c r="B1289" s="5" t="s">
        <v>4487</v>
      </c>
      <c r="C1289" s="5" t="s">
        <v>4488</v>
      </c>
      <c r="D1289" s="5" t="s">
        <v>34</v>
      </c>
      <c r="E1289" s="5" t="s">
        <v>35</v>
      </c>
      <c r="F1289" s="5" t="s">
        <v>913</v>
      </c>
      <c r="G1289" s="10" t="s">
        <v>72</v>
      </c>
    </row>
    <row r="1290" ht="12.75" customHeight="1">
      <c r="A1290" s="5" t="s">
        <v>4489</v>
      </c>
      <c r="B1290" s="10" t="s">
        <v>4490</v>
      </c>
      <c r="D1290" s="5" t="s">
        <v>34</v>
      </c>
      <c r="E1290" s="5" t="s">
        <v>42</v>
      </c>
      <c r="F1290" s="5" t="s">
        <v>199</v>
      </c>
      <c r="H1290" s="5" t="s">
        <v>4491</v>
      </c>
      <c r="I1290" s="10" t="s">
        <v>72</v>
      </c>
    </row>
    <row r="1291" ht="12.75" customHeight="1">
      <c r="A1291" s="5" t="s">
        <v>4492</v>
      </c>
      <c r="B1291" s="10" t="s">
        <v>4493</v>
      </c>
      <c r="D1291" s="5" t="s">
        <v>94</v>
      </c>
      <c r="E1291" s="5" t="s">
        <v>42</v>
      </c>
      <c r="F1291" s="5" t="s">
        <v>454</v>
      </c>
      <c r="G1291" s="10" t="s">
        <v>72</v>
      </c>
    </row>
    <row r="1292" ht="12.75" customHeight="1">
      <c r="A1292" s="5" t="s">
        <v>4495</v>
      </c>
      <c r="B1292" s="5" t="s">
        <v>4497</v>
      </c>
      <c r="C1292" s="5" t="s">
        <v>4498</v>
      </c>
      <c r="D1292" s="5" t="s">
        <v>34</v>
      </c>
      <c r="E1292" s="5" t="s">
        <v>42</v>
      </c>
      <c r="F1292" s="5" t="s">
        <v>572</v>
      </c>
      <c r="H1292" s="5" t="s">
        <v>916</v>
      </c>
      <c r="I1292" s="10" t="s">
        <v>72</v>
      </c>
    </row>
    <row r="1293" ht="12.75" customHeight="1">
      <c r="A1293" s="5" t="s">
        <v>4499</v>
      </c>
      <c r="B1293" s="5" t="s">
        <v>4500</v>
      </c>
      <c r="D1293" s="5" t="s">
        <v>22</v>
      </c>
      <c r="E1293" s="5" t="s">
        <v>35</v>
      </c>
      <c r="F1293" s="5" t="s">
        <v>913</v>
      </c>
      <c r="H1293" s="5" t="s">
        <v>4501</v>
      </c>
    </row>
    <row r="1294" ht="12.75" customHeight="1">
      <c r="A1294" s="5" t="s">
        <v>4502</v>
      </c>
      <c r="B1294" s="5" t="s">
        <v>4503</v>
      </c>
      <c r="D1294" s="5" t="s">
        <v>34</v>
      </c>
      <c r="E1294" s="5" t="s">
        <v>42</v>
      </c>
      <c r="F1294" s="5" t="s">
        <v>228</v>
      </c>
      <c r="G1294" s="10" t="s">
        <v>72</v>
      </c>
      <c r="H1294" s="5" t="s">
        <v>4505</v>
      </c>
      <c r="I1294" s="10" t="s">
        <v>72</v>
      </c>
      <c r="L1294" s="5" t="s">
        <v>4506</v>
      </c>
      <c r="M1294" s="5" t="s">
        <v>4506</v>
      </c>
    </row>
    <row r="1295" ht="12.75" customHeight="1">
      <c r="A1295" s="5" t="s">
        <v>4506</v>
      </c>
      <c r="B1295" s="5" t="s">
        <v>4508</v>
      </c>
      <c r="D1295" s="5" t="s">
        <v>34</v>
      </c>
      <c r="E1295" s="5" t="s">
        <v>42</v>
      </c>
      <c r="F1295" s="5" t="s">
        <v>228</v>
      </c>
      <c r="G1295" s="10" t="s">
        <v>72</v>
      </c>
      <c r="H1295" s="5" t="s">
        <v>4502</v>
      </c>
      <c r="I1295" s="10" t="s">
        <v>72</v>
      </c>
    </row>
    <row r="1296" ht="12.75" customHeight="1">
      <c r="A1296" s="5" t="s">
        <v>4509</v>
      </c>
      <c r="B1296" s="5" t="s">
        <v>4510</v>
      </c>
      <c r="D1296" s="5" t="s">
        <v>34</v>
      </c>
      <c r="E1296" s="5" t="s">
        <v>42</v>
      </c>
      <c r="F1296" s="5" t="s">
        <v>167</v>
      </c>
      <c r="G1296" s="10" t="s">
        <v>72</v>
      </c>
      <c r="H1296" s="5" t="s">
        <v>2876</v>
      </c>
      <c r="I1296" s="10" t="s">
        <v>72</v>
      </c>
      <c r="L1296" s="5" t="s">
        <v>4511</v>
      </c>
      <c r="M1296" s="5" t="s">
        <v>4511</v>
      </c>
    </row>
    <row r="1297" ht="12.75" customHeight="1">
      <c r="A1297" s="5" t="s">
        <v>4511</v>
      </c>
      <c r="B1297" s="5" t="s">
        <v>4513</v>
      </c>
      <c r="D1297" s="5" t="s">
        <v>34</v>
      </c>
      <c r="E1297" s="5" t="s">
        <v>42</v>
      </c>
      <c r="F1297" s="5" t="s">
        <v>167</v>
      </c>
      <c r="G1297" s="10" t="s">
        <v>72</v>
      </c>
      <c r="H1297" s="5" t="s">
        <v>4509</v>
      </c>
      <c r="I1297" s="10" t="s">
        <v>72</v>
      </c>
    </row>
    <row r="1298" ht="12.75" customHeight="1">
      <c r="A1298" s="5" t="s">
        <v>4515</v>
      </c>
      <c r="B1298" s="5" t="s">
        <v>4516</v>
      </c>
      <c r="D1298" s="5" t="s">
        <v>34</v>
      </c>
      <c r="E1298" s="5" t="s">
        <v>42</v>
      </c>
      <c r="F1298" s="5" t="s">
        <v>599</v>
      </c>
      <c r="G1298" s="10" t="s">
        <v>72</v>
      </c>
      <c r="H1298" s="5" t="s">
        <v>4517</v>
      </c>
      <c r="I1298" s="10" t="s">
        <v>72</v>
      </c>
      <c r="L1298" s="5" t="s">
        <v>4518</v>
      </c>
      <c r="M1298" s="5" t="s">
        <v>4518</v>
      </c>
    </row>
    <row r="1299" ht="12.75" customHeight="1">
      <c r="A1299" s="5" t="s">
        <v>4518</v>
      </c>
      <c r="B1299" s="5" t="s">
        <v>4519</v>
      </c>
      <c r="D1299" s="5" t="s">
        <v>34</v>
      </c>
      <c r="E1299" s="5" t="s">
        <v>42</v>
      </c>
      <c r="F1299" s="5" t="s">
        <v>599</v>
      </c>
      <c r="G1299" s="10" t="s">
        <v>72</v>
      </c>
      <c r="H1299" s="5" t="s">
        <v>4515</v>
      </c>
      <c r="I1299" s="10" t="s">
        <v>72</v>
      </c>
    </row>
    <row r="1300" ht="12.75" customHeight="1">
      <c r="A1300" s="5" t="s">
        <v>4522</v>
      </c>
      <c r="B1300" s="5" t="s">
        <v>4523</v>
      </c>
      <c r="D1300" s="5" t="s">
        <v>34</v>
      </c>
      <c r="E1300" s="5" t="s">
        <v>42</v>
      </c>
      <c r="F1300" s="5" t="s">
        <v>199</v>
      </c>
      <c r="G1300" s="10" t="s">
        <v>72</v>
      </c>
      <c r="H1300" s="5" t="s">
        <v>2956</v>
      </c>
      <c r="I1300" s="10" t="s">
        <v>72</v>
      </c>
      <c r="L1300" s="5" t="s">
        <v>4524</v>
      </c>
      <c r="M1300" s="5" t="s">
        <v>4524</v>
      </c>
    </row>
    <row r="1301" ht="12.75" customHeight="1">
      <c r="A1301" s="5" t="s">
        <v>4525</v>
      </c>
      <c r="B1301" s="5" t="s">
        <v>4526</v>
      </c>
      <c r="D1301" s="5" t="s">
        <v>34</v>
      </c>
      <c r="E1301" s="5" t="s">
        <v>42</v>
      </c>
      <c r="F1301" s="5" t="s">
        <v>199</v>
      </c>
      <c r="G1301" s="10" t="s">
        <v>72</v>
      </c>
      <c r="H1301" s="5" t="s">
        <v>4522</v>
      </c>
      <c r="I1301" s="10" t="s">
        <v>72</v>
      </c>
    </row>
    <row r="1302" ht="12.75" customHeight="1">
      <c r="A1302" s="5" t="s">
        <v>4527</v>
      </c>
      <c r="B1302" s="5" t="s">
        <v>4528</v>
      </c>
      <c r="D1302" s="5" t="s">
        <v>34</v>
      </c>
      <c r="E1302" s="5" t="s">
        <v>42</v>
      </c>
      <c r="F1302" s="5" t="s">
        <v>199</v>
      </c>
      <c r="G1302" s="10" t="s">
        <v>72</v>
      </c>
      <c r="H1302" s="5" t="s">
        <v>4522</v>
      </c>
      <c r="I1302" s="10" t="s">
        <v>72</v>
      </c>
    </row>
    <row r="1303" ht="12.75" customHeight="1">
      <c r="A1303" s="5" t="s">
        <v>4531</v>
      </c>
      <c r="B1303" s="5" t="s">
        <v>4532</v>
      </c>
      <c r="C1303" s="5" t="s">
        <v>4533</v>
      </c>
      <c r="D1303" s="5" t="s">
        <v>34</v>
      </c>
      <c r="E1303" s="5" t="s">
        <v>42</v>
      </c>
      <c r="F1303" s="5" t="s">
        <v>572</v>
      </c>
      <c r="H1303" s="5" t="s">
        <v>916</v>
      </c>
      <c r="I1303" s="10" t="s">
        <v>72</v>
      </c>
    </row>
    <row r="1304" ht="12.75" customHeight="1">
      <c r="A1304" s="5" t="s">
        <v>4534</v>
      </c>
      <c r="B1304" s="5" t="s">
        <v>4535</v>
      </c>
      <c r="C1304" s="5" t="s">
        <v>4536</v>
      </c>
      <c r="D1304" s="5" t="s">
        <v>50</v>
      </c>
      <c r="E1304" s="5" t="s">
        <v>35</v>
      </c>
      <c r="F1304" s="5" t="s">
        <v>605</v>
      </c>
      <c r="H1304" s="5" t="s">
        <v>4538</v>
      </c>
      <c r="I1304" s="10" t="s">
        <v>72</v>
      </c>
    </row>
    <row r="1305" ht="12.75" customHeight="1">
      <c r="A1305" s="5" t="s">
        <v>4540</v>
      </c>
      <c r="B1305" s="5" t="s">
        <v>4541</v>
      </c>
      <c r="C1305" s="5" t="s">
        <v>4542</v>
      </c>
      <c r="D1305" s="5" t="s">
        <v>50</v>
      </c>
      <c r="E1305" s="5" t="s">
        <v>42</v>
      </c>
      <c r="F1305" s="5" t="s">
        <v>657</v>
      </c>
      <c r="H1305" s="5" t="s">
        <v>2095</v>
      </c>
      <c r="I1305" s="10" t="s">
        <v>72</v>
      </c>
    </row>
    <row r="1306" ht="12.75" customHeight="1">
      <c r="A1306" s="5" t="s">
        <v>4543</v>
      </c>
      <c r="B1306" s="5" t="s">
        <v>4544</v>
      </c>
      <c r="C1306" s="5" t="s">
        <v>4545</v>
      </c>
      <c r="D1306" s="5" t="s">
        <v>50</v>
      </c>
      <c r="E1306" s="5" t="s">
        <v>35</v>
      </c>
      <c r="F1306" s="5" t="s">
        <v>110</v>
      </c>
    </row>
    <row r="1307" ht="12.75" customHeight="1">
      <c r="A1307" s="5" t="s">
        <v>4546</v>
      </c>
      <c r="B1307" s="5" t="s">
        <v>4547</v>
      </c>
      <c r="C1307" s="5" t="s">
        <v>4548</v>
      </c>
      <c r="D1307" s="5" t="s">
        <v>124</v>
      </c>
      <c r="E1307" s="5" t="s">
        <v>42</v>
      </c>
      <c r="F1307" s="5" t="s">
        <v>4550</v>
      </c>
      <c r="H1307" s="5" t="s">
        <v>4548</v>
      </c>
      <c r="I1307" s="10" t="s">
        <v>72</v>
      </c>
    </row>
    <row r="1308" ht="12.75" customHeight="1">
      <c r="A1308" s="5" t="s">
        <v>4552</v>
      </c>
      <c r="B1308" s="5" t="s">
        <v>4553</v>
      </c>
      <c r="C1308" s="5" t="s">
        <v>4554</v>
      </c>
      <c r="D1308" s="5" t="s">
        <v>38</v>
      </c>
      <c r="E1308" s="5" t="s">
        <v>42</v>
      </c>
      <c r="F1308" s="5" t="s">
        <v>572</v>
      </c>
      <c r="G1308" s="10" t="s">
        <v>72</v>
      </c>
      <c r="L1308" s="5" t="s">
        <v>4555</v>
      </c>
      <c r="M1308" s="5" t="s">
        <v>4555</v>
      </c>
    </row>
    <row r="1309" ht="12.75" customHeight="1">
      <c r="A1309" s="5" t="s">
        <v>4556</v>
      </c>
      <c r="B1309" s="5" t="s">
        <v>4557</v>
      </c>
      <c r="C1309" s="5" t="s">
        <v>4558</v>
      </c>
      <c r="D1309" s="5" t="s">
        <v>12</v>
      </c>
      <c r="E1309" s="5" t="s">
        <v>42</v>
      </c>
      <c r="F1309" s="5" t="s">
        <v>366</v>
      </c>
      <c r="G1309" s="10" t="s">
        <v>72</v>
      </c>
    </row>
    <row r="1310" ht="12.75" customHeight="1">
      <c r="A1310" s="5" t="s">
        <v>4559</v>
      </c>
      <c r="B1310" s="5" t="s">
        <v>4560</v>
      </c>
      <c r="C1310" s="5" t="s">
        <v>4561</v>
      </c>
      <c r="D1310" s="5" t="s">
        <v>74</v>
      </c>
      <c r="E1310" s="5" t="s">
        <v>35</v>
      </c>
      <c r="F1310" s="5" t="s">
        <v>913</v>
      </c>
      <c r="G1310" s="10" t="s">
        <v>72</v>
      </c>
      <c r="H1310" s="5" t="s">
        <v>4564</v>
      </c>
    </row>
    <row r="1311" ht="12.75" customHeight="1">
      <c r="A1311" s="5" t="s">
        <v>4565</v>
      </c>
      <c r="B1311" s="5" t="s">
        <v>4566</v>
      </c>
      <c r="C1311" s="5" t="s">
        <v>4567</v>
      </c>
      <c r="D1311" s="5" t="s">
        <v>74</v>
      </c>
      <c r="E1311" s="5" t="s">
        <v>42</v>
      </c>
      <c r="F1311" s="5" t="s">
        <v>686</v>
      </c>
      <c r="G1311" s="10" t="s">
        <v>72</v>
      </c>
      <c r="H1311" s="5" t="s">
        <v>4568</v>
      </c>
    </row>
    <row r="1312" ht="12.75" customHeight="1">
      <c r="A1312" s="5" t="s">
        <v>4569</v>
      </c>
      <c r="B1312" s="5" t="s">
        <v>4570</v>
      </c>
      <c r="D1312" s="5" t="s">
        <v>50</v>
      </c>
      <c r="E1312" s="5" t="s">
        <v>42</v>
      </c>
      <c r="F1312" s="5" t="s">
        <v>162</v>
      </c>
      <c r="H1312" s="5" t="s">
        <v>4571</v>
      </c>
      <c r="I1312" s="10" t="s">
        <v>72</v>
      </c>
    </row>
    <row r="1313" ht="12.75" customHeight="1">
      <c r="A1313" s="5" t="s">
        <v>4572</v>
      </c>
      <c r="B1313" s="5" t="s">
        <v>4573</v>
      </c>
      <c r="D1313" s="5" t="s">
        <v>50</v>
      </c>
      <c r="E1313" s="5" t="s">
        <v>35</v>
      </c>
      <c r="F1313" s="5" t="s">
        <v>172</v>
      </c>
      <c r="H1313" s="5" t="s">
        <v>4575</v>
      </c>
      <c r="I1313" s="10" t="s">
        <v>72</v>
      </c>
    </row>
    <row r="1314" ht="12.75" customHeight="1">
      <c r="A1314" s="5" t="s">
        <v>4577</v>
      </c>
      <c r="B1314" s="5" t="s">
        <v>4578</v>
      </c>
      <c r="D1314" s="5" t="s">
        <v>50</v>
      </c>
      <c r="E1314" s="5" t="s">
        <v>42</v>
      </c>
      <c r="F1314" s="5" t="s">
        <v>720</v>
      </c>
      <c r="H1314" s="5" t="s">
        <v>4579</v>
      </c>
      <c r="I1314" s="10" t="s">
        <v>72</v>
      </c>
    </row>
    <row r="1315" ht="12.75" customHeight="1">
      <c r="A1315" s="5" t="s">
        <v>4580</v>
      </c>
      <c r="B1315" s="5" t="s">
        <v>4581</v>
      </c>
      <c r="D1315" s="5" t="s">
        <v>50</v>
      </c>
      <c r="E1315" s="5" t="s">
        <v>35</v>
      </c>
      <c r="F1315" s="5" t="s">
        <v>278</v>
      </c>
      <c r="H1315" s="5" t="s">
        <v>4582</v>
      </c>
      <c r="I1315" s="10" t="s">
        <v>72</v>
      </c>
    </row>
    <row r="1316" ht="12.75" customHeight="1">
      <c r="A1316" s="5" t="s">
        <v>4583</v>
      </c>
      <c r="B1316" s="5" t="s">
        <v>4584</v>
      </c>
      <c r="D1316" s="5" t="s">
        <v>50</v>
      </c>
      <c r="E1316" s="5" t="s">
        <v>42</v>
      </c>
      <c r="F1316" s="5" t="s">
        <v>445</v>
      </c>
      <c r="G1316" s="10" t="s">
        <v>72</v>
      </c>
      <c r="H1316" s="5" t="s">
        <v>4183</v>
      </c>
    </row>
    <row r="1317" ht="12.75" customHeight="1">
      <c r="A1317" s="5" t="s">
        <v>4587</v>
      </c>
      <c r="B1317" s="5" t="s">
        <v>4588</v>
      </c>
      <c r="D1317" s="5" t="s">
        <v>34</v>
      </c>
      <c r="E1317" s="5" t="s">
        <v>42</v>
      </c>
      <c r="F1317" s="5" t="s">
        <v>657</v>
      </c>
      <c r="G1317" s="10" t="s">
        <v>72</v>
      </c>
      <c r="H1317" s="5" t="s">
        <v>4589</v>
      </c>
    </row>
    <row r="1318" ht="12.75" customHeight="1">
      <c r="A1318" s="5" t="s">
        <v>4590</v>
      </c>
      <c r="B1318" s="5" t="s">
        <v>4591</v>
      </c>
      <c r="C1318" s="5" t="s">
        <v>4592</v>
      </c>
      <c r="D1318" s="5" t="s">
        <v>34</v>
      </c>
      <c r="E1318" s="5" t="s">
        <v>35</v>
      </c>
      <c r="F1318" s="5" t="s">
        <v>913</v>
      </c>
      <c r="G1318" s="10" t="s">
        <v>72</v>
      </c>
      <c r="H1318" s="5" t="s">
        <v>1166</v>
      </c>
    </row>
    <row r="1319" ht="12.75" customHeight="1">
      <c r="A1319" s="5" t="s">
        <v>4593</v>
      </c>
      <c r="B1319" s="5" t="s">
        <v>4594</v>
      </c>
      <c r="C1319" s="5" t="s">
        <v>4595</v>
      </c>
      <c r="D1319" s="5" t="s">
        <v>34</v>
      </c>
      <c r="E1319" s="5" t="s">
        <v>42</v>
      </c>
      <c r="F1319" s="5" t="s">
        <v>599</v>
      </c>
      <c r="G1319" s="10" t="s">
        <v>72</v>
      </c>
      <c r="H1319" s="5" t="s">
        <v>1166</v>
      </c>
    </row>
    <row r="1320" ht="12.75" customHeight="1">
      <c r="A1320" s="5" t="s">
        <v>4598</v>
      </c>
      <c r="B1320" s="5" t="s">
        <v>4599</v>
      </c>
      <c r="D1320" s="5" t="s">
        <v>22</v>
      </c>
      <c r="E1320" s="5" t="s">
        <v>35</v>
      </c>
      <c r="F1320" s="5" t="s">
        <v>110</v>
      </c>
      <c r="H1320" s="5" t="s">
        <v>4600</v>
      </c>
    </row>
    <row r="1321" ht="12.75" customHeight="1">
      <c r="A1321" s="5" t="s">
        <v>4601</v>
      </c>
      <c r="B1321" s="5" t="s">
        <v>4602</v>
      </c>
      <c r="D1321" s="5" t="s">
        <v>34</v>
      </c>
      <c r="E1321" s="5" t="s">
        <v>42</v>
      </c>
      <c r="F1321" s="5" t="s">
        <v>599</v>
      </c>
      <c r="G1321" s="10" t="s">
        <v>72</v>
      </c>
    </row>
    <row r="1322" ht="12.75" customHeight="1">
      <c r="A1322" s="5" t="s">
        <v>4603</v>
      </c>
      <c r="B1322" s="5" t="s">
        <v>4604</v>
      </c>
      <c r="D1322" s="5" t="s">
        <v>34</v>
      </c>
      <c r="E1322" s="5" t="s">
        <v>42</v>
      </c>
      <c r="F1322" s="5" t="s">
        <v>3665</v>
      </c>
      <c r="G1322" s="10" t="s">
        <v>72</v>
      </c>
      <c r="H1322" s="5" t="s">
        <v>1153</v>
      </c>
    </row>
    <row r="1323" ht="12.75" customHeight="1">
      <c r="A1323" s="5" t="s">
        <v>4607</v>
      </c>
      <c r="B1323" s="5" t="s">
        <v>4608</v>
      </c>
      <c r="D1323" s="5" t="s">
        <v>34</v>
      </c>
      <c r="E1323" s="5" t="s">
        <v>42</v>
      </c>
      <c r="F1323" s="5" t="s">
        <v>54</v>
      </c>
      <c r="G1323" s="10" t="s">
        <v>72</v>
      </c>
      <c r="H1323" s="5" t="s">
        <v>2227</v>
      </c>
    </row>
    <row r="1324" ht="12.75" customHeight="1">
      <c r="A1324" s="5" t="s">
        <v>4609</v>
      </c>
      <c r="B1324" s="5" t="s">
        <v>4610</v>
      </c>
      <c r="D1324" s="5" t="s">
        <v>34</v>
      </c>
      <c r="E1324" s="5" t="s">
        <v>42</v>
      </c>
      <c r="F1324" s="5" t="s">
        <v>228</v>
      </c>
      <c r="G1324" s="10" t="s">
        <v>72</v>
      </c>
    </row>
    <row r="1325" ht="12.75" customHeight="1">
      <c r="A1325" s="5" t="s">
        <v>4611</v>
      </c>
      <c r="B1325" s="5" t="s">
        <v>4612</v>
      </c>
      <c r="D1325" s="5" t="s">
        <v>22</v>
      </c>
      <c r="E1325" s="5" t="s">
        <v>42</v>
      </c>
      <c r="F1325" s="5" t="s">
        <v>720</v>
      </c>
      <c r="G1325" s="10" t="s">
        <v>72</v>
      </c>
    </row>
    <row r="1326" ht="12.75" customHeight="1">
      <c r="A1326" s="5" t="s">
        <v>4615</v>
      </c>
      <c r="B1326" s="5" t="s">
        <v>4616</v>
      </c>
      <c r="C1326" s="5" t="s">
        <v>4617</v>
      </c>
      <c r="D1326" s="5" t="s">
        <v>34</v>
      </c>
      <c r="E1326" s="5" t="s">
        <v>42</v>
      </c>
      <c r="F1326" s="5" t="s">
        <v>54</v>
      </c>
    </row>
    <row r="1327" ht="12.75" customHeight="1">
      <c r="A1327" s="5" t="s">
        <v>4618</v>
      </c>
      <c r="B1327" s="10" t="s">
        <v>4619</v>
      </c>
      <c r="C1327" s="5" t="s">
        <v>4620</v>
      </c>
      <c r="D1327" s="5" t="s">
        <v>34</v>
      </c>
      <c r="E1327" s="5" t="s">
        <v>42</v>
      </c>
      <c r="F1327" s="5" t="s">
        <v>228</v>
      </c>
    </row>
    <row r="1328" ht="12.75" customHeight="1">
      <c r="A1328" s="5" t="s">
        <v>4621</v>
      </c>
      <c r="B1328" s="5" t="s">
        <v>4622</v>
      </c>
      <c r="C1328" s="5" t="s">
        <v>4623</v>
      </c>
      <c r="D1328" s="5" t="s">
        <v>34</v>
      </c>
      <c r="E1328" s="5" t="s">
        <v>35</v>
      </c>
      <c r="F1328" s="5" t="s">
        <v>619</v>
      </c>
      <c r="H1328" s="5" t="s">
        <v>4624</v>
      </c>
    </row>
    <row r="1329" ht="12.75" customHeight="1">
      <c r="A1329" s="5" t="s">
        <v>4626</v>
      </c>
      <c r="B1329" s="5" t="s">
        <v>4628</v>
      </c>
      <c r="C1329" s="5" t="s">
        <v>4629</v>
      </c>
      <c r="D1329" s="5" t="s">
        <v>34</v>
      </c>
      <c r="E1329" s="5" t="s">
        <v>35</v>
      </c>
      <c r="F1329" s="5" t="s">
        <v>4630</v>
      </c>
      <c r="H1329" s="5" t="s">
        <v>119</v>
      </c>
      <c r="I1329" s="10" t="s">
        <v>72</v>
      </c>
    </row>
    <row r="1330" ht="12.75" customHeight="1">
      <c r="A1330" s="5" t="s">
        <v>4631</v>
      </c>
      <c r="B1330" s="5" t="s">
        <v>4632</v>
      </c>
      <c r="C1330" s="5" t="s">
        <v>4633</v>
      </c>
      <c r="D1330" s="5" t="s">
        <v>34</v>
      </c>
      <c r="E1330" s="5" t="s">
        <v>42</v>
      </c>
      <c r="F1330" s="5" t="s">
        <v>572</v>
      </c>
      <c r="H1330" s="5" t="s">
        <v>2862</v>
      </c>
      <c r="I1330" s="10" t="s">
        <v>72</v>
      </c>
    </row>
    <row r="1331" ht="12.75" customHeight="1">
      <c r="A1331" s="5" t="s">
        <v>4634</v>
      </c>
      <c r="B1331" s="5" t="s">
        <v>4635</v>
      </c>
      <c r="D1331" s="5" t="s">
        <v>132</v>
      </c>
      <c r="E1331" s="5" t="s">
        <v>42</v>
      </c>
      <c r="F1331" s="5" t="s">
        <v>454</v>
      </c>
      <c r="G1331" s="10" t="s">
        <v>72</v>
      </c>
      <c r="H1331" s="5" t="s">
        <v>2604</v>
      </c>
    </row>
    <row r="1332" ht="12.75" customHeight="1">
      <c r="A1332" s="5" t="s">
        <v>4638</v>
      </c>
      <c r="B1332" s="5" t="s">
        <v>4639</v>
      </c>
      <c r="C1332" s="5" t="s">
        <v>4640</v>
      </c>
      <c r="D1332" s="5" t="s">
        <v>50</v>
      </c>
      <c r="E1332" s="5" t="s">
        <v>35</v>
      </c>
      <c r="F1332" s="5" t="s">
        <v>605</v>
      </c>
      <c r="H1332" s="5" t="s">
        <v>4641</v>
      </c>
      <c r="I1332" s="10" t="s">
        <v>72</v>
      </c>
    </row>
    <row r="1333" ht="12.75" customHeight="1">
      <c r="A1333" s="5" t="s">
        <v>4642</v>
      </c>
      <c r="B1333" s="5" t="s">
        <v>4643</v>
      </c>
      <c r="C1333" s="5" t="s">
        <v>4640</v>
      </c>
      <c r="D1333" s="5" t="s">
        <v>50</v>
      </c>
      <c r="E1333" s="5" t="s">
        <v>42</v>
      </c>
      <c r="F1333" s="5" t="s">
        <v>113</v>
      </c>
      <c r="H1333" s="5" t="s">
        <v>4644</v>
      </c>
      <c r="I1333" s="10" t="s">
        <v>72</v>
      </c>
    </row>
    <row r="1334" ht="12.75" customHeight="1">
      <c r="A1334" s="5" t="s">
        <v>4645</v>
      </c>
      <c r="B1334" s="5" t="s">
        <v>4647</v>
      </c>
      <c r="C1334" s="5" t="s">
        <v>4648</v>
      </c>
      <c r="D1334" s="5" t="s">
        <v>50</v>
      </c>
      <c r="E1334" s="5" t="s">
        <v>42</v>
      </c>
      <c r="F1334" s="5" t="s">
        <v>400</v>
      </c>
    </row>
    <row r="1335" ht="12.75" customHeight="1">
      <c r="A1335" s="5" t="s">
        <v>4650</v>
      </c>
      <c r="B1335" s="10" t="s">
        <v>4651</v>
      </c>
      <c r="C1335" s="5" t="s">
        <v>4652</v>
      </c>
      <c r="D1335" s="5" t="s">
        <v>22</v>
      </c>
      <c r="E1335" s="5" t="s">
        <v>42</v>
      </c>
      <c r="F1335" s="5" t="s">
        <v>637</v>
      </c>
      <c r="H1335" s="5" t="s">
        <v>4653</v>
      </c>
      <c r="I1335" s="10" t="s">
        <v>72</v>
      </c>
    </row>
    <row r="1336" ht="12.75" customHeight="1">
      <c r="A1336" s="5" t="s">
        <v>4654</v>
      </c>
      <c r="B1336" s="5" t="s">
        <v>4655</v>
      </c>
      <c r="C1336" s="5" t="s">
        <v>4656</v>
      </c>
      <c r="D1336" s="5" t="s">
        <v>22</v>
      </c>
      <c r="E1336" s="5" t="s">
        <v>42</v>
      </c>
      <c r="F1336" s="5" t="s">
        <v>637</v>
      </c>
      <c r="H1336" s="5" t="s">
        <v>4653</v>
      </c>
      <c r="I1336" s="10" t="s">
        <v>72</v>
      </c>
    </row>
    <row r="1337" ht="12.75" customHeight="1">
      <c r="A1337" s="5" t="s">
        <v>4657</v>
      </c>
      <c r="B1337" s="10" t="s">
        <v>4659</v>
      </c>
      <c r="C1337" s="5" t="s">
        <v>4660</v>
      </c>
      <c r="D1337" s="5" t="s">
        <v>22</v>
      </c>
      <c r="E1337" s="5" t="s">
        <v>42</v>
      </c>
      <c r="F1337" s="5" t="s">
        <v>637</v>
      </c>
      <c r="H1337" s="5" t="s">
        <v>4653</v>
      </c>
      <c r="I1337" s="10" t="s">
        <v>72</v>
      </c>
    </row>
    <row r="1338" ht="12.75" customHeight="1">
      <c r="A1338" s="5" t="s">
        <v>4662</v>
      </c>
      <c r="B1338" s="10" t="s">
        <v>4663</v>
      </c>
      <c r="C1338" s="5" t="s">
        <v>4664</v>
      </c>
      <c r="D1338" s="5" t="s">
        <v>22</v>
      </c>
      <c r="E1338" s="5" t="s">
        <v>42</v>
      </c>
      <c r="F1338" s="5" t="s">
        <v>637</v>
      </c>
      <c r="H1338" s="5" t="s">
        <v>4653</v>
      </c>
      <c r="I1338" s="10" t="s">
        <v>72</v>
      </c>
    </row>
    <row r="1339" ht="12.75" customHeight="1">
      <c r="A1339" s="5" t="s">
        <v>4665</v>
      </c>
      <c r="B1339" s="5" t="s">
        <v>4666</v>
      </c>
      <c r="C1339" s="5" t="s">
        <v>4667</v>
      </c>
      <c r="D1339" s="5" t="s">
        <v>34</v>
      </c>
      <c r="E1339" s="5" t="s">
        <v>42</v>
      </c>
      <c r="F1339" s="5" t="s">
        <v>167</v>
      </c>
    </row>
    <row r="1340" ht="12.75" customHeight="1">
      <c r="A1340" s="5" t="s">
        <v>4670</v>
      </c>
      <c r="B1340" s="5" t="s">
        <v>4671</v>
      </c>
      <c r="C1340" s="5" t="s">
        <v>4667</v>
      </c>
      <c r="D1340" s="5" t="s">
        <v>12</v>
      </c>
      <c r="E1340" s="5" t="s">
        <v>42</v>
      </c>
      <c r="F1340" s="5" t="s">
        <v>366</v>
      </c>
    </row>
    <row r="1341" ht="12.75" customHeight="1">
      <c r="A1341" s="5" t="s">
        <v>4672</v>
      </c>
      <c r="B1341" s="5" t="s">
        <v>4673</v>
      </c>
      <c r="C1341" s="5" t="s">
        <v>4667</v>
      </c>
      <c r="D1341" s="5" t="s">
        <v>22</v>
      </c>
      <c r="E1341" s="5" t="s">
        <v>35</v>
      </c>
      <c r="F1341" s="5" t="s">
        <v>913</v>
      </c>
    </row>
    <row r="1342" ht="12.75" customHeight="1">
      <c r="A1342" s="5" t="s">
        <v>4674</v>
      </c>
      <c r="B1342" s="5" t="s">
        <v>4675</v>
      </c>
      <c r="D1342" s="5" t="s">
        <v>80</v>
      </c>
      <c r="E1342" s="5" t="s">
        <v>42</v>
      </c>
      <c r="F1342" s="5" t="s">
        <v>1911</v>
      </c>
      <c r="H1342" s="5" t="s">
        <v>2926</v>
      </c>
      <c r="I1342" s="10" t="s">
        <v>72</v>
      </c>
    </row>
    <row r="1343" ht="12.75" customHeight="1">
      <c r="A1343" s="5" t="s">
        <v>4676</v>
      </c>
      <c r="B1343" s="5" t="s">
        <v>4678</v>
      </c>
      <c r="C1343" s="5" t="s">
        <v>4679</v>
      </c>
      <c r="D1343" s="5" t="s">
        <v>22</v>
      </c>
      <c r="E1343" s="5" t="s">
        <v>42</v>
      </c>
      <c r="F1343" s="5" t="s">
        <v>878</v>
      </c>
      <c r="H1343" s="5" t="s">
        <v>4681</v>
      </c>
    </row>
    <row r="1344" ht="12.75" customHeight="1">
      <c r="A1344" s="5" t="s">
        <v>4682</v>
      </c>
      <c r="B1344" s="5" t="s">
        <v>4683</v>
      </c>
      <c r="D1344" s="5" t="s">
        <v>34</v>
      </c>
      <c r="E1344" s="5" t="s">
        <v>42</v>
      </c>
      <c r="F1344" s="5" t="s">
        <v>637</v>
      </c>
      <c r="G1344" s="10" t="s">
        <v>72</v>
      </c>
      <c r="H1344" s="5" t="s">
        <v>2782</v>
      </c>
    </row>
    <row r="1345" ht="12.75" customHeight="1">
      <c r="A1345" s="5" t="s">
        <v>4684</v>
      </c>
      <c r="B1345" s="5" t="s">
        <v>4685</v>
      </c>
      <c r="D1345" s="5" t="s">
        <v>34</v>
      </c>
      <c r="E1345" s="5" t="s">
        <v>35</v>
      </c>
      <c r="F1345" s="5" t="s">
        <v>278</v>
      </c>
      <c r="H1345" s="5" t="s">
        <v>4686</v>
      </c>
    </row>
    <row r="1346" ht="12.75" customHeight="1">
      <c r="A1346" s="5" t="s">
        <v>4688</v>
      </c>
      <c r="B1346" s="5" t="s">
        <v>4689</v>
      </c>
      <c r="C1346" s="5" t="s">
        <v>4690</v>
      </c>
      <c r="D1346" s="5" t="s">
        <v>30</v>
      </c>
      <c r="E1346" s="5" t="s">
        <v>42</v>
      </c>
      <c r="F1346" s="5" t="s">
        <v>395</v>
      </c>
      <c r="H1346" s="5" t="s">
        <v>4692</v>
      </c>
    </row>
    <row r="1347" ht="12.75" customHeight="1">
      <c r="A1347" s="5" t="s">
        <v>4693</v>
      </c>
      <c r="B1347" s="5" t="s">
        <v>4694</v>
      </c>
      <c r="C1347" s="5" t="s">
        <v>4695</v>
      </c>
      <c r="D1347" s="5" t="s">
        <v>34</v>
      </c>
      <c r="E1347" s="5" t="s">
        <v>42</v>
      </c>
      <c r="F1347" s="5" t="s">
        <v>572</v>
      </c>
      <c r="H1347" s="5" t="s">
        <v>2862</v>
      </c>
      <c r="I1347" s="10" t="s">
        <v>72</v>
      </c>
    </row>
    <row r="1348" ht="12.75" customHeight="1">
      <c r="A1348" s="5" t="s">
        <v>4696</v>
      </c>
      <c r="B1348" s="5" t="s">
        <v>4697</v>
      </c>
      <c r="C1348" s="5" t="s">
        <v>4698</v>
      </c>
      <c r="D1348" s="5" t="s">
        <v>34</v>
      </c>
      <c r="E1348" s="5" t="s">
        <v>35</v>
      </c>
      <c r="F1348" s="5" t="s">
        <v>616</v>
      </c>
      <c r="H1348" s="5" t="s">
        <v>4624</v>
      </c>
    </row>
    <row r="1349" ht="12.75" customHeight="1">
      <c r="A1349" s="5" t="s">
        <v>4700</v>
      </c>
      <c r="B1349" s="5" t="s">
        <v>4701</v>
      </c>
      <c r="C1349" s="5" t="s">
        <v>4698</v>
      </c>
      <c r="D1349" s="5" t="s">
        <v>34</v>
      </c>
      <c r="E1349" s="5" t="s">
        <v>42</v>
      </c>
      <c r="F1349" s="5" t="s">
        <v>599</v>
      </c>
      <c r="H1349" s="5" t="s">
        <v>2306</v>
      </c>
    </row>
    <row r="1350" ht="12.75" customHeight="1">
      <c r="A1350" s="5" t="s">
        <v>4703</v>
      </c>
      <c r="B1350" s="5" t="s">
        <v>4704</v>
      </c>
      <c r="C1350" s="5" t="s">
        <v>4698</v>
      </c>
      <c r="D1350" s="5" t="s">
        <v>34</v>
      </c>
      <c r="E1350" s="5" t="s">
        <v>42</v>
      </c>
      <c r="F1350" s="5" t="s">
        <v>65</v>
      </c>
      <c r="H1350" s="5" t="s">
        <v>2306</v>
      </c>
    </row>
    <row r="1351" ht="12.75" customHeight="1">
      <c r="A1351" s="5" t="s">
        <v>4705</v>
      </c>
      <c r="B1351" s="5" t="s">
        <v>4706</v>
      </c>
      <c r="C1351" s="5" t="s">
        <v>4707</v>
      </c>
      <c r="D1351" s="5" t="s">
        <v>50</v>
      </c>
      <c r="E1351" s="5" t="s">
        <v>35</v>
      </c>
      <c r="F1351" s="5" t="s">
        <v>605</v>
      </c>
      <c r="H1351" s="5" t="s">
        <v>4641</v>
      </c>
      <c r="I1351" s="10" t="s">
        <v>72</v>
      </c>
    </row>
    <row r="1352" ht="12.75" customHeight="1">
      <c r="A1352" s="5" t="s">
        <v>4709</v>
      </c>
      <c r="B1352" s="5" t="s">
        <v>4711</v>
      </c>
      <c r="C1352" s="5" t="s">
        <v>4712</v>
      </c>
      <c r="D1352" s="5" t="s">
        <v>50</v>
      </c>
      <c r="E1352" s="5" t="s">
        <v>42</v>
      </c>
      <c r="F1352" s="5" t="s">
        <v>575</v>
      </c>
      <c r="H1352" s="5" t="s">
        <v>4644</v>
      </c>
    </row>
    <row r="1353" ht="12.75" customHeight="1">
      <c r="A1353" s="5" t="s">
        <v>4713</v>
      </c>
      <c r="B1353" s="5" t="s">
        <v>4714</v>
      </c>
      <c r="C1353" s="5" t="s">
        <v>4712</v>
      </c>
      <c r="D1353" s="5" t="s">
        <v>34</v>
      </c>
      <c r="E1353" s="5" t="s">
        <v>35</v>
      </c>
      <c r="F1353" s="5" t="s">
        <v>605</v>
      </c>
      <c r="H1353" s="5" t="s">
        <v>4624</v>
      </c>
    </row>
    <row r="1354" ht="12.75" customHeight="1">
      <c r="A1354" s="5" t="s">
        <v>4715</v>
      </c>
      <c r="B1354" s="5" t="s">
        <v>4716</v>
      </c>
      <c r="C1354" s="5" t="s">
        <v>4712</v>
      </c>
      <c r="D1354" s="5" t="s">
        <v>34</v>
      </c>
      <c r="E1354" s="5" t="s">
        <v>42</v>
      </c>
      <c r="F1354" s="5" t="s">
        <v>657</v>
      </c>
      <c r="H1354" s="5" t="s">
        <v>2306</v>
      </c>
    </row>
    <row r="1355" ht="12.75" customHeight="1">
      <c r="A1355" s="5" t="s">
        <v>4717</v>
      </c>
      <c r="B1355" s="5" t="s">
        <v>4718</v>
      </c>
      <c r="C1355" s="5" t="s">
        <v>4720</v>
      </c>
      <c r="D1355" s="5" t="s">
        <v>50</v>
      </c>
      <c r="E1355" s="5" t="s">
        <v>42</v>
      </c>
      <c r="F1355" s="5" t="s">
        <v>167</v>
      </c>
      <c r="H1355" s="5" t="s">
        <v>4644</v>
      </c>
    </row>
    <row r="1356" ht="12.75" customHeight="1">
      <c r="A1356" s="5" t="s">
        <v>4722</v>
      </c>
      <c r="B1356" s="5" t="s">
        <v>4723</v>
      </c>
      <c r="C1356" s="5" t="s">
        <v>4724</v>
      </c>
      <c r="D1356" s="5" t="s">
        <v>34</v>
      </c>
      <c r="E1356" s="5" t="s">
        <v>42</v>
      </c>
      <c r="F1356" s="5" t="s">
        <v>65</v>
      </c>
      <c r="G1356" s="10" t="s">
        <v>72</v>
      </c>
      <c r="H1356" s="5" t="s">
        <v>3610</v>
      </c>
    </row>
    <row r="1357" ht="12.75" customHeight="1">
      <c r="A1357" s="5" t="s">
        <v>4725</v>
      </c>
      <c r="B1357" s="5" t="s">
        <v>4726</v>
      </c>
      <c r="C1357" s="5" t="s">
        <v>4727</v>
      </c>
      <c r="D1357" s="5" t="s">
        <v>74</v>
      </c>
      <c r="E1357" s="5" t="s">
        <v>42</v>
      </c>
      <c r="F1357" s="5" t="s">
        <v>4728</v>
      </c>
      <c r="H1357" s="5" t="s">
        <v>4729</v>
      </c>
      <c r="I1357" s="10" t="s">
        <v>72</v>
      </c>
    </row>
    <row r="1358" ht="12.75" customHeight="1">
      <c r="A1358" s="5" t="s">
        <v>4730</v>
      </c>
      <c r="B1358" s="5" t="s">
        <v>4731</v>
      </c>
      <c r="C1358" s="5" t="s">
        <v>4732</v>
      </c>
      <c r="D1358" s="5" t="s">
        <v>38</v>
      </c>
      <c r="E1358" s="5" t="s">
        <v>35</v>
      </c>
      <c r="F1358" s="5" t="s">
        <v>4734</v>
      </c>
      <c r="G1358" s="10" t="s">
        <v>72</v>
      </c>
      <c r="H1358" s="5" t="s">
        <v>4735</v>
      </c>
    </row>
    <row r="1359" ht="12.75" customHeight="1">
      <c r="A1359" s="5" t="s">
        <v>4737</v>
      </c>
      <c r="B1359" s="5" t="s">
        <v>4738</v>
      </c>
      <c r="C1359" s="5" t="s">
        <v>4739</v>
      </c>
      <c r="D1359" s="5" t="s">
        <v>30</v>
      </c>
      <c r="E1359" s="5" t="s">
        <v>35</v>
      </c>
      <c r="F1359" s="5" t="s">
        <v>1831</v>
      </c>
      <c r="H1359" s="5" t="s">
        <v>2945</v>
      </c>
      <c r="I1359" s="10" t="s">
        <v>72</v>
      </c>
    </row>
    <row r="1360" ht="12.75" customHeight="1">
      <c r="A1360" s="5" t="s">
        <v>4740</v>
      </c>
      <c r="B1360" s="5" t="s">
        <v>4741</v>
      </c>
      <c r="C1360" s="5" t="s">
        <v>4742</v>
      </c>
      <c r="D1360" s="5" t="s">
        <v>34</v>
      </c>
      <c r="E1360" s="5" t="s">
        <v>42</v>
      </c>
      <c r="F1360" s="5" t="s">
        <v>3665</v>
      </c>
      <c r="G1360" s="10" t="s">
        <v>72</v>
      </c>
    </row>
    <row r="1361" ht="12.75" customHeight="1">
      <c r="A1361" s="5" t="s">
        <v>4743</v>
      </c>
      <c r="B1361" s="5" t="s">
        <v>4744</v>
      </c>
      <c r="D1361" s="5" t="s">
        <v>67</v>
      </c>
      <c r="E1361" s="5" t="s">
        <v>42</v>
      </c>
      <c r="F1361" s="5" t="s">
        <v>1308</v>
      </c>
      <c r="H1361" s="5" t="s">
        <v>4745</v>
      </c>
      <c r="I1361" s="10" t="s">
        <v>72</v>
      </c>
    </row>
    <row r="1362" ht="12.75" customHeight="1">
      <c r="A1362" s="5" t="s">
        <v>4747</v>
      </c>
      <c r="B1362" s="5" t="s">
        <v>4749</v>
      </c>
      <c r="C1362" s="5" t="s">
        <v>4750</v>
      </c>
      <c r="D1362" s="5" t="s">
        <v>50</v>
      </c>
      <c r="E1362" s="5" t="s">
        <v>42</v>
      </c>
      <c r="F1362" s="5" t="s">
        <v>672</v>
      </c>
      <c r="G1362" s="10" t="s">
        <v>72</v>
      </c>
      <c r="H1362" s="5" t="s">
        <v>4751</v>
      </c>
    </row>
    <row r="1363" ht="12.75" customHeight="1">
      <c r="A1363" s="5" t="s">
        <v>4752</v>
      </c>
      <c r="B1363" s="5" t="s">
        <v>4753</v>
      </c>
      <c r="C1363" s="5" t="s">
        <v>2242</v>
      </c>
      <c r="D1363" s="5" t="s">
        <v>50</v>
      </c>
      <c r="E1363" s="5" t="s">
        <v>42</v>
      </c>
      <c r="F1363" s="5" t="s">
        <v>657</v>
      </c>
      <c r="H1363" s="5" t="s">
        <v>2243</v>
      </c>
      <c r="I1363" s="10" t="s">
        <v>72</v>
      </c>
    </row>
    <row r="1364" ht="12.75" customHeight="1">
      <c r="A1364" s="5" t="s">
        <v>4754</v>
      </c>
      <c r="B1364" s="5" t="s">
        <v>4755</v>
      </c>
      <c r="C1364" s="5" t="s">
        <v>4756</v>
      </c>
      <c r="D1364" s="5" t="s">
        <v>22</v>
      </c>
      <c r="E1364" s="5" t="s">
        <v>42</v>
      </c>
      <c r="F1364" s="5" t="s">
        <v>720</v>
      </c>
      <c r="H1364" s="5" t="s">
        <v>4758</v>
      </c>
    </row>
    <row r="1365" ht="12.75" customHeight="1">
      <c r="A1365" s="5" t="s">
        <v>4760</v>
      </c>
      <c r="B1365" s="5" t="s">
        <v>4761</v>
      </c>
      <c r="C1365" s="5" t="s">
        <v>2242</v>
      </c>
      <c r="D1365" s="5" t="s">
        <v>67</v>
      </c>
      <c r="E1365" s="5" t="s">
        <v>42</v>
      </c>
      <c r="F1365" s="5" t="s">
        <v>1308</v>
      </c>
      <c r="H1365" s="5" t="s">
        <v>4285</v>
      </c>
      <c r="I1365" s="10" t="s">
        <v>72</v>
      </c>
    </row>
    <row r="1366" ht="12.75" customHeight="1">
      <c r="A1366" s="5" t="s">
        <v>4762</v>
      </c>
      <c r="B1366" s="5" t="s">
        <v>4763</v>
      </c>
      <c r="C1366" s="5" t="s">
        <v>4764</v>
      </c>
      <c r="D1366" s="5" t="s">
        <v>50</v>
      </c>
      <c r="E1366" s="5" t="s">
        <v>42</v>
      </c>
      <c r="F1366" s="5" t="s">
        <v>162</v>
      </c>
      <c r="H1366" s="5" t="s">
        <v>4571</v>
      </c>
      <c r="I1366" s="10" t="s">
        <v>72</v>
      </c>
    </row>
    <row r="1367" ht="12.75" customHeight="1">
      <c r="A1367" s="5" t="s">
        <v>4491</v>
      </c>
      <c r="B1367" s="5" t="s">
        <v>4765</v>
      </c>
      <c r="C1367" s="5" t="s">
        <v>2242</v>
      </c>
      <c r="D1367" s="5" t="s">
        <v>34</v>
      </c>
      <c r="E1367" s="5" t="s">
        <v>42</v>
      </c>
      <c r="F1367" s="5" t="s">
        <v>199</v>
      </c>
      <c r="H1367" s="5" t="s">
        <v>4767</v>
      </c>
      <c r="L1367" s="5" t="s">
        <v>4489</v>
      </c>
    </row>
    <row r="1368" ht="12.75" customHeight="1">
      <c r="A1368" s="5" t="s">
        <v>4769</v>
      </c>
      <c r="B1368" s="5" t="s">
        <v>4770</v>
      </c>
      <c r="C1368" s="5" t="s">
        <v>4771</v>
      </c>
      <c r="D1368" s="5" t="s">
        <v>67</v>
      </c>
      <c r="E1368" s="5" t="s">
        <v>42</v>
      </c>
      <c r="F1368" s="5" t="s">
        <v>1308</v>
      </c>
      <c r="H1368" s="5" t="s">
        <v>1297</v>
      </c>
      <c r="I1368" s="10" t="s">
        <v>72</v>
      </c>
    </row>
    <row r="1369" ht="12.75" customHeight="1">
      <c r="A1369" s="5" t="s">
        <v>4772</v>
      </c>
      <c r="B1369" s="5" t="s">
        <v>4773</v>
      </c>
      <c r="C1369" s="5" t="s">
        <v>4774</v>
      </c>
      <c r="D1369" s="5" t="s">
        <v>34</v>
      </c>
      <c r="E1369" s="5" t="s">
        <v>42</v>
      </c>
      <c r="F1369" s="5" t="s">
        <v>572</v>
      </c>
      <c r="G1369" s="10" t="s">
        <v>72</v>
      </c>
      <c r="H1369" s="5" t="s">
        <v>4775</v>
      </c>
    </row>
    <row r="1370" ht="12.75" customHeight="1">
      <c r="A1370" s="5" t="s">
        <v>4776</v>
      </c>
      <c r="B1370" s="5" t="s">
        <v>4777</v>
      </c>
      <c r="C1370" s="5" t="s">
        <v>691</v>
      </c>
      <c r="D1370" s="5" t="s">
        <v>34</v>
      </c>
      <c r="E1370" s="5" t="s">
        <v>42</v>
      </c>
      <c r="F1370" s="5" t="s">
        <v>672</v>
      </c>
    </row>
    <row r="1371" ht="12.75" customHeight="1">
      <c r="A1371" s="5" t="s">
        <v>4780</v>
      </c>
      <c r="B1371" s="5" t="s">
        <v>4781</v>
      </c>
      <c r="D1371" s="5" t="s">
        <v>67</v>
      </c>
      <c r="E1371" s="5" t="s">
        <v>42</v>
      </c>
      <c r="F1371" s="5" t="s">
        <v>4782</v>
      </c>
      <c r="G1371" s="10" t="s">
        <v>72</v>
      </c>
      <c r="H1371" s="5" t="s">
        <v>2150</v>
      </c>
    </row>
    <row r="1372" ht="12.75" customHeight="1">
      <c r="A1372" s="5" t="s">
        <v>4783</v>
      </c>
      <c r="B1372" s="5" t="s">
        <v>4784</v>
      </c>
      <c r="C1372" s="5" t="s">
        <v>4785</v>
      </c>
      <c r="D1372" s="5" t="s">
        <v>30</v>
      </c>
      <c r="E1372" s="5" t="s">
        <v>35</v>
      </c>
      <c r="F1372" s="5" t="s">
        <v>545</v>
      </c>
      <c r="G1372" s="10" t="s">
        <v>72</v>
      </c>
      <c r="H1372" s="5" t="s">
        <v>4786</v>
      </c>
    </row>
    <row r="1373" ht="12.75" customHeight="1">
      <c r="A1373" s="5" t="s">
        <v>4787</v>
      </c>
      <c r="B1373" s="5" t="s">
        <v>4789</v>
      </c>
      <c r="D1373" s="5" t="s">
        <v>80</v>
      </c>
      <c r="E1373" s="5" t="s">
        <v>42</v>
      </c>
      <c r="F1373" s="5" t="s">
        <v>1911</v>
      </c>
      <c r="G1373" s="10" t="s">
        <v>72</v>
      </c>
      <c r="H1373" s="5" t="s">
        <v>3610</v>
      </c>
    </row>
    <row r="1374" ht="12.75" customHeight="1">
      <c r="A1374" s="5" t="s">
        <v>4791</v>
      </c>
      <c r="B1374" s="5" t="s">
        <v>4792</v>
      </c>
      <c r="D1374" s="5" t="s">
        <v>30</v>
      </c>
      <c r="E1374" s="5" t="s">
        <v>42</v>
      </c>
      <c r="F1374" s="5" t="s">
        <v>157</v>
      </c>
    </row>
    <row r="1375" ht="12.75" customHeight="1">
      <c r="A1375" s="5" t="s">
        <v>4793</v>
      </c>
      <c r="B1375" s="5" t="s">
        <v>4794</v>
      </c>
      <c r="D1375" s="5" t="s">
        <v>30</v>
      </c>
      <c r="E1375" s="5" t="s">
        <v>35</v>
      </c>
      <c r="F1375" s="5" t="s">
        <v>96</v>
      </c>
    </row>
    <row r="1376" ht="12.75" customHeight="1">
      <c r="A1376" s="5" t="s">
        <v>4795</v>
      </c>
      <c r="B1376" s="5" t="s">
        <v>4796</v>
      </c>
      <c r="D1376" s="5" t="s">
        <v>30</v>
      </c>
      <c r="E1376" s="5" t="s">
        <v>42</v>
      </c>
      <c r="F1376" s="5" t="s">
        <v>211</v>
      </c>
    </row>
    <row r="1377" ht="12.75" customHeight="1">
      <c r="A1377" s="5" t="s">
        <v>4775</v>
      </c>
      <c r="B1377" s="5" t="s">
        <v>4798</v>
      </c>
      <c r="C1377" s="5" t="s">
        <v>4799</v>
      </c>
      <c r="D1377" s="5" t="s">
        <v>34</v>
      </c>
      <c r="E1377" s="5" t="s">
        <v>42</v>
      </c>
      <c r="F1377" s="5" t="s">
        <v>423</v>
      </c>
      <c r="G1377" s="10" t="s">
        <v>72</v>
      </c>
      <c r="H1377" s="5" t="s">
        <v>4801</v>
      </c>
      <c r="K1377" s="5" t="s">
        <v>4772</v>
      </c>
    </row>
    <row r="1378" ht="12.75" customHeight="1">
      <c r="A1378" s="5" t="s">
        <v>4802</v>
      </c>
      <c r="B1378" s="10" t="s">
        <v>4803</v>
      </c>
      <c r="D1378" s="5" t="s">
        <v>34</v>
      </c>
      <c r="E1378" s="5" t="s">
        <v>42</v>
      </c>
      <c r="F1378" s="5" t="s">
        <v>756</v>
      </c>
      <c r="G1378" s="10" t="s">
        <v>72</v>
      </c>
      <c r="H1378" s="5" t="s">
        <v>4804</v>
      </c>
    </row>
    <row r="1379" ht="12.75" customHeight="1">
      <c r="A1379" s="5" t="s">
        <v>4805</v>
      </c>
      <c r="B1379" s="10" t="s">
        <v>4806</v>
      </c>
      <c r="D1379" s="5" t="s">
        <v>67</v>
      </c>
      <c r="E1379" s="5" t="s">
        <v>42</v>
      </c>
      <c r="F1379" s="5" t="s">
        <v>1033</v>
      </c>
      <c r="G1379" s="10" t="s">
        <v>72</v>
      </c>
      <c r="H1379" s="5" t="s">
        <v>4804</v>
      </c>
    </row>
    <row r="1380" ht="12.75" customHeight="1">
      <c r="A1380" s="5" t="s">
        <v>4809</v>
      </c>
      <c r="B1380" s="5" t="s">
        <v>4810</v>
      </c>
      <c r="D1380" s="5" t="s">
        <v>50</v>
      </c>
      <c r="E1380" s="5" t="s">
        <v>35</v>
      </c>
      <c r="F1380" s="5" t="s">
        <v>695</v>
      </c>
      <c r="G1380" s="10" t="s">
        <v>72</v>
      </c>
      <c r="H1380" s="5" t="s">
        <v>4804</v>
      </c>
    </row>
    <row r="1381" ht="12.75" customHeight="1">
      <c r="A1381" s="5" t="s">
        <v>4811</v>
      </c>
      <c r="B1381" s="5" t="s">
        <v>4812</v>
      </c>
      <c r="D1381" s="5" t="s">
        <v>50</v>
      </c>
      <c r="E1381" s="5" t="s">
        <v>42</v>
      </c>
      <c r="F1381" s="5" t="s">
        <v>657</v>
      </c>
      <c r="G1381" s="10" t="s">
        <v>72</v>
      </c>
      <c r="H1381" s="5" t="s">
        <v>4804</v>
      </c>
    </row>
    <row r="1382" ht="12.75" customHeight="1">
      <c r="A1382" s="5" t="s">
        <v>4813</v>
      </c>
      <c r="B1382" s="5" t="s">
        <v>4814</v>
      </c>
      <c r="D1382" s="5" t="s">
        <v>34</v>
      </c>
      <c r="E1382" s="5" t="s">
        <v>42</v>
      </c>
      <c r="F1382" s="5" t="s">
        <v>599</v>
      </c>
      <c r="G1382" s="10" t="s">
        <v>72</v>
      </c>
    </row>
    <row r="1383" ht="12.75" customHeight="1">
      <c r="A1383" s="5" t="s">
        <v>4816</v>
      </c>
      <c r="B1383" s="5" t="s">
        <v>4817</v>
      </c>
      <c r="C1383" s="5" t="s">
        <v>4819</v>
      </c>
      <c r="D1383" s="5" t="s">
        <v>34</v>
      </c>
      <c r="E1383" s="5" t="s">
        <v>42</v>
      </c>
      <c r="F1383" s="5" t="s">
        <v>83</v>
      </c>
    </row>
    <row r="1384" ht="12.75" customHeight="1">
      <c r="A1384" s="5" t="s">
        <v>4820</v>
      </c>
      <c r="B1384" s="5" t="s">
        <v>4821</v>
      </c>
      <c r="C1384" s="5" t="s">
        <v>4822</v>
      </c>
      <c r="D1384" s="5" t="s">
        <v>34</v>
      </c>
      <c r="E1384" s="5" t="s">
        <v>42</v>
      </c>
      <c r="F1384" s="5" t="s">
        <v>599</v>
      </c>
      <c r="H1384" s="5" t="s">
        <v>4823</v>
      </c>
    </row>
    <row r="1385" ht="12.75" customHeight="1">
      <c r="A1385" s="5" t="s">
        <v>4824</v>
      </c>
      <c r="B1385" s="5" t="s">
        <v>4825</v>
      </c>
      <c r="C1385" s="5" t="s">
        <v>4827</v>
      </c>
      <c r="D1385" s="5" t="s">
        <v>34</v>
      </c>
      <c r="E1385" s="5" t="s">
        <v>42</v>
      </c>
      <c r="F1385" s="5" t="s">
        <v>83</v>
      </c>
      <c r="G1385" s="10" t="s">
        <v>72</v>
      </c>
      <c r="H1385" s="5" t="s">
        <v>4829</v>
      </c>
    </row>
    <row r="1386" ht="12.75" customHeight="1">
      <c r="A1386" s="5" t="s">
        <v>4830</v>
      </c>
      <c r="B1386" s="5" t="s">
        <v>4831</v>
      </c>
      <c r="D1386" s="5" t="s">
        <v>50</v>
      </c>
      <c r="E1386" s="5" t="s">
        <v>42</v>
      </c>
      <c r="F1386" s="5" t="s">
        <v>657</v>
      </c>
      <c r="H1386" s="5" t="s">
        <v>2243</v>
      </c>
      <c r="I1386" s="10" t="s">
        <v>72</v>
      </c>
    </row>
    <row r="1387" ht="12.75" customHeight="1">
      <c r="A1387" s="5" t="s">
        <v>4832</v>
      </c>
      <c r="B1387" s="5" t="s">
        <v>4833</v>
      </c>
      <c r="C1387" s="5" t="s">
        <v>4834</v>
      </c>
      <c r="D1387" s="5" t="s">
        <v>34</v>
      </c>
      <c r="E1387" s="5" t="s">
        <v>35</v>
      </c>
      <c r="F1387" s="5" t="s">
        <v>36</v>
      </c>
      <c r="G1387" s="10" t="s">
        <v>72</v>
      </c>
      <c r="H1387" s="5" t="s">
        <v>4835</v>
      </c>
      <c r="I1387" s="10" t="s">
        <v>72</v>
      </c>
    </row>
    <row r="1388" ht="12.75" customHeight="1">
      <c r="A1388" s="5" t="s">
        <v>4837</v>
      </c>
      <c r="B1388" s="5" t="s">
        <v>4839</v>
      </c>
      <c r="C1388" s="5" t="s">
        <v>4834</v>
      </c>
      <c r="D1388" s="5" t="s">
        <v>34</v>
      </c>
      <c r="E1388" s="5" t="s">
        <v>42</v>
      </c>
      <c r="F1388" s="5" t="s">
        <v>228</v>
      </c>
      <c r="G1388" s="10" t="s">
        <v>72</v>
      </c>
      <c r="H1388" s="5" t="s">
        <v>4505</v>
      </c>
      <c r="I1388" s="10" t="s">
        <v>72</v>
      </c>
    </row>
    <row r="1389" ht="12.75" customHeight="1">
      <c r="A1389" s="5" t="s">
        <v>4841</v>
      </c>
      <c r="B1389" s="5" t="s">
        <v>4842</v>
      </c>
      <c r="C1389" s="5" t="s">
        <v>4834</v>
      </c>
      <c r="D1389" s="5" t="s">
        <v>34</v>
      </c>
      <c r="E1389" s="5" t="s">
        <v>35</v>
      </c>
      <c r="F1389" s="5" t="s">
        <v>104</v>
      </c>
      <c r="G1389" s="10" t="s">
        <v>72</v>
      </c>
      <c r="H1389" s="5" t="s">
        <v>4843</v>
      </c>
      <c r="I1389" s="10" t="s">
        <v>72</v>
      </c>
    </row>
    <row r="1390" ht="12.75" customHeight="1">
      <c r="A1390" s="5" t="s">
        <v>4845</v>
      </c>
      <c r="B1390" s="5" t="s">
        <v>4846</v>
      </c>
      <c r="C1390" s="5" t="s">
        <v>4834</v>
      </c>
      <c r="D1390" s="5" t="s">
        <v>34</v>
      </c>
      <c r="E1390" s="5" t="s">
        <v>42</v>
      </c>
      <c r="F1390" s="5" t="s">
        <v>575</v>
      </c>
      <c r="G1390" s="10" t="s">
        <v>72</v>
      </c>
      <c r="H1390" s="5" t="s">
        <v>4848</v>
      </c>
      <c r="I1390" s="10" t="s">
        <v>72</v>
      </c>
    </row>
    <row r="1391" ht="12.75" customHeight="1">
      <c r="A1391" s="5" t="s">
        <v>4850</v>
      </c>
      <c r="B1391" s="5" t="s">
        <v>4851</v>
      </c>
      <c r="C1391" s="5" t="s">
        <v>4834</v>
      </c>
      <c r="D1391" s="5" t="s">
        <v>34</v>
      </c>
      <c r="E1391" s="5" t="s">
        <v>35</v>
      </c>
      <c r="F1391" s="5" t="s">
        <v>71</v>
      </c>
      <c r="G1391" s="10" t="s">
        <v>72</v>
      </c>
      <c r="H1391" s="5" t="s">
        <v>4852</v>
      </c>
      <c r="I1391" s="10" t="s">
        <v>72</v>
      </c>
    </row>
    <row r="1392" ht="12.75" customHeight="1">
      <c r="A1392" s="5" t="s">
        <v>4853</v>
      </c>
      <c r="B1392" s="5" t="s">
        <v>4854</v>
      </c>
      <c r="C1392" s="5" t="s">
        <v>4834</v>
      </c>
      <c r="D1392" s="5" t="s">
        <v>34</v>
      </c>
      <c r="E1392" s="5" t="s">
        <v>42</v>
      </c>
      <c r="F1392" s="5" t="s">
        <v>199</v>
      </c>
      <c r="G1392" s="10" t="s">
        <v>72</v>
      </c>
      <c r="H1392" s="5" t="s">
        <v>2956</v>
      </c>
      <c r="I1392" s="10" t="s">
        <v>72</v>
      </c>
    </row>
    <row r="1393" ht="12.75" customHeight="1">
      <c r="A1393" s="5" t="s">
        <v>4855</v>
      </c>
      <c r="B1393" s="5" t="s">
        <v>4856</v>
      </c>
      <c r="C1393" s="5" t="s">
        <v>4855</v>
      </c>
      <c r="D1393" s="5" t="s">
        <v>67</v>
      </c>
      <c r="E1393" s="5" t="s">
        <v>42</v>
      </c>
      <c r="F1393" s="5" t="s">
        <v>1714</v>
      </c>
    </row>
    <row r="1394" ht="12.75" customHeight="1">
      <c r="A1394" s="5" t="s">
        <v>4858</v>
      </c>
      <c r="B1394" s="10" t="s">
        <v>4860</v>
      </c>
      <c r="C1394" s="5" t="s">
        <v>4861</v>
      </c>
      <c r="D1394" s="5" t="s">
        <v>30</v>
      </c>
      <c r="E1394" s="5" t="s">
        <v>42</v>
      </c>
      <c r="F1394" s="5" t="s">
        <v>157</v>
      </c>
    </row>
    <row r="1395" ht="12.75" customHeight="1">
      <c r="A1395" s="5" t="s">
        <v>4862</v>
      </c>
      <c r="B1395" s="5" t="s">
        <v>4863</v>
      </c>
      <c r="D1395" s="5" t="s">
        <v>34</v>
      </c>
      <c r="E1395" s="5" t="s">
        <v>42</v>
      </c>
      <c r="F1395" s="5" t="s">
        <v>637</v>
      </c>
      <c r="H1395" s="5" t="s">
        <v>4864</v>
      </c>
      <c r="I1395" s="10" t="s">
        <v>72</v>
      </c>
    </row>
    <row r="1396" ht="12.75" customHeight="1">
      <c r="A1396" s="5" t="s">
        <v>4865</v>
      </c>
      <c r="B1396" s="5" t="s">
        <v>4866</v>
      </c>
      <c r="D1396" s="5" t="s">
        <v>34</v>
      </c>
      <c r="E1396" s="5" t="s">
        <v>35</v>
      </c>
      <c r="F1396" s="5" t="s">
        <v>619</v>
      </c>
      <c r="H1396" s="5" t="s">
        <v>4867</v>
      </c>
      <c r="I1396" s="10" t="s">
        <v>72</v>
      </c>
    </row>
    <row r="1397" ht="12.75" customHeight="1">
      <c r="A1397" s="5" t="s">
        <v>4869</v>
      </c>
      <c r="B1397" s="5" t="s">
        <v>4871</v>
      </c>
      <c r="D1397" s="5" t="s">
        <v>74</v>
      </c>
      <c r="E1397" s="5" t="s">
        <v>42</v>
      </c>
      <c r="F1397" s="5" t="s">
        <v>686</v>
      </c>
      <c r="H1397" s="5" t="s">
        <v>4872</v>
      </c>
    </row>
    <row r="1398" ht="12.75" customHeight="1">
      <c r="A1398" s="5" t="s">
        <v>4873</v>
      </c>
      <c r="B1398" s="5" t="s">
        <v>4874</v>
      </c>
      <c r="C1398" s="5" t="s">
        <v>4875</v>
      </c>
      <c r="D1398" s="5" t="s">
        <v>34</v>
      </c>
      <c r="E1398" s="5" t="s">
        <v>42</v>
      </c>
      <c r="F1398" s="5" t="s">
        <v>637</v>
      </c>
      <c r="H1398" s="5" t="s">
        <v>4876</v>
      </c>
      <c r="I1398" s="10" t="s">
        <v>72</v>
      </c>
    </row>
    <row r="1399" ht="12.75" customHeight="1">
      <c r="A1399" s="5" t="s">
        <v>4877</v>
      </c>
      <c r="B1399" s="5" t="s">
        <v>4878</v>
      </c>
      <c r="C1399" s="5" t="s">
        <v>4272</v>
      </c>
      <c r="D1399" s="5" t="s">
        <v>34</v>
      </c>
      <c r="E1399" s="5" t="s">
        <v>42</v>
      </c>
      <c r="F1399" s="5" t="s">
        <v>720</v>
      </c>
      <c r="H1399" s="5" t="s">
        <v>4876</v>
      </c>
    </row>
    <row r="1400" ht="12.75" customHeight="1">
      <c r="A1400" s="5" t="s">
        <v>4881</v>
      </c>
      <c r="B1400" s="5" t="s">
        <v>4882</v>
      </c>
      <c r="C1400" s="5" t="s">
        <v>4883</v>
      </c>
      <c r="D1400" s="5" t="s">
        <v>50</v>
      </c>
      <c r="E1400" s="5" t="s">
        <v>42</v>
      </c>
      <c r="F1400" s="5" t="s">
        <v>575</v>
      </c>
      <c r="H1400" s="5" t="s">
        <v>4884</v>
      </c>
    </row>
    <row r="1401" ht="12.75" customHeight="1">
      <c r="A1401" s="5" t="s">
        <v>4885</v>
      </c>
      <c r="B1401" s="10" t="s">
        <v>4886</v>
      </c>
      <c r="C1401" s="5" t="s">
        <v>4887</v>
      </c>
      <c r="D1401" s="5" t="s">
        <v>67</v>
      </c>
      <c r="E1401" s="5" t="s">
        <v>42</v>
      </c>
      <c r="F1401" s="5" t="s">
        <v>1308</v>
      </c>
      <c r="H1401" s="5" t="s">
        <v>4888</v>
      </c>
    </row>
    <row r="1402" ht="12.75" customHeight="1">
      <c r="A1402" s="5" t="s">
        <v>4889</v>
      </c>
      <c r="B1402" s="5" t="s">
        <v>4890</v>
      </c>
      <c r="C1402" s="5" t="s">
        <v>4887</v>
      </c>
      <c r="D1402" s="5" t="s">
        <v>67</v>
      </c>
      <c r="E1402" s="5" t="s">
        <v>42</v>
      </c>
      <c r="F1402" s="5" t="s">
        <v>1727</v>
      </c>
      <c r="H1402" s="5" t="s">
        <v>4892</v>
      </c>
    </row>
    <row r="1403" ht="12.75" customHeight="1">
      <c r="A1403" s="5" t="s">
        <v>4894</v>
      </c>
      <c r="B1403" s="10" t="s">
        <v>4895</v>
      </c>
      <c r="C1403" s="5" t="s">
        <v>4894</v>
      </c>
      <c r="D1403" s="5" t="s">
        <v>50</v>
      </c>
      <c r="E1403" s="5" t="s">
        <v>35</v>
      </c>
      <c r="F1403" s="5" t="s">
        <v>104</v>
      </c>
    </row>
    <row r="1404" ht="12.75" customHeight="1">
      <c r="A1404" s="5" t="s">
        <v>4896</v>
      </c>
      <c r="B1404" s="5" t="s">
        <v>4897</v>
      </c>
      <c r="C1404" s="5" t="s">
        <v>4896</v>
      </c>
      <c r="D1404" s="5" t="s">
        <v>34</v>
      </c>
      <c r="E1404" s="5" t="s">
        <v>35</v>
      </c>
      <c r="F1404" s="5" t="s">
        <v>605</v>
      </c>
    </row>
    <row r="1405" ht="12.75" customHeight="1">
      <c r="A1405" s="5" t="s">
        <v>4898</v>
      </c>
      <c r="B1405" s="5" t="s">
        <v>4899</v>
      </c>
      <c r="C1405" s="5" t="s">
        <v>4898</v>
      </c>
      <c r="D1405" s="5" t="s">
        <v>80</v>
      </c>
      <c r="E1405" s="5" t="s">
        <v>42</v>
      </c>
      <c r="F1405" s="5" t="s">
        <v>211</v>
      </c>
    </row>
    <row r="1406" ht="12.75" customHeight="1">
      <c r="A1406" s="5" t="s">
        <v>4900</v>
      </c>
      <c r="B1406" s="5" t="s">
        <v>4901</v>
      </c>
      <c r="C1406" s="5" t="s">
        <v>4900</v>
      </c>
      <c r="D1406" s="5" t="s">
        <v>34</v>
      </c>
      <c r="E1406" s="5" t="s">
        <v>42</v>
      </c>
      <c r="F1406" s="5" t="s">
        <v>599</v>
      </c>
    </row>
    <row r="1407" ht="12.75" customHeight="1">
      <c r="A1407" s="5" t="s">
        <v>4904</v>
      </c>
      <c r="B1407" s="5" t="s">
        <v>4905</v>
      </c>
      <c r="C1407" s="5" t="s">
        <v>4904</v>
      </c>
      <c r="D1407" s="5" t="s">
        <v>38</v>
      </c>
      <c r="E1407" s="5" t="s">
        <v>42</v>
      </c>
      <c r="F1407" s="5" t="s">
        <v>228</v>
      </c>
    </row>
    <row r="1408" ht="12.75" customHeight="1">
      <c r="A1408" s="5" t="s">
        <v>4906</v>
      </c>
      <c r="B1408" s="5" t="s">
        <v>4907</v>
      </c>
      <c r="C1408" s="5" t="s">
        <v>4906</v>
      </c>
      <c r="D1408" s="5" t="s">
        <v>124</v>
      </c>
      <c r="E1408" s="5" t="s">
        <v>35</v>
      </c>
      <c r="F1408" s="5" t="s">
        <v>763</v>
      </c>
    </row>
    <row r="1409" ht="12.75" customHeight="1">
      <c r="A1409" s="5" t="s">
        <v>4908</v>
      </c>
      <c r="B1409" s="5" t="s">
        <v>4909</v>
      </c>
      <c r="C1409" s="5" t="s">
        <v>4910</v>
      </c>
      <c r="D1409" s="5" t="s">
        <v>34</v>
      </c>
      <c r="E1409" s="5" t="s">
        <v>35</v>
      </c>
      <c r="F1409" s="5" t="s">
        <v>71</v>
      </c>
    </row>
    <row r="1410" ht="12.75" customHeight="1">
      <c r="A1410" s="5" t="s">
        <v>4912</v>
      </c>
      <c r="B1410" s="10" t="s">
        <v>4913</v>
      </c>
      <c r="C1410" s="5" t="s">
        <v>4912</v>
      </c>
      <c r="D1410" s="5" t="s">
        <v>46</v>
      </c>
      <c r="E1410" s="5" t="s">
        <v>35</v>
      </c>
      <c r="F1410" s="5" t="s">
        <v>96</v>
      </c>
    </row>
    <row r="1411" ht="12.75" customHeight="1">
      <c r="A1411" s="5" t="s">
        <v>4915</v>
      </c>
      <c r="B1411" s="10" t="s">
        <v>4916</v>
      </c>
      <c r="C1411" s="5" t="s">
        <v>4915</v>
      </c>
      <c r="D1411" s="5" t="s">
        <v>38</v>
      </c>
      <c r="E1411" s="5" t="s">
        <v>42</v>
      </c>
      <c r="F1411" s="5" t="s">
        <v>445</v>
      </c>
    </row>
    <row r="1412" ht="12.75" customHeight="1">
      <c r="A1412" s="5" t="s">
        <v>4917</v>
      </c>
      <c r="B1412" s="5" t="s">
        <v>4918</v>
      </c>
      <c r="C1412" s="5" t="s">
        <v>4919</v>
      </c>
      <c r="D1412" s="5" t="s">
        <v>34</v>
      </c>
      <c r="E1412" s="5" t="s">
        <v>35</v>
      </c>
      <c r="F1412" s="5" t="s">
        <v>278</v>
      </c>
    </row>
    <row r="1413" ht="12.75" customHeight="1">
      <c r="A1413" s="5" t="s">
        <v>4920</v>
      </c>
      <c r="B1413" s="5" t="s">
        <v>4921</v>
      </c>
      <c r="C1413" s="5" t="s">
        <v>4920</v>
      </c>
      <c r="D1413" s="5" t="s">
        <v>80</v>
      </c>
      <c r="E1413" s="5" t="s">
        <v>42</v>
      </c>
      <c r="F1413" s="5" t="s">
        <v>3843</v>
      </c>
      <c r="G1413" s="10" t="s">
        <v>72</v>
      </c>
    </row>
    <row r="1414" ht="12.75" customHeight="1">
      <c r="A1414" s="5" t="s">
        <v>4924</v>
      </c>
      <c r="B1414" s="10" t="s">
        <v>4925</v>
      </c>
      <c r="C1414" s="5" t="s">
        <v>4924</v>
      </c>
      <c r="D1414" s="5" t="s">
        <v>22</v>
      </c>
      <c r="E1414" s="5" t="s">
        <v>42</v>
      </c>
      <c r="F1414" s="5" t="s">
        <v>637</v>
      </c>
      <c r="L1414" s="5" t="s">
        <v>4926</v>
      </c>
    </row>
    <row r="1415" ht="12.75" customHeight="1">
      <c r="A1415" s="5" t="s">
        <v>4926</v>
      </c>
      <c r="B1415" s="10" t="s">
        <v>4927</v>
      </c>
      <c r="D1415" s="5" t="s">
        <v>22</v>
      </c>
      <c r="E1415" s="5" t="s">
        <v>42</v>
      </c>
      <c r="F1415" s="5" t="s">
        <v>637</v>
      </c>
      <c r="H1415" s="5" t="s">
        <v>4924</v>
      </c>
      <c r="I1415" s="10" t="s">
        <v>72</v>
      </c>
    </row>
    <row r="1416" ht="12.75" customHeight="1">
      <c r="A1416" s="5" t="s">
        <v>4928</v>
      </c>
      <c r="B1416" s="5" t="s">
        <v>4929</v>
      </c>
      <c r="C1416" s="5" t="s">
        <v>4928</v>
      </c>
      <c r="D1416" s="5" t="s">
        <v>34</v>
      </c>
      <c r="E1416" s="5" t="s">
        <v>42</v>
      </c>
      <c r="F1416" s="5" t="s">
        <v>575</v>
      </c>
    </row>
    <row r="1417" ht="12.75" customHeight="1">
      <c r="A1417" s="5" t="s">
        <v>4932</v>
      </c>
      <c r="B1417" s="5" t="s">
        <v>4933</v>
      </c>
      <c r="C1417" s="5" t="s">
        <v>4934</v>
      </c>
      <c r="D1417" s="5" t="s">
        <v>74</v>
      </c>
      <c r="E1417" s="5" t="s">
        <v>42</v>
      </c>
      <c r="F1417" s="5" t="s">
        <v>435</v>
      </c>
      <c r="J1417" s="10" t="s">
        <v>72</v>
      </c>
      <c r="K1417" s="5" t="s">
        <v>4935</v>
      </c>
    </row>
    <row r="1418" ht="12.75" customHeight="1">
      <c r="A1418" s="5" t="s">
        <v>4936</v>
      </c>
      <c r="B1418" s="10" t="s">
        <v>4937</v>
      </c>
      <c r="D1418" s="5" t="s">
        <v>74</v>
      </c>
      <c r="E1418" s="5" t="s">
        <v>42</v>
      </c>
      <c r="F1418" s="5" t="s">
        <v>1044</v>
      </c>
      <c r="H1418" s="5" t="s">
        <v>4938</v>
      </c>
      <c r="J1418" s="10" t="s">
        <v>72</v>
      </c>
    </row>
    <row r="1419" ht="12.75" customHeight="1">
      <c r="A1419" s="5" t="s">
        <v>4940</v>
      </c>
      <c r="B1419" s="10" t="s">
        <v>4941</v>
      </c>
      <c r="D1419" s="5" t="s">
        <v>74</v>
      </c>
      <c r="E1419" s="5" t="s">
        <v>42</v>
      </c>
      <c r="F1419" s="5" t="s">
        <v>228</v>
      </c>
      <c r="H1419" s="5" t="s">
        <v>4943</v>
      </c>
      <c r="J1419" s="10" t="s">
        <v>72</v>
      </c>
    </row>
    <row r="1420" ht="12.75" customHeight="1">
      <c r="A1420" s="5" t="s">
        <v>4944</v>
      </c>
      <c r="B1420" s="10" t="s">
        <v>4945</v>
      </c>
      <c r="D1420" s="5" t="s">
        <v>74</v>
      </c>
      <c r="E1420" s="5" t="s">
        <v>42</v>
      </c>
      <c r="F1420" s="5" t="s">
        <v>4728</v>
      </c>
      <c r="H1420" s="5" t="s">
        <v>4943</v>
      </c>
      <c r="J1420" s="10" t="s">
        <v>72</v>
      </c>
    </row>
    <row r="1421" ht="12.75" customHeight="1">
      <c r="A1421" s="5" t="s">
        <v>4946</v>
      </c>
      <c r="B1421" s="10" t="s">
        <v>4947</v>
      </c>
      <c r="D1421" s="5" t="s">
        <v>74</v>
      </c>
      <c r="E1421" s="5" t="s">
        <v>42</v>
      </c>
      <c r="F1421" s="5" t="s">
        <v>4728</v>
      </c>
      <c r="H1421" s="5" t="s">
        <v>4943</v>
      </c>
      <c r="I1421" s="10" t="s">
        <v>72</v>
      </c>
      <c r="J1421" s="10" t="s">
        <v>72</v>
      </c>
    </row>
    <row r="1422" ht="12.75" customHeight="1">
      <c r="A1422" s="5" t="s">
        <v>4949</v>
      </c>
      <c r="B1422" s="10" t="s">
        <v>4950</v>
      </c>
      <c r="D1422" s="5" t="s">
        <v>74</v>
      </c>
      <c r="E1422" s="5" t="s">
        <v>42</v>
      </c>
      <c r="F1422" s="5" t="s">
        <v>4728</v>
      </c>
      <c r="H1422" s="5" t="s">
        <v>4943</v>
      </c>
      <c r="J1422" s="10" t="s">
        <v>72</v>
      </c>
    </row>
    <row r="1423" ht="12.75" customHeight="1">
      <c r="A1423" s="5" t="s">
        <v>4952</v>
      </c>
      <c r="B1423" s="10" t="s">
        <v>4953</v>
      </c>
      <c r="D1423" s="5" t="s">
        <v>74</v>
      </c>
      <c r="E1423" s="5" t="s">
        <v>42</v>
      </c>
      <c r="F1423" s="5" t="s">
        <v>1044</v>
      </c>
      <c r="H1423" s="5" t="s">
        <v>4954</v>
      </c>
      <c r="J1423" s="10" t="s">
        <v>72</v>
      </c>
    </row>
    <row r="1424" ht="12.75" customHeight="1">
      <c r="A1424" s="5" t="s">
        <v>4955</v>
      </c>
      <c r="B1424" s="10" t="s">
        <v>4956</v>
      </c>
      <c r="D1424" s="5" t="s">
        <v>74</v>
      </c>
      <c r="E1424" s="5" t="s">
        <v>42</v>
      </c>
      <c r="F1424" s="5" t="s">
        <v>219</v>
      </c>
      <c r="H1424" s="5" t="s">
        <v>4954</v>
      </c>
      <c r="J1424" s="10" t="s">
        <v>72</v>
      </c>
    </row>
    <row r="1425" ht="12.75" customHeight="1">
      <c r="A1425" s="5" t="s">
        <v>4938</v>
      </c>
      <c r="B1425" s="5" t="s">
        <v>4958</v>
      </c>
      <c r="D1425" s="5" t="s">
        <v>74</v>
      </c>
      <c r="E1425" s="5" t="s">
        <v>42</v>
      </c>
      <c r="F1425" s="5" t="s">
        <v>686</v>
      </c>
      <c r="H1425" s="5" t="s">
        <v>4932</v>
      </c>
      <c r="J1425" s="10" t="s">
        <v>72</v>
      </c>
      <c r="K1425" s="5" t="s">
        <v>4936</v>
      </c>
    </row>
    <row r="1426" ht="12.75" customHeight="1">
      <c r="A1426" s="5" t="s">
        <v>4943</v>
      </c>
      <c r="B1426" s="10" t="s">
        <v>4960</v>
      </c>
      <c r="D1426" s="5" t="s">
        <v>74</v>
      </c>
      <c r="E1426" s="5" t="s">
        <v>42</v>
      </c>
      <c r="F1426" s="5" t="s">
        <v>4728</v>
      </c>
      <c r="H1426" s="5" t="s">
        <v>4932</v>
      </c>
      <c r="J1426" s="10" t="s">
        <v>72</v>
      </c>
      <c r="K1426" s="5" t="s">
        <v>4961</v>
      </c>
      <c r="L1426" s="5" t="s">
        <v>4946</v>
      </c>
    </row>
    <row r="1427" ht="12.75" customHeight="1">
      <c r="A1427" s="5" t="s">
        <v>4954</v>
      </c>
      <c r="B1427" s="10" t="s">
        <v>4962</v>
      </c>
      <c r="D1427" s="5" t="s">
        <v>74</v>
      </c>
      <c r="E1427" s="5" t="s">
        <v>42</v>
      </c>
      <c r="F1427" s="5" t="s">
        <v>146</v>
      </c>
      <c r="H1427" s="5" t="s">
        <v>4932</v>
      </c>
      <c r="J1427" s="10" t="s">
        <v>72</v>
      </c>
      <c r="K1427" s="5" t="s">
        <v>4965</v>
      </c>
    </row>
    <row r="1428" ht="12.75" customHeight="1">
      <c r="A1428" s="5" t="s">
        <v>4966</v>
      </c>
      <c r="B1428" s="5" t="s">
        <v>4967</v>
      </c>
      <c r="D1428" s="5" t="s">
        <v>74</v>
      </c>
      <c r="E1428" s="5" t="s">
        <v>42</v>
      </c>
      <c r="F1428" s="5" t="s">
        <v>572</v>
      </c>
      <c r="H1428" s="5" t="s">
        <v>4968</v>
      </c>
      <c r="J1428" s="10" t="s">
        <v>72</v>
      </c>
    </row>
    <row r="1429" ht="12.75" customHeight="1">
      <c r="A1429" s="5" t="s">
        <v>4969</v>
      </c>
      <c r="B1429" s="10" t="s">
        <v>4970</v>
      </c>
      <c r="D1429" s="5" t="s">
        <v>74</v>
      </c>
      <c r="E1429" s="5" t="s">
        <v>42</v>
      </c>
      <c r="F1429" s="5" t="s">
        <v>445</v>
      </c>
      <c r="H1429" s="5" t="s">
        <v>4971</v>
      </c>
      <c r="J1429" s="10" t="s">
        <v>72</v>
      </c>
    </row>
    <row r="1430" ht="12.75" customHeight="1">
      <c r="A1430" s="5" t="s">
        <v>4972</v>
      </c>
      <c r="B1430" s="5" t="s">
        <v>4973</v>
      </c>
      <c r="D1430" s="5" t="s">
        <v>74</v>
      </c>
      <c r="E1430" s="5" t="s">
        <v>42</v>
      </c>
      <c r="F1430" s="5" t="s">
        <v>686</v>
      </c>
      <c r="H1430" s="5" t="s">
        <v>4971</v>
      </c>
      <c r="J1430" s="10" t="s">
        <v>72</v>
      </c>
    </row>
    <row r="1431" ht="12.75" customHeight="1">
      <c r="A1431" s="5" t="s">
        <v>4976</v>
      </c>
      <c r="B1431" s="10" t="s">
        <v>4977</v>
      </c>
      <c r="D1431" s="5" t="s">
        <v>74</v>
      </c>
      <c r="E1431" s="5" t="s">
        <v>42</v>
      </c>
      <c r="F1431" s="5" t="s">
        <v>686</v>
      </c>
      <c r="H1431" s="5" t="s">
        <v>4971</v>
      </c>
      <c r="J1431" s="10" t="s">
        <v>72</v>
      </c>
    </row>
    <row r="1432" ht="12.75" customHeight="1">
      <c r="A1432" s="5" t="s">
        <v>4978</v>
      </c>
      <c r="B1432" s="5" t="s">
        <v>4979</v>
      </c>
      <c r="D1432" s="5" t="s">
        <v>74</v>
      </c>
      <c r="E1432" s="5" t="s">
        <v>42</v>
      </c>
      <c r="F1432" s="5" t="s">
        <v>4728</v>
      </c>
      <c r="H1432" s="5" t="s">
        <v>4971</v>
      </c>
      <c r="J1432" s="10" t="s">
        <v>72</v>
      </c>
    </row>
    <row r="1433" ht="12.75" customHeight="1">
      <c r="A1433" s="5" t="s">
        <v>4980</v>
      </c>
      <c r="B1433" s="5" t="s">
        <v>4981</v>
      </c>
      <c r="D1433" s="5" t="s">
        <v>74</v>
      </c>
      <c r="E1433" s="5" t="s">
        <v>42</v>
      </c>
      <c r="F1433" s="5" t="s">
        <v>146</v>
      </c>
      <c r="H1433" s="5" t="s">
        <v>4983</v>
      </c>
      <c r="J1433" s="10" t="s">
        <v>72</v>
      </c>
    </row>
    <row r="1434" ht="12.75" customHeight="1">
      <c r="A1434" s="5" t="s">
        <v>4985</v>
      </c>
      <c r="B1434" s="5" t="s">
        <v>4986</v>
      </c>
      <c r="D1434" s="5" t="s">
        <v>74</v>
      </c>
      <c r="E1434" s="5" t="s">
        <v>42</v>
      </c>
      <c r="F1434" s="5" t="s">
        <v>572</v>
      </c>
      <c r="H1434" s="5" t="s">
        <v>4983</v>
      </c>
      <c r="J1434" s="10" t="s">
        <v>72</v>
      </c>
    </row>
    <row r="1435" ht="12.75" customHeight="1">
      <c r="A1435" s="5" t="s">
        <v>4968</v>
      </c>
      <c r="B1435" s="10" t="s">
        <v>4987</v>
      </c>
      <c r="D1435" s="5" t="s">
        <v>74</v>
      </c>
      <c r="E1435" s="5" t="s">
        <v>42</v>
      </c>
      <c r="F1435" s="5" t="s">
        <v>445</v>
      </c>
      <c r="H1435" s="5" t="s">
        <v>4932</v>
      </c>
      <c r="J1435" s="10" t="s">
        <v>72</v>
      </c>
      <c r="K1435" s="5" t="s">
        <v>4966</v>
      </c>
    </row>
    <row r="1436" ht="12.75" customHeight="1">
      <c r="A1436" s="5" t="s">
        <v>4971</v>
      </c>
      <c r="B1436" s="10" t="s">
        <v>4988</v>
      </c>
      <c r="D1436" s="5" t="s">
        <v>74</v>
      </c>
      <c r="E1436" s="5" t="s">
        <v>42</v>
      </c>
      <c r="F1436" s="5" t="s">
        <v>686</v>
      </c>
      <c r="H1436" s="5" t="s">
        <v>4932</v>
      </c>
      <c r="J1436" s="10" t="s">
        <v>72</v>
      </c>
      <c r="K1436" s="5" t="s">
        <v>4991</v>
      </c>
    </row>
    <row r="1437" ht="12.75" customHeight="1">
      <c r="A1437" s="5" t="s">
        <v>4983</v>
      </c>
      <c r="B1437" s="10" t="s">
        <v>4992</v>
      </c>
      <c r="D1437" s="5" t="s">
        <v>74</v>
      </c>
      <c r="E1437" s="5" t="s">
        <v>42</v>
      </c>
      <c r="F1437" s="5" t="s">
        <v>435</v>
      </c>
      <c r="H1437" s="5" t="s">
        <v>4932</v>
      </c>
      <c r="J1437" s="10" t="s">
        <v>72</v>
      </c>
      <c r="K1437" s="5" t="s">
        <v>4993</v>
      </c>
    </row>
    <row r="1438" ht="12.75" customHeight="1">
      <c r="A1438" s="5" t="s">
        <v>4994</v>
      </c>
      <c r="B1438" s="5" t="s">
        <v>4995</v>
      </c>
      <c r="D1438" s="5" t="s">
        <v>74</v>
      </c>
      <c r="E1438" s="5" t="s">
        <v>42</v>
      </c>
      <c r="F1438" s="5" t="s">
        <v>445</v>
      </c>
      <c r="H1438" s="5" t="s">
        <v>4996</v>
      </c>
      <c r="J1438" s="10" t="s">
        <v>72</v>
      </c>
    </row>
    <row r="1439" ht="12.75" customHeight="1">
      <c r="A1439" s="5" t="s">
        <v>4997</v>
      </c>
      <c r="B1439" s="10" t="s">
        <v>4998</v>
      </c>
      <c r="D1439" s="5" t="s">
        <v>74</v>
      </c>
      <c r="E1439" s="5" t="s">
        <v>42</v>
      </c>
      <c r="F1439" s="5" t="s">
        <v>219</v>
      </c>
      <c r="H1439" s="5" t="s">
        <v>5000</v>
      </c>
      <c r="J1439" s="10" t="s">
        <v>72</v>
      </c>
    </row>
    <row r="1440" ht="12.75" customHeight="1">
      <c r="A1440" s="5" t="s">
        <v>5002</v>
      </c>
      <c r="B1440" s="10" t="s">
        <v>5003</v>
      </c>
      <c r="D1440" s="5" t="s">
        <v>74</v>
      </c>
      <c r="E1440" s="5" t="s">
        <v>42</v>
      </c>
      <c r="F1440" s="5" t="s">
        <v>445</v>
      </c>
      <c r="H1440" s="5" t="s">
        <v>5000</v>
      </c>
      <c r="J1440" s="10" t="s">
        <v>72</v>
      </c>
    </row>
    <row r="1441" ht="12.75" customHeight="1">
      <c r="A1441" s="5" t="s">
        <v>5004</v>
      </c>
      <c r="B1441" s="10" t="s">
        <v>5005</v>
      </c>
      <c r="D1441" s="5" t="s">
        <v>74</v>
      </c>
      <c r="E1441" s="5" t="s">
        <v>42</v>
      </c>
      <c r="F1441" s="5" t="s">
        <v>4728</v>
      </c>
      <c r="H1441" s="5" t="s">
        <v>5000</v>
      </c>
      <c r="J1441" s="10" t="s">
        <v>72</v>
      </c>
    </row>
    <row r="1442" ht="12.75" customHeight="1">
      <c r="A1442" s="5" t="s">
        <v>5006</v>
      </c>
      <c r="B1442" s="10" t="s">
        <v>5007</v>
      </c>
      <c r="D1442" s="5" t="s">
        <v>74</v>
      </c>
      <c r="E1442" s="5" t="s">
        <v>42</v>
      </c>
      <c r="F1442" s="5" t="s">
        <v>1753</v>
      </c>
      <c r="H1442" s="5" t="s">
        <v>5000</v>
      </c>
      <c r="J1442" s="10" t="s">
        <v>72</v>
      </c>
    </row>
    <row r="1443" ht="12.75" customHeight="1">
      <c r="A1443" s="5" t="s">
        <v>5010</v>
      </c>
      <c r="B1443" s="10" t="s">
        <v>5011</v>
      </c>
      <c r="D1443" s="5" t="s">
        <v>74</v>
      </c>
      <c r="E1443" s="5" t="s">
        <v>42</v>
      </c>
      <c r="F1443" s="5" t="s">
        <v>1044</v>
      </c>
      <c r="H1443" s="5" t="s">
        <v>5012</v>
      </c>
      <c r="J1443" s="10" t="s">
        <v>72</v>
      </c>
    </row>
    <row r="1444" ht="12.75" customHeight="1">
      <c r="A1444" s="5" t="s">
        <v>5013</v>
      </c>
      <c r="B1444" s="10" t="s">
        <v>5014</v>
      </c>
      <c r="D1444" s="5" t="s">
        <v>74</v>
      </c>
      <c r="E1444" s="5" t="s">
        <v>42</v>
      </c>
      <c r="F1444" s="5" t="s">
        <v>445</v>
      </c>
      <c r="H1444" s="5" t="s">
        <v>5012</v>
      </c>
      <c r="J1444" s="10" t="s">
        <v>72</v>
      </c>
    </row>
    <row r="1445" ht="12.75" customHeight="1">
      <c r="A1445" s="5" t="s">
        <v>4996</v>
      </c>
      <c r="B1445" s="10" t="s">
        <v>5015</v>
      </c>
      <c r="D1445" s="5" t="s">
        <v>74</v>
      </c>
      <c r="E1445" s="5" t="s">
        <v>42</v>
      </c>
      <c r="F1445" s="5" t="s">
        <v>4728</v>
      </c>
      <c r="H1445" s="5" t="s">
        <v>4932</v>
      </c>
      <c r="J1445" s="10" t="s">
        <v>72</v>
      </c>
      <c r="K1445" s="5" t="s">
        <v>4994</v>
      </c>
    </row>
    <row r="1446" ht="12.75" customHeight="1">
      <c r="A1446" s="5" t="s">
        <v>5000</v>
      </c>
      <c r="B1446" s="10" t="s">
        <v>5018</v>
      </c>
      <c r="D1446" s="5" t="s">
        <v>74</v>
      </c>
      <c r="E1446" s="5" t="s">
        <v>42</v>
      </c>
      <c r="F1446" s="5" t="s">
        <v>445</v>
      </c>
      <c r="H1446" s="5" t="s">
        <v>4932</v>
      </c>
      <c r="J1446" s="10" t="s">
        <v>72</v>
      </c>
      <c r="K1446" s="5" t="s">
        <v>5019</v>
      </c>
    </row>
    <row r="1447" ht="12.75" customHeight="1">
      <c r="A1447" s="5" t="s">
        <v>5012</v>
      </c>
      <c r="B1447" s="10" t="s">
        <v>5020</v>
      </c>
      <c r="D1447" s="5" t="s">
        <v>74</v>
      </c>
      <c r="E1447" s="5" t="s">
        <v>42</v>
      </c>
      <c r="F1447" s="5" t="s">
        <v>657</v>
      </c>
      <c r="H1447" s="5" t="s">
        <v>4932</v>
      </c>
      <c r="J1447" s="10" t="s">
        <v>72</v>
      </c>
      <c r="K1447" s="5" t="s">
        <v>5021</v>
      </c>
    </row>
    <row r="1448" ht="12.75" customHeight="1">
      <c r="A1448" s="5" t="s">
        <v>5022</v>
      </c>
      <c r="B1448" s="10" t="s">
        <v>5023</v>
      </c>
      <c r="D1448" s="5" t="s">
        <v>74</v>
      </c>
      <c r="E1448" s="5" t="s">
        <v>42</v>
      </c>
      <c r="F1448" s="5" t="s">
        <v>572</v>
      </c>
      <c r="H1448" s="5" t="s">
        <v>5024</v>
      </c>
      <c r="J1448" s="10" t="s">
        <v>72</v>
      </c>
    </row>
    <row r="1449" ht="12.75" customHeight="1">
      <c r="A1449" s="5" t="s">
        <v>5025</v>
      </c>
      <c r="B1449" s="10" t="s">
        <v>5026</v>
      </c>
      <c r="D1449" s="5" t="s">
        <v>74</v>
      </c>
      <c r="E1449" s="5" t="s">
        <v>42</v>
      </c>
      <c r="F1449" s="5" t="s">
        <v>4728</v>
      </c>
      <c r="H1449" s="5" t="s">
        <v>5028</v>
      </c>
      <c r="J1449" s="10" t="s">
        <v>72</v>
      </c>
    </row>
    <row r="1450" ht="12.75" customHeight="1">
      <c r="A1450" s="5" t="s">
        <v>5029</v>
      </c>
      <c r="B1450" s="5" t="s">
        <v>5031</v>
      </c>
      <c r="D1450" s="5" t="s">
        <v>74</v>
      </c>
      <c r="E1450" s="5" t="s">
        <v>42</v>
      </c>
      <c r="F1450" s="5" t="s">
        <v>445</v>
      </c>
      <c r="H1450" s="5" t="s">
        <v>5028</v>
      </c>
      <c r="J1450" s="10" t="s">
        <v>72</v>
      </c>
    </row>
    <row r="1451" ht="12.75" customHeight="1">
      <c r="A1451" s="5" t="s">
        <v>5032</v>
      </c>
      <c r="B1451" s="10" t="s">
        <v>5033</v>
      </c>
      <c r="D1451" s="5" t="s">
        <v>74</v>
      </c>
      <c r="E1451" s="5" t="s">
        <v>42</v>
      </c>
      <c r="F1451" s="5" t="s">
        <v>1753</v>
      </c>
      <c r="H1451" s="5" t="s">
        <v>5028</v>
      </c>
      <c r="J1451" s="10" t="s">
        <v>72</v>
      </c>
    </row>
    <row r="1452" ht="12.75" customHeight="1">
      <c r="A1452" s="5" t="s">
        <v>5034</v>
      </c>
      <c r="B1452" s="5" t="s">
        <v>5035</v>
      </c>
      <c r="D1452" s="5" t="s">
        <v>74</v>
      </c>
      <c r="E1452" s="5" t="s">
        <v>42</v>
      </c>
      <c r="F1452" s="5" t="s">
        <v>445</v>
      </c>
      <c r="H1452" s="5" t="s">
        <v>5028</v>
      </c>
      <c r="J1452" s="10" t="s">
        <v>72</v>
      </c>
    </row>
    <row r="1453" ht="12.75" customHeight="1">
      <c r="A1453" s="5" t="s">
        <v>5036</v>
      </c>
      <c r="B1453" s="10" t="s">
        <v>5037</v>
      </c>
      <c r="D1453" s="5" t="s">
        <v>74</v>
      </c>
      <c r="E1453" s="5" t="s">
        <v>42</v>
      </c>
      <c r="F1453" s="5" t="s">
        <v>3665</v>
      </c>
      <c r="H1453" s="5" t="s">
        <v>5038</v>
      </c>
      <c r="J1453" s="10" t="s">
        <v>72</v>
      </c>
    </row>
    <row r="1454" ht="12.75" customHeight="1">
      <c r="A1454" s="5" t="s">
        <v>5039</v>
      </c>
      <c r="B1454" s="5" t="s">
        <v>5041</v>
      </c>
      <c r="D1454" s="5" t="s">
        <v>74</v>
      </c>
      <c r="E1454" s="5" t="s">
        <v>42</v>
      </c>
      <c r="F1454" s="5" t="s">
        <v>572</v>
      </c>
      <c r="H1454" s="5" t="s">
        <v>5038</v>
      </c>
      <c r="J1454" s="10" t="s">
        <v>72</v>
      </c>
    </row>
    <row r="1455" ht="12.75" customHeight="1">
      <c r="A1455" s="5" t="s">
        <v>5024</v>
      </c>
      <c r="B1455" s="10" t="s">
        <v>5043</v>
      </c>
      <c r="D1455" s="5" t="s">
        <v>74</v>
      </c>
      <c r="E1455" s="5" t="s">
        <v>42</v>
      </c>
      <c r="F1455" s="5" t="s">
        <v>686</v>
      </c>
      <c r="H1455" s="5" t="s">
        <v>4932</v>
      </c>
      <c r="J1455" s="10" t="s">
        <v>72</v>
      </c>
      <c r="K1455" s="5" t="s">
        <v>5022</v>
      </c>
    </row>
    <row r="1456" ht="12.75" customHeight="1">
      <c r="A1456" s="5" t="s">
        <v>5028</v>
      </c>
      <c r="B1456" s="10" t="s">
        <v>5044</v>
      </c>
      <c r="D1456" s="5" t="s">
        <v>74</v>
      </c>
      <c r="E1456" s="5" t="s">
        <v>42</v>
      </c>
      <c r="F1456" s="5" t="s">
        <v>445</v>
      </c>
      <c r="H1456" s="5" t="s">
        <v>4932</v>
      </c>
      <c r="J1456" s="10" t="s">
        <v>72</v>
      </c>
      <c r="K1456" s="5" t="s">
        <v>5045</v>
      </c>
    </row>
    <row r="1457" ht="12.75" customHeight="1">
      <c r="A1457" s="5" t="s">
        <v>5038</v>
      </c>
      <c r="B1457" s="5" t="s">
        <v>5046</v>
      </c>
      <c r="D1457" s="5" t="s">
        <v>74</v>
      </c>
      <c r="E1457" s="5" t="s">
        <v>42</v>
      </c>
      <c r="F1457" s="5" t="s">
        <v>228</v>
      </c>
      <c r="H1457" s="5" t="s">
        <v>4932</v>
      </c>
      <c r="J1457" s="10" t="s">
        <v>72</v>
      </c>
      <c r="K1457" s="5" t="s">
        <v>5049</v>
      </c>
    </row>
    <row r="1458" ht="12.75" customHeight="1">
      <c r="A1458" s="5" t="s">
        <v>5050</v>
      </c>
      <c r="B1458" s="5" t="s">
        <v>5051</v>
      </c>
      <c r="D1458" s="5" t="s">
        <v>74</v>
      </c>
      <c r="E1458" s="5" t="s">
        <v>42</v>
      </c>
      <c r="F1458" s="5" t="s">
        <v>4728</v>
      </c>
      <c r="H1458" s="5" t="s">
        <v>5052</v>
      </c>
      <c r="J1458" s="10" t="s">
        <v>72</v>
      </c>
    </row>
    <row r="1459" ht="12.75" customHeight="1">
      <c r="A1459" s="5" t="s">
        <v>5053</v>
      </c>
      <c r="B1459" s="5" t="s">
        <v>5054</v>
      </c>
      <c r="D1459" s="5" t="s">
        <v>74</v>
      </c>
      <c r="E1459" s="5" t="s">
        <v>42</v>
      </c>
      <c r="F1459" s="5" t="s">
        <v>219</v>
      </c>
      <c r="H1459" s="5" t="s">
        <v>5055</v>
      </c>
      <c r="J1459" s="10" t="s">
        <v>72</v>
      </c>
    </row>
    <row r="1460" ht="12.75" customHeight="1">
      <c r="A1460" s="5" t="s">
        <v>5056</v>
      </c>
      <c r="B1460" s="10" t="s">
        <v>5057</v>
      </c>
      <c r="D1460" s="5" t="s">
        <v>74</v>
      </c>
      <c r="E1460" s="5" t="s">
        <v>42</v>
      </c>
      <c r="F1460" s="5" t="s">
        <v>435</v>
      </c>
      <c r="H1460" s="5" t="s">
        <v>5055</v>
      </c>
      <c r="J1460" s="10" t="s">
        <v>72</v>
      </c>
    </row>
    <row r="1461" ht="12.75" customHeight="1">
      <c r="A1461" s="5" t="s">
        <v>5060</v>
      </c>
      <c r="B1461" s="5" t="s">
        <v>5061</v>
      </c>
      <c r="D1461" s="5" t="s">
        <v>74</v>
      </c>
      <c r="E1461" s="5" t="s">
        <v>42</v>
      </c>
      <c r="F1461" s="5" t="s">
        <v>657</v>
      </c>
      <c r="H1461" s="5" t="s">
        <v>5055</v>
      </c>
      <c r="J1461" s="10" t="s">
        <v>72</v>
      </c>
    </row>
    <row r="1462" ht="12.75" customHeight="1">
      <c r="A1462" s="5" t="s">
        <v>5062</v>
      </c>
      <c r="B1462" s="10" t="s">
        <v>5063</v>
      </c>
      <c r="D1462" s="5" t="s">
        <v>74</v>
      </c>
      <c r="E1462" s="5" t="s">
        <v>42</v>
      </c>
      <c r="F1462" s="5" t="s">
        <v>146</v>
      </c>
      <c r="H1462" s="5" t="s">
        <v>5055</v>
      </c>
      <c r="J1462" s="10" t="s">
        <v>72</v>
      </c>
    </row>
    <row r="1463" ht="12.75" customHeight="1">
      <c r="A1463" s="5" t="s">
        <v>5064</v>
      </c>
      <c r="B1463" s="10" t="s">
        <v>5065</v>
      </c>
      <c r="D1463" s="5" t="s">
        <v>74</v>
      </c>
      <c r="E1463" s="5" t="s">
        <v>42</v>
      </c>
      <c r="F1463" s="5" t="s">
        <v>146</v>
      </c>
      <c r="H1463" s="5" t="s">
        <v>5066</v>
      </c>
      <c r="J1463" s="10" t="s">
        <v>72</v>
      </c>
    </row>
    <row r="1464" ht="12.75" customHeight="1">
      <c r="A1464" s="5" t="s">
        <v>5068</v>
      </c>
      <c r="B1464" s="10" t="s">
        <v>5069</v>
      </c>
      <c r="D1464" s="5" t="s">
        <v>74</v>
      </c>
      <c r="E1464" s="5" t="s">
        <v>42</v>
      </c>
      <c r="F1464" s="5" t="s">
        <v>1753</v>
      </c>
      <c r="H1464" s="5" t="s">
        <v>5066</v>
      </c>
      <c r="J1464" s="10" t="s">
        <v>72</v>
      </c>
    </row>
    <row r="1465" ht="12.75" customHeight="1">
      <c r="A1465" s="5" t="s">
        <v>5052</v>
      </c>
      <c r="B1465" s="5" t="s">
        <v>5071</v>
      </c>
      <c r="D1465" s="5" t="s">
        <v>74</v>
      </c>
      <c r="E1465" s="5" t="s">
        <v>42</v>
      </c>
      <c r="F1465" s="5" t="s">
        <v>4728</v>
      </c>
      <c r="H1465" s="5" t="s">
        <v>4932</v>
      </c>
      <c r="J1465" s="10" t="s">
        <v>72</v>
      </c>
      <c r="K1465" s="5" t="s">
        <v>5050</v>
      </c>
    </row>
    <row r="1466" ht="12.75" customHeight="1">
      <c r="A1466" s="5" t="s">
        <v>5055</v>
      </c>
      <c r="B1466" s="5" t="s">
        <v>5072</v>
      </c>
      <c r="D1466" s="5" t="s">
        <v>74</v>
      </c>
      <c r="E1466" s="5" t="s">
        <v>42</v>
      </c>
      <c r="F1466" s="5" t="s">
        <v>1044</v>
      </c>
      <c r="H1466" s="5" t="s">
        <v>4932</v>
      </c>
      <c r="J1466" s="10" t="s">
        <v>72</v>
      </c>
      <c r="K1466" s="5" t="s">
        <v>5073</v>
      </c>
    </row>
    <row r="1467" ht="12.75" customHeight="1">
      <c r="A1467" s="5" t="s">
        <v>5066</v>
      </c>
      <c r="B1467" s="5" t="s">
        <v>5074</v>
      </c>
      <c r="D1467" s="5" t="s">
        <v>74</v>
      </c>
      <c r="E1467" s="5" t="s">
        <v>42</v>
      </c>
      <c r="F1467" s="5" t="s">
        <v>146</v>
      </c>
      <c r="H1467" s="5" t="s">
        <v>4932</v>
      </c>
      <c r="J1467" s="10" t="s">
        <v>72</v>
      </c>
      <c r="K1467" s="5" t="s">
        <v>5077</v>
      </c>
    </row>
    <row r="1468" ht="12.75" customHeight="1">
      <c r="A1468" s="5" t="s">
        <v>5078</v>
      </c>
      <c r="B1468" s="10" t="s">
        <v>5079</v>
      </c>
      <c r="D1468" s="5" t="s">
        <v>74</v>
      </c>
      <c r="E1468" s="5" t="s">
        <v>42</v>
      </c>
      <c r="F1468" s="5" t="s">
        <v>1044</v>
      </c>
      <c r="H1468" s="5" t="s">
        <v>5080</v>
      </c>
      <c r="J1468" s="10" t="s">
        <v>72</v>
      </c>
    </row>
    <row r="1469" ht="12.75" customHeight="1">
      <c r="A1469" s="5" t="s">
        <v>5081</v>
      </c>
      <c r="B1469" s="10" t="s">
        <v>5082</v>
      </c>
      <c r="D1469" s="5" t="s">
        <v>74</v>
      </c>
      <c r="E1469" s="5" t="s">
        <v>42</v>
      </c>
      <c r="F1469" s="5" t="s">
        <v>435</v>
      </c>
      <c r="H1469" s="5" t="s">
        <v>5083</v>
      </c>
      <c r="J1469" s="10" t="s">
        <v>72</v>
      </c>
    </row>
    <row r="1470" ht="12.75" customHeight="1">
      <c r="A1470" s="5" t="s">
        <v>5084</v>
      </c>
      <c r="B1470" s="10" t="s">
        <v>5085</v>
      </c>
      <c r="D1470" s="5" t="s">
        <v>74</v>
      </c>
      <c r="E1470" s="5" t="s">
        <v>42</v>
      </c>
      <c r="F1470" s="5" t="s">
        <v>445</v>
      </c>
      <c r="H1470" s="5" t="s">
        <v>5083</v>
      </c>
      <c r="J1470" s="10" t="s">
        <v>72</v>
      </c>
    </row>
    <row r="1471" ht="12.75" customHeight="1">
      <c r="A1471" s="5" t="s">
        <v>5087</v>
      </c>
      <c r="B1471" s="10" t="s">
        <v>5088</v>
      </c>
      <c r="D1471" s="5" t="s">
        <v>74</v>
      </c>
      <c r="E1471" s="5" t="s">
        <v>42</v>
      </c>
      <c r="F1471" s="5" t="s">
        <v>686</v>
      </c>
      <c r="H1471" s="5" t="s">
        <v>5083</v>
      </c>
      <c r="J1471" s="10" t="s">
        <v>72</v>
      </c>
    </row>
    <row r="1472" ht="12.75" customHeight="1">
      <c r="A1472" s="5" t="s">
        <v>5090</v>
      </c>
      <c r="B1472" s="10" t="s">
        <v>5091</v>
      </c>
      <c r="D1472" s="5" t="s">
        <v>74</v>
      </c>
      <c r="E1472" s="5" t="s">
        <v>42</v>
      </c>
      <c r="F1472" s="5" t="s">
        <v>686</v>
      </c>
      <c r="H1472" s="5" t="s">
        <v>5083</v>
      </c>
      <c r="J1472" s="10" t="s">
        <v>72</v>
      </c>
    </row>
    <row r="1473" ht="12.75" customHeight="1">
      <c r="A1473" s="5" t="s">
        <v>5092</v>
      </c>
      <c r="B1473" s="10" t="s">
        <v>5093</v>
      </c>
      <c r="D1473" s="5" t="s">
        <v>74</v>
      </c>
      <c r="E1473" s="5" t="s">
        <v>42</v>
      </c>
      <c r="F1473" s="5" t="s">
        <v>435</v>
      </c>
      <c r="H1473" s="5" t="s">
        <v>5094</v>
      </c>
      <c r="J1473" s="10" t="s">
        <v>72</v>
      </c>
    </row>
    <row r="1474" ht="12.75" customHeight="1">
      <c r="A1474" s="5" t="s">
        <v>5095</v>
      </c>
      <c r="B1474" s="5" t="s">
        <v>5096</v>
      </c>
      <c r="D1474" s="5" t="s">
        <v>74</v>
      </c>
      <c r="E1474" s="5" t="s">
        <v>42</v>
      </c>
      <c r="F1474" s="5" t="s">
        <v>3665</v>
      </c>
      <c r="H1474" s="5" t="s">
        <v>5094</v>
      </c>
      <c r="J1474" s="10" t="s">
        <v>72</v>
      </c>
    </row>
    <row r="1475" ht="12.75" customHeight="1">
      <c r="A1475" s="5" t="s">
        <v>5080</v>
      </c>
      <c r="B1475" s="5" t="s">
        <v>5099</v>
      </c>
      <c r="D1475" s="5" t="s">
        <v>74</v>
      </c>
      <c r="E1475" s="5" t="s">
        <v>42</v>
      </c>
      <c r="F1475" s="5" t="s">
        <v>686</v>
      </c>
      <c r="H1475" s="5" t="s">
        <v>4932</v>
      </c>
      <c r="J1475" s="10" t="s">
        <v>72</v>
      </c>
      <c r="K1475" s="5" t="s">
        <v>5078</v>
      </c>
    </row>
    <row r="1476" ht="12.75" customHeight="1">
      <c r="A1476" s="5" t="s">
        <v>5083</v>
      </c>
      <c r="B1476" s="5" t="s">
        <v>5100</v>
      </c>
      <c r="D1476" s="5" t="s">
        <v>74</v>
      </c>
      <c r="E1476" s="5" t="s">
        <v>42</v>
      </c>
      <c r="F1476" s="5" t="s">
        <v>219</v>
      </c>
      <c r="H1476" s="5" t="s">
        <v>4932</v>
      </c>
      <c r="J1476" s="10" t="s">
        <v>72</v>
      </c>
      <c r="K1476" s="5" t="s">
        <v>5101</v>
      </c>
    </row>
    <row r="1477" ht="12.75" customHeight="1">
      <c r="A1477" s="5" t="s">
        <v>5094</v>
      </c>
      <c r="B1477" s="10" t="s">
        <v>5102</v>
      </c>
      <c r="D1477" s="5" t="s">
        <v>74</v>
      </c>
      <c r="E1477" s="5" t="s">
        <v>42</v>
      </c>
      <c r="F1477" s="5" t="s">
        <v>219</v>
      </c>
      <c r="H1477" s="5" t="s">
        <v>4932</v>
      </c>
      <c r="J1477" s="10" t="s">
        <v>72</v>
      </c>
      <c r="K1477" s="5" t="s">
        <v>5104</v>
      </c>
    </row>
    <row r="1478" ht="12.75" customHeight="1">
      <c r="A1478" s="5" t="s">
        <v>5106</v>
      </c>
      <c r="B1478" s="5" t="s">
        <v>5107</v>
      </c>
      <c r="C1478" s="5" t="s">
        <v>5108</v>
      </c>
      <c r="D1478" s="5" t="s">
        <v>34</v>
      </c>
      <c r="E1478" s="5" t="s">
        <v>42</v>
      </c>
      <c r="F1478" s="5" t="s">
        <v>228</v>
      </c>
      <c r="J1478" s="10" t="s">
        <v>72</v>
      </c>
      <c r="K1478" s="5" t="s">
        <v>5109</v>
      </c>
    </row>
    <row r="1479" ht="12.75" customHeight="1">
      <c r="A1479" s="5" t="s">
        <v>5110</v>
      </c>
      <c r="B1479" s="5" t="s">
        <v>5111</v>
      </c>
      <c r="D1479" s="5" t="s">
        <v>12</v>
      </c>
      <c r="E1479" s="5" t="s">
        <v>42</v>
      </c>
      <c r="F1479" s="5" t="s">
        <v>386</v>
      </c>
      <c r="H1479" s="5" t="s">
        <v>4600</v>
      </c>
      <c r="J1479" s="10" t="s">
        <v>72</v>
      </c>
    </row>
    <row r="1480" ht="12.75" customHeight="1">
      <c r="A1480" s="5" t="s">
        <v>5112</v>
      </c>
      <c r="B1480" s="5" t="s">
        <v>5113</v>
      </c>
      <c r="D1480" s="5" t="s">
        <v>22</v>
      </c>
      <c r="E1480" s="5" t="s">
        <v>35</v>
      </c>
      <c r="F1480" s="5" t="s">
        <v>104</v>
      </c>
      <c r="H1480" s="5" t="s">
        <v>4600</v>
      </c>
      <c r="J1480" s="10" t="s">
        <v>72</v>
      </c>
      <c r="L1480" s="5" t="s">
        <v>5115</v>
      </c>
    </row>
    <row r="1481" ht="12.75" customHeight="1">
      <c r="A1481" s="5" t="s">
        <v>4173</v>
      </c>
      <c r="B1481" s="5" t="s">
        <v>5117</v>
      </c>
      <c r="D1481" s="5" t="s">
        <v>22</v>
      </c>
      <c r="E1481" s="5" t="s">
        <v>42</v>
      </c>
      <c r="F1481" s="5" t="s">
        <v>610</v>
      </c>
      <c r="H1481" s="5" t="s">
        <v>4600</v>
      </c>
      <c r="J1481" s="10" t="s">
        <v>72</v>
      </c>
      <c r="L1481" s="5" t="s">
        <v>5118</v>
      </c>
    </row>
    <row r="1482" ht="12.75" customHeight="1">
      <c r="A1482" s="5" t="s">
        <v>2945</v>
      </c>
      <c r="B1482" s="5" t="s">
        <v>5119</v>
      </c>
      <c r="D1482" s="5" t="s">
        <v>30</v>
      </c>
      <c r="E1482" s="5" t="s">
        <v>35</v>
      </c>
      <c r="F1482" s="5" t="s">
        <v>1831</v>
      </c>
      <c r="H1482" s="5" t="s">
        <v>4600</v>
      </c>
      <c r="J1482" s="10" t="s">
        <v>72</v>
      </c>
      <c r="K1482" s="5" t="s">
        <v>2943</v>
      </c>
      <c r="L1482" s="5" t="s">
        <v>5120</v>
      </c>
    </row>
    <row r="1483" ht="12.75" customHeight="1">
      <c r="A1483" s="5" t="s">
        <v>2838</v>
      </c>
      <c r="B1483" s="5" t="s">
        <v>5121</v>
      </c>
      <c r="D1483" s="5" t="s">
        <v>30</v>
      </c>
      <c r="E1483" s="5" t="s">
        <v>42</v>
      </c>
      <c r="F1483" s="5" t="s">
        <v>157</v>
      </c>
      <c r="H1483" s="5" t="s">
        <v>4600</v>
      </c>
      <c r="J1483" s="10" t="s">
        <v>72</v>
      </c>
      <c r="K1483" s="5" t="s">
        <v>4688</v>
      </c>
      <c r="L1483" s="5" t="s">
        <v>5124</v>
      </c>
    </row>
    <row r="1484" ht="12.75" customHeight="1">
      <c r="A1484" s="5" t="s">
        <v>5125</v>
      </c>
      <c r="B1484" s="5" t="s">
        <v>5126</v>
      </c>
      <c r="D1484" s="5" t="s">
        <v>34</v>
      </c>
      <c r="E1484" s="5" t="s">
        <v>35</v>
      </c>
      <c r="F1484" s="5" t="s">
        <v>36</v>
      </c>
      <c r="H1484" s="5" t="s">
        <v>4600</v>
      </c>
      <c r="J1484" s="10" t="s">
        <v>72</v>
      </c>
    </row>
    <row r="1485" ht="12.75" customHeight="1">
      <c r="A1485" s="5" t="s">
        <v>2952</v>
      </c>
      <c r="B1485" s="5" t="s">
        <v>5127</v>
      </c>
      <c r="D1485" s="5" t="s">
        <v>34</v>
      </c>
      <c r="E1485" s="5" t="s">
        <v>42</v>
      </c>
      <c r="F1485" s="5" t="s">
        <v>445</v>
      </c>
      <c r="H1485" s="5" t="s">
        <v>4600</v>
      </c>
      <c r="J1485" s="10" t="s">
        <v>72</v>
      </c>
      <c r="K1485" s="5" t="s">
        <v>2949</v>
      </c>
    </row>
    <row r="1486" ht="12.75" customHeight="1">
      <c r="A1486" s="5" t="s">
        <v>4538</v>
      </c>
      <c r="B1486" s="5" t="s">
        <v>5129</v>
      </c>
      <c r="D1486" s="5" t="s">
        <v>50</v>
      </c>
      <c r="E1486" s="5" t="s">
        <v>35</v>
      </c>
      <c r="F1486" s="5" t="s">
        <v>605</v>
      </c>
      <c r="H1486" s="5" t="s">
        <v>2092</v>
      </c>
      <c r="J1486" s="10" t="s">
        <v>72</v>
      </c>
      <c r="L1486" s="5" t="s">
        <v>5131</v>
      </c>
    </row>
    <row r="1487" ht="12.75" customHeight="1">
      <c r="A1487" s="5" t="s">
        <v>2095</v>
      </c>
      <c r="B1487" s="5" t="s">
        <v>5132</v>
      </c>
      <c r="D1487" s="5" t="s">
        <v>50</v>
      </c>
      <c r="E1487" s="5" t="s">
        <v>42</v>
      </c>
      <c r="F1487" s="5" t="s">
        <v>657</v>
      </c>
      <c r="H1487" s="5" t="s">
        <v>2092</v>
      </c>
      <c r="J1487" s="10" t="s">
        <v>72</v>
      </c>
      <c r="K1487" s="5" t="s">
        <v>2889</v>
      </c>
      <c r="L1487" s="5" t="s">
        <v>5133</v>
      </c>
    </row>
    <row r="1488" ht="12.75" customHeight="1">
      <c r="A1488" s="5" t="s">
        <v>5134</v>
      </c>
      <c r="B1488" s="5" t="s">
        <v>5136</v>
      </c>
      <c r="D1488" s="5" t="s">
        <v>55</v>
      </c>
      <c r="E1488" s="5" t="s">
        <v>42</v>
      </c>
      <c r="F1488" s="5" t="s">
        <v>1244</v>
      </c>
      <c r="H1488" s="5" t="s">
        <v>2092</v>
      </c>
      <c r="J1488" s="10" t="s">
        <v>72</v>
      </c>
    </row>
    <row r="1489" ht="12.75" customHeight="1">
      <c r="A1489" s="5" t="s">
        <v>2885</v>
      </c>
      <c r="B1489" s="5" t="s">
        <v>5138</v>
      </c>
      <c r="D1489" s="5" t="s">
        <v>34</v>
      </c>
      <c r="E1489" s="5" t="s">
        <v>35</v>
      </c>
      <c r="F1489" s="5" t="s">
        <v>4630</v>
      </c>
      <c r="H1489" s="5" t="s">
        <v>2092</v>
      </c>
      <c r="J1489" s="10" t="s">
        <v>72</v>
      </c>
      <c r="K1489" s="5" t="s">
        <v>5139</v>
      </c>
      <c r="L1489" s="5" t="s">
        <v>5140</v>
      </c>
    </row>
    <row r="1490" ht="12.75" customHeight="1">
      <c r="A1490" s="5" t="s">
        <v>916</v>
      </c>
      <c r="B1490" s="5" t="s">
        <v>5141</v>
      </c>
      <c r="D1490" s="5" t="s">
        <v>34</v>
      </c>
      <c r="E1490" s="5" t="s">
        <v>42</v>
      </c>
      <c r="F1490" s="5" t="s">
        <v>572</v>
      </c>
      <c r="H1490" s="5" t="s">
        <v>2092</v>
      </c>
      <c r="J1490" s="10" t="s">
        <v>72</v>
      </c>
      <c r="K1490" s="5" t="s">
        <v>5143</v>
      </c>
      <c r="L1490" s="5" t="s">
        <v>5145</v>
      </c>
    </row>
    <row r="1491" ht="12.75" customHeight="1">
      <c r="A1491" s="5" t="s">
        <v>4745</v>
      </c>
      <c r="B1491" s="5" t="s">
        <v>5146</v>
      </c>
      <c r="D1491" s="5" t="s">
        <v>67</v>
      </c>
      <c r="E1491" s="5" t="s">
        <v>42</v>
      </c>
      <c r="F1491" s="5" t="s">
        <v>1308</v>
      </c>
      <c r="H1491" s="5" t="s">
        <v>2092</v>
      </c>
      <c r="J1491" s="10" t="s">
        <v>72</v>
      </c>
      <c r="K1491" s="5" t="s">
        <v>5147</v>
      </c>
      <c r="L1491" s="5" t="s">
        <v>5148</v>
      </c>
    </row>
    <row r="1492" ht="12.75" customHeight="1">
      <c r="A1492" s="5" t="s">
        <v>5149</v>
      </c>
      <c r="B1492" s="5" t="s">
        <v>5150</v>
      </c>
      <c r="D1492" s="5" t="s">
        <v>74</v>
      </c>
      <c r="E1492" s="5" t="s">
        <v>35</v>
      </c>
      <c r="F1492" s="5" t="s">
        <v>868</v>
      </c>
      <c r="H1492" s="5" t="s">
        <v>2092</v>
      </c>
      <c r="J1492" s="10" t="s">
        <v>72</v>
      </c>
      <c r="K1492" s="5" t="s">
        <v>2931</v>
      </c>
      <c r="L1492" s="5" t="s">
        <v>5152</v>
      </c>
    </row>
    <row r="1493" ht="12.75" customHeight="1">
      <c r="A1493" s="5" t="s">
        <v>4729</v>
      </c>
      <c r="B1493" s="5" t="s">
        <v>5154</v>
      </c>
      <c r="D1493" s="5" t="s">
        <v>74</v>
      </c>
      <c r="E1493" s="5" t="s">
        <v>42</v>
      </c>
      <c r="F1493" s="5" t="s">
        <v>4728</v>
      </c>
      <c r="H1493" s="5" t="s">
        <v>2092</v>
      </c>
      <c r="J1493" s="10" t="s">
        <v>72</v>
      </c>
      <c r="K1493" s="5" t="s">
        <v>2912</v>
      </c>
      <c r="L1493" s="5" t="s">
        <v>5155</v>
      </c>
    </row>
    <row r="1494" ht="12.75" customHeight="1">
      <c r="A1494" s="5" t="s">
        <v>5156</v>
      </c>
      <c r="B1494" s="5" t="s">
        <v>5157</v>
      </c>
      <c r="D1494" s="5" t="s">
        <v>50</v>
      </c>
      <c r="E1494" s="5" t="s">
        <v>35</v>
      </c>
      <c r="F1494" s="5" t="s">
        <v>605</v>
      </c>
      <c r="H1494" s="5" t="s">
        <v>4538</v>
      </c>
      <c r="I1494" s="10" t="s">
        <v>72</v>
      </c>
      <c r="J1494" s="10" t="s">
        <v>72</v>
      </c>
    </row>
    <row r="1495" ht="12.75" customHeight="1">
      <c r="A1495" s="5" t="s">
        <v>4282</v>
      </c>
      <c r="B1495" s="5" t="s">
        <v>5159</v>
      </c>
      <c r="D1495" s="5" t="s">
        <v>50</v>
      </c>
      <c r="E1495" s="5" t="s">
        <v>42</v>
      </c>
      <c r="F1495" s="5" t="s">
        <v>657</v>
      </c>
      <c r="H1495" s="5" t="s">
        <v>2095</v>
      </c>
      <c r="I1495" s="10" t="s">
        <v>72</v>
      </c>
      <c r="J1495" s="10" t="s">
        <v>72</v>
      </c>
      <c r="L1495" s="5" t="s">
        <v>4279</v>
      </c>
    </row>
    <row r="1496" ht="12.75" customHeight="1">
      <c r="A1496" s="5" t="s">
        <v>5161</v>
      </c>
      <c r="B1496" s="5" t="s">
        <v>5162</v>
      </c>
      <c r="D1496" s="5" t="s">
        <v>34</v>
      </c>
      <c r="E1496" s="5" t="s">
        <v>35</v>
      </c>
      <c r="F1496" s="5" t="s">
        <v>4630</v>
      </c>
      <c r="H1496" s="5" t="s">
        <v>2885</v>
      </c>
      <c r="I1496" s="10" t="s">
        <v>72</v>
      </c>
      <c r="J1496" s="10" t="s">
        <v>72</v>
      </c>
    </row>
    <row r="1497" ht="12.75" customHeight="1">
      <c r="A1497" s="5" t="s">
        <v>5163</v>
      </c>
      <c r="B1497" s="5" t="s">
        <v>5164</v>
      </c>
      <c r="D1497" s="5" t="s">
        <v>34</v>
      </c>
      <c r="E1497" s="5" t="s">
        <v>42</v>
      </c>
      <c r="F1497" s="5" t="s">
        <v>572</v>
      </c>
      <c r="H1497" s="5" t="s">
        <v>916</v>
      </c>
      <c r="I1497" s="10" t="s">
        <v>72</v>
      </c>
      <c r="J1497" s="10" t="s">
        <v>72</v>
      </c>
    </row>
    <row r="1498" ht="12.75" customHeight="1">
      <c r="A1498" s="5" t="s">
        <v>2938</v>
      </c>
      <c r="B1498" s="5" t="s">
        <v>5167</v>
      </c>
      <c r="D1498" s="5" t="s">
        <v>67</v>
      </c>
      <c r="E1498" s="5" t="s">
        <v>42</v>
      </c>
      <c r="F1498" s="5" t="s">
        <v>1308</v>
      </c>
      <c r="H1498" s="5" t="s">
        <v>4745</v>
      </c>
      <c r="I1498" s="10" t="s">
        <v>72</v>
      </c>
      <c r="J1498" s="10" t="s">
        <v>72</v>
      </c>
      <c r="K1498" s="5" t="s">
        <v>2936</v>
      </c>
    </row>
    <row r="1499" ht="12.75" customHeight="1">
      <c r="A1499" s="5" t="s">
        <v>2933</v>
      </c>
      <c r="B1499" s="5" t="s">
        <v>5168</v>
      </c>
      <c r="D1499" s="5" t="s">
        <v>74</v>
      </c>
      <c r="E1499" s="5" t="s">
        <v>35</v>
      </c>
      <c r="F1499" s="5" t="s">
        <v>868</v>
      </c>
      <c r="H1499" s="5" t="s">
        <v>5149</v>
      </c>
      <c r="I1499" s="10" t="s">
        <v>72</v>
      </c>
      <c r="J1499" s="10" t="s">
        <v>72</v>
      </c>
      <c r="K1499" s="5" t="s">
        <v>2931</v>
      </c>
    </row>
    <row r="1500" ht="12.75" customHeight="1">
      <c r="A1500" s="5" t="s">
        <v>5169</v>
      </c>
      <c r="B1500" s="5" t="s">
        <v>5170</v>
      </c>
      <c r="D1500" s="5" t="s">
        <v>74</v>
      </c>
      <c r="E1500" s="5" t="s">
        <v>42</v>
      </c>
      <c r="F1500" s="5" t="s">
        <v>4728</v>
      </c>
      <c r="H1500" s="5" t="s">
        <v>4729</v>
      </c>
      <c r="I1500" s="10" t="s">
        <v>72</v>
      </c>
      <c r="J1500" s="10" t="s">
        <v>72</v>
      </c>
    </row>
    <row r="1501" ht="12.75" customHeight="1">
      <c r="A1501" s="5" t="s">
        <v>2909</v>
      </c>
      <c r="B1501" s="5" t="s">
        <v>5172</v>
      </c>
      <c r="D1501" s="5" t="s">
        <v>34</v>
      </c>
      <c r="E1501" s="5" t="s">
        <v>35</v>
      </c>
      <c r="F1501" s="5" t="s">
        <v>4630</v>
      </c>
      <c r="H1501" s="5" t="s">
        <v>2897</v>
      </c>
      <c r="I1501" s="10" t="s">
        <v>72</v>
      </c>
      <c r="J1501" s="10" t="s">
        <v>72</v>
      </c>
      <c r="K1501" s="5" t="s">
        <v>2906</v>
      </c>
    </row>
    <row r="1502" ht="12.75" customHeight="1">
      <c r="A1502" s="5" t="s">
        <v>5174</v>
      </c>
      <c r="B1502" s="5" t="s">
        <v>5175</v>
      </c>
      <c r="D1502" s="5" t="s">
        <v>34</v>
      </c>
      <c r="E1502" s="5" t="s">
        <v>42</v>
      </c>
      <c r="F1502" s="5" t="s">
        <v>572</v>
      </c>
      <c r="H1502" s="5" t="s">
        <v>2902</v>
      </c>
      <c r="I1502" s="10" t="s">
        <v>72</v>
      </c>
      <c r="J1502" s="10" t="s">
        <v>72</v>
      </c>
    </row>
    <row r="1503" ht="12.75" customHeight="1">
      <c r="A1503" s="5" t="s">
        <v>4285</v>
      </c>
      <c r="B1503" s="5" t="s">
        <v>5176</v>
      </c>
      <c r="D1503" s="5" t="s">
        <v>67</v>
      </c>
      <c r="E1503" s="5" t="s">
        <v>42</v>
      </c>
      <c r="F1503" s="5" t="s">
        <v>1308</v>
      </c>
      <c r="H1503" s="5" t="s">
        <v>5178</v>
      </c>
      <c r="I1503" s="10" t="s">
        <v>72</v>
      </c>
      <c r="J1503" s="10" t="s">
        <v>72</v>
      </c>
      <c r="L1503" s="5" t="s">
        <v>5180</v>
      </c>
    </row>
    <row r="1504" ht="12.75" customHeight="1">
      <c r="A1504" s="5" t="s">
        <v>5181</v>
      </c>
      <c r="B1504" s="5" t="s">
        <v>5182</v>
      </c>
      <c r="D1504" s="5" t="s">
        <v>74</v>
      </c>
      <c r="E1504" s="5" t="s">
        <v>35</v>
      </c>
      <c r="F1504" s="5" t="s">
        <v>868</v>
      </c>
      <c r="H1504" s="5" t="s">
        <v>5183</v>
      </c>
      <c r="I1504" s="10" t="s">
        <v>72</v>
      </c>
      <c r="J1504" s="10" t="s">
        <v>72</v>
      </c>
    </row>
    <row r="1505" ht="12.75" customHeight="1">
      <c r="A1505" s="5" t="s">
        <v>2914</v>
      </c>
      <c r="B1505" s="5" t="s">
        <v>5184</v>
      </c>
      <c r="D1505" s="5" t="s">
        <v>74</v>
      </c>
      <c r="E1505" s="5" t="s">
        <v>42</v>
      </c>
      <c r="F1505" s="5" t="s">
        <v>4728</v>
      </c>
      <c r="H1505" s="5" t="s">
        <v>5185</v>
      </c>
      <c r="I1505" s="10" t="s">
        <v>72</v>
      </c>
      <c r="J1505" s="10" t="s">
        <v>72</v>
      </c>
      <c r="K1505" s="5" t="s">
        <v>2912</v>
      </c>
    </row>
    <row r="1506" ht="12.75" customHeight="1">
      <c r="A1506" s="5" t="s">
        <v>2897</v>
      </c>
      <c r="B1506" s="5" t="s">
        <v>5187</v>
      </c>
      <c r="D1506" s="5" t="s">
        <v>34</v>
      </c>
      <c r="E1506" s="5" t="s">
        <v>35</v>
      </c>
      <c r="F1506" s="5" t="s">
        <v>4630</v>
      </c>
      <c r="H1506" s="5" t="s">
        <v>2885</v>
      </c>
      <c r="I1506" s="10" t="s">
        <v>72</v>
      </c>
      <c r="J1506" s="10" t="s">
        <v>72</v>
      </c>
      <c r="K1506" s="5" t="s">
        <v>5189</v>
      </c>
      <c r="L1506" s="5" t="s">
        <v>2909</v>
      </c>
    </row>
    <row r="1507" ht="12.75" customHeight="1">
      <c r="A1507" s="5" t="s">
        <v>2902</v>
      </c>
      <c r="B1507" s="5" t="s">
        <v>5190</v>
      </c>
      <c r="D1507" s="5" t="s">
        <v>34</v>
      </c>
      <c r="E1507" s="5" t="s">
        <v>42</v>
      </c>
      <c r="F1507" s="5" t="s">
        <v>572</v>
      </c>
      <c r="H1507" s="5" t="s">
        <v>916</v>
      </c>
      <c r="I1507" s="10" t="s">
        <v>72</v>
      </c>
      <c r="J1507" s="10" t="s">
        <v>72</v>
      </c>
      <c r="K1507" s="5" t="s">
        <v>2900</v>
      </c>
      <c r="L1507" s="5" t="s">
        <v>5174</v>
      </c>
    </row>
    <row r="1508" ht="12.75" customHeight="1">
      <c r="A1508" s="5" t="s">
        <v>5178</v>
      </c>
      <c r="B1508" s="5" t="s">
        <v>5191</v>
      </c>
      <c r="D1508" s="5" t="s">
        <v>67</v>
      </c>
      <c r="E1508" s="5" t="s">
        <v>42</v>
      </c>
      <c r="F1508" s="5" t="s">
        <v>1308</v>
      </c>
      <c r="H1508" s="5" t="s">
        <v>4745</v>
      </c>
      <c r="I1508" s="10" t="s">
        <v>72</v>
      </c>
      <c r="J1508" s="10" t="s">
        <v>72</v>
      </c>
      <c r="L1508" s="5" t="s">
        <v>5194</v>
      </c>
    </row>
    <row r="1509" ht="12.75" customHeight="1">
      <c r="A1509" s="5" t="s">
        <v>5183</v>
      </c>
      <c r="B1509" s="5" t="s">
        <v>5195</v>
      </c>
      <c r="D1509" s="5" t="s">
        <v>74</v>
      </c>
      <c r="E1509" s="5" t="s">
        <v>35</v>
      </c>
      <c r="F1509" s="5" t="s">
        <v>868</v>
      </c>
      <c r="H1509" s="5" t="s">
        <v>5149</v>
      </c>
      <c r="I1509" s="10" t="s">
        <v>72</v>
      </c>
      <c r="J1509" s="10" t="s">
        <v>72</v>
      </c>
      <c r="L1509" s="5" t="s">
        <v>5181</v>
      </c>
    </row>
    <row r="1510" ht="12.75" customHeight="1">
      <c r="A1510" s="5" t="s">
        <v>5185</v>
      </c>
      <c r="B1510" s="5" t="s">
        <v>5196</v>
      </c>
      <c r="D1510" s="5" t="s">
        <v>74</v>
      </c>
      <c r="E1510" s="5" t="s">
        <v>42</v>
      </c>
      <c r="F1510" s="5" t="s">
        <v>4728</v>
      </c>
      <c r="H1510" s="5" t="s">
        <v>4729</v>
      </c>
      <c r="I1510" s="10" t="s">
        <v>72</v>
      </c>
      <c r="J1510" s="10" t="s">
        <v>72</v>
      </c>
      <c r="K1510" s="5" t="s">
        <v>2912</v>
      </c>
      <c r="L1510" s="5" t="s">
        <v>2914</v>
      </c>
    </row>
    <row r="1511" ht="12.75" customHeight="1">
      <c r="A1511" s="5" t="s">
        <v>2921</v>
      </c>
      <c r="B1511" s="5" t="s">
        <v>5198</v>
      </c>
      <c r="D1511" s="5" t="s">
        <v>50</v>
      </c>
      <c r="E1511" s="5" t="s">
        <v>35</v>
      </c>
      <c r="F1511" s="5" t="s">
        <v>619</v>
      </c>
      <c r="H1511" s="5" t="s">
        <v>5200</v>
      </c>
      <c r="J1511" s="10" t="s">
        <v>72</v>
      </c>
      <c r="K1511" s="5" t="s">
        <v>2918</v>
      </c>
    </row>
    <row r="1512" ht="12.75" customHeight="1">
      <c r="A1512" s="5" t="s">
        <v>5201</v>
      </c>
      <c r="B1512" s="5" t="s">
        <v>5202</v>
      </c>
      <c r="D1512" s="5" t="s">
        <v>50</v>
      </c>
      <c r="E1512" s="5" t="s">
        <v>42</v>
      </c>
      <c r="F1512" s="5" t="s">
        <v>720</v>
      </c>
      <c r="H1512" s="5" t="s">
        <v>5200</v>
      </c>
      <c r="J1512" s="10" t="s">
        <v>72</v>
      </c>
    </row>
    <row r="1513" ht="12.75" customHeight="1">
      <c r="A1513" s="5" t="s">
        <v>5203</v>
      </c>
      <c r="B1513" s="5" t="s">
        <v>5204</v>
      </c>
      <c r="D1513" s="5" t="s">
        <v>55</v>
      </c>
      <c r="E1513" s="5" t="s">
        <v>42</v>
      </c>
      <c r="F1513" s="5" t="s">
        <v>1461</v>
      </c>
      <c r="H1513" s="5" t="s">
        <v>5200</v>
      </c>
      <c r="J1513" s="10" t="s">
        <v>72</v>
      </c>
    </row>
    <row r="1514" ht="12.75" customHeight="1">
      <c r="A1514" s="5" t="s">
        <v>5205</v>
      </c>
      <c r="B1514" s="5" t="s">
        <v>5207</v>
      </c>
      <c r="D1514" s="5" t="s">
        <v>34</v>
      </c>
      <c r="E1514" s="5" t="s">
        <v>35</v>
      </c>
      <c r="F1514" s="5" t="s">
        <v>913</v>
      </c>
      <c r="H1514" s="5" t="s">
        <v>5200</v>
      </c>
      <c r="J1514" s="10" t="s">
        <v>72</v>
      </c>
    </row>
    <row r="1515" ht="12.75" customHeight="1">
      <c r="A1515" s="5" t="s">
        <v>5209</v>
      </c>
      <c r="B1515" s="5" t="s">
        <v>5210</v>
      </c>
      <c r="D1515" s="5" t="s">
        <v>34</v>
      </c>
      <c r="E1515" s="5" t="s">
        <v>42</v>
      </c>
      <c r="F1515" s="5" t="s">
        <v>599</v>
      </c>
      <c r="H1515" s="5" t="s">
        <v>5200</v>
      </c>
      <c r="J1515" s="10" t="s">
        <v>72</v>
      </c>
    </row>
    <row r="1516" ht="12.75" customHeight="1">
      <c r="A1516" s="5" t="s">
        <v>5211</v>
      </c>
      <c r="B1516" s="5" t="s">
        <v>5212</v>
      </c>
      <c r="D1516" s="5" t="s">
        <v>74</v>
      </c>
      <c r="E1516" s="5" t="s">
        <v>35</v>
      </c>
      <c r="F1516" s="5" t="s">
        <v>267</v>
      </c>
      <c r="H1516" s="5" t="s">
        <v>5200</v>
      </c>
      <c r="J1516" s="10" t="s">
        <v>72</v>
      </c>
    </row>
    <row r="1517" ht="12.75" customHeight="1">
      <c r="A1517" s="5" t="s">
        <v>5213</v>
      </c>
      <c r="B1517" s="5" t="s">
        <v>5214</v>
      </c>
      <c r="D1517" s="5" t="s">
        <v>74</v>
      </c>
      <c r="E1517" s="5" t="s">
        <v>42</v>
      </c>
      <c r="F1517" s="5" t="s">
        <v>445</v>
      </c>
      <c r="H1517" s="5" t="s">
        <v>5200</v>
      </c>
      <c r="J1517" s="10" t="s">
        <v>72</v>
      </c>
    </row>
    <row r="1518" ht="12.75" customHeight="1">
      <c r="A1518" s="5" t="s">
        <v>5217</v>
      </c>
      <c r="B1518" s="5" t="s">
        <v>5218</v>
      </c>
      <c r="D1518" s="5" t="s">
        <v>80</v>
      </c>
      <c r="E1518" s="5" t="s">
        <v>35</v>
      </c>
      <c r="F1518" s="5" t="s">
        <v>1831</v>
      </c>
      <c r="H1518" s="5" t="s">
        <v>5200</v>
      </c>
      <c r="J1518" s="10" t="s">
        <v>72</v>
      </c>
      <c r="L1518" s="5" t="s">
        <v>5219</v>
      </c>
    </row>
    <row r="1519" ht="12.75" customHeight="1">
      <c r="A1519" s="5" t="s">
        <v>2926</v>
      </c>
      <c r="B1519" s="5" t="s">
        <v>5220</v>
      </c>
      <c r="D1519" s="5" t="s">
        <v>80</v>
      </c>
      <c r="E1519" s="5" t="s">
        <v>42</v>
      </c>
      <c r="F1519" s="5" t="s">
        <v>1911</v>
      </c>
      <c r="H1519" s="5" t="s">
        <v>5200</v>
      </c>
      <c r="J1519" s="10" t="s">
        <v>72</v>
      </c>
      <c r="K1519" s="5" t="s">
        <v>5221</v>
      </c>
      <c r="L1519" s="5" t="s">
        <v>5222</v>
      </c>
    </row>
    <row r="1520" ht="12.75" customHeight="1">
      <c r="A1520" s="5" t="s">
        <v>4600</v>
      </c>
      <c r="B1520" s="5" t="s">
        <v>5223</v>
      </c>
      <c r="D1520" s="5" t="s">
        <v>34</v>
      </c>
      <c r="E1520" s="5" t="s">
        <v>42</v>
      </c>
      <c r="F1520" s="5" t="s">
        <v>162</v>
      </c>
      <c r="H1520" s="5" t="s">
        <v>5106</v>
      </c>
      <c r="J1520" s="10" t="s">
        <v>72</v>
      </c>
      <c r="K1520" s="5" t="s">
        <v>5226</v>
      </c>
      <c r="L1520" s="5" t="s">
        <v>5227</v>
      </c>
    </row>
    <row r="1521" ht="12.75" customHeight="1">
      <c r="A1521" s="5" t="s">
        <v>2092</v>
      </c>
      <c r="B1521" s="5" t="s">
        <v>5228</v>
      </c>
      <c r="D1521" s="5" t="s">
        <v>34</v>
      </c>
      <c r="E1521" s="5" t="s">
        <v>42</v>
      </c>
      <c r="F1521" s="5" t="s">
        <v>1753</v>
      </c>
      <c r="H1521" s="5" t="s">
        <v>5106</v>
      </c>
      <c r="J1521" s="10" t="s">
        <v>72</v>
      </c>
      <c r="K1521" s="5" t="s">
        <v>5229</v>
      </c>
      <c r="L1521" s="5" t="s">
        <v>5230</v>
      </c>
      <c r="M1521" s="5" t="s">
        <v>5230</v>
      </c>
    </row>
    <row r="1522" ht="12.75" customHeight="1">
      <c r="A1522" s="5" t="s">
        <v>5200</v>
      </c>
      <c r="B1522" s="5" t="s">
        <v>5231</v>
      </c>
      <c r="D1522" s="5" t="s">
        <v>34</v>
      </c>
      <c r="E1522" s="5" t="s">
        <v>42</v>
      </c>
      <c r="F1522" s="5" t="s">
        <v>634</v>
      </c>
      <c r="H1522" s="5" t="s">
        <v>5106</v>
      </c>
      <c r="J1522" s="10" t="s">
        <v>72</v>
      </c>
      <c r="K1522" s="5" t="s">
        <v>5234</v>
      </c>
    </row>
    <row r="1523" ht="12.75" customHeight="1">
      <c r="A1523" s="5" t="s">
        <v>5235</v>
      </c>
      <c r="B1523" s="5" t="s">
        <v>5236</v>
      </c>
      <c r="D1523" s="5" t="s">
        <v>50</v>
      </c>
      <c r="E1523" s="5" t="s">
        <v>35</v>
      </c>
      <c r="F1523" s="5" t="s">
        <v>36</v>
      </c>
      <c r="H1523" s="5" t="s">
        <v>5237</v>
      </c>
      <c r="J1523" s="10" t="s">
        <v>72</v>
      </c>
    </row>
    <row r="1524" ht="12.75" customHeight="1">
      <c r="A1524" s="5" t="s">
        <v>5238</v>
      </c>
      <c r="B1524" s="5" t="s">
        <v>5239</v>
      </c>
      <c r="D1524" s="5" t="s">
        <v>50</v>
      </c>
      <c r="E1524" s="5" t="s">
        <v>42</v>
      </c>
      <c r="F1524" s="5" t="s">
        <v>228</v>
      </c>
      <c r="H1524" s="5" t="s">
        <v>5240</v>
      </c>
      <c r="J1524" s="10" t="s">
        <v>72</v>
      </c>
    </row>
    <row r="1525" ht="12.75" customHeight="1">
      <c r="A1525" s="5" t="s">
        <v>5242</v>
      </c>
      <c r="B1525" s="5" t="s">
        <v>5243</v>
      </c>
      <c r="D1525" s="5" t="s">
        <v>34</v>
      </c>
      <c r="E1525" s="5" t="s">
        <v>35</v>
      </c>
      <c r="F1525" s="5" t="s">
        <v>4630</v>
      </c>
      <c r="H1525" s="5" t="s">
        <v>5245</v>
      </c>
      <c r="J1525" s="10" t="s">
        <v>72</v>
      </c>
    </row>
    <row r="1526" ht="12.75" customHeight="1">
      <c r="A1526" s="5" t="s">
        <v>5246</v>
      </c>
      <c r="B1526" s="5" t="s">
        <v>5247</v>
      </c>
      <c r="D1526" s="5" t="s">
        <v>34</v>
      </c>
      <c r="E1526" s="5" t="s">
        <v>42</v>
      </c>
      <c r="F1526" s="5" t="s">
        <v>1753</v>
      </c>
      <c r="H1526" s="5" t="s">
        <v>5248</v>
      </c>
      <c r="J1526" s="10" t="s">
        <v>72</v>
      </c>
    </row>
    <row r="1527" ht="12.75" customHeight="1">
      <c r="A1527" s="5" t="s">
        <v>4564</v>
      </c>
      <c r="B1527" s="5" t="s">
        <v>5249</v>
      </c>
      <c r="D1527" s="5" t="s">
        <v>74</v>
      </c>
      <c r="E1527" s="5" t="s">
        <v>35</v>
      </c>
      <c r="F1527" s="5" t="s">
        <v>104</v>
      </c>
      <c r="H1527" s="5" t="s">
        <v>5250</v>
      </c>
      <c r="J1527" s="10" t="s">
        <v>72</v>
      </c>
      <c r="K1527" s="5" t="s">
        <v>4559</v>
      </c>
    </row>
    <row r="1528" ht="12.75" customHeight="1">
      <c r="A1528" s="5" t="s">
        <v>5253</v>
      </c>
      <c r="B1528" s="5" t="s">
        <v>5254</v>
      </c>
      <c r="D1528" s="5" t="s">
        <v>74</v>
      </c>
      <c r="E1528" s="5" t="s">
        <v>42</v>
      </c>
      <c r="F1528" s="5" t="s">
        <v>4728</v>
      </c>
      <c r="H1528" s="5" t="s">
        <v>5255</v>
      </c>
      <c r="J1528" s="10" t="s">
        <v>72</v>
      </c>
    </row>
    <row r="1529" ht="12.75" customHeight="1">
      <c r="A1529" s="5" t="s">
        <v>5256</v>
      </c>
      <c r="B1529" s="5" t="s">
        <v>5257</v>
      </c>
      <c r="D1529" s="5" t="s">
        <v>50</v>
      </c>
      <c r="E1529" s="5" t="s">
        <v>42</v>
      </c>
      <c r="F1529" s="5" t="s">
        <v>228</v>
      </c>
      <c r="H1529" s="5" t="s">
        <v>5240</v>
      </c>
      <c r="J1529" s="10" t="s">
        <v>72</v>
      </c>
    </row>
    <row r="1530" ht="12.75" customHeight="1">
      <c r="A1530" s="5" t="s">
        <v>5258</v>
      </c>
      <c r="B1530" s="5" t="s">
        <v>5259</v>
      </c>
      <c r="D1530" s="5" t="s">
        <v>34</v>
      </c>
      <c r="E1530" s="5" t="s">
        <v>42</v>
      </c>
      <c r="F1530" s="5" t="s">
        <v>3665</v>
      </c>
      <c r="H1530" s="5" t="s">
        <v>5248</v>
      </c>
      <c r="J1530" s="10" t="s">
        <v>72</v>
      </c>
    </row>
    <row r="1531" ht="12.75" customHeight="1">
      <c r="A1531" s="5" t="s">
        <v>5261</v>
      </c>
      <c r="B1531" s="5" t="s">
        <v>5262</v>
      </c>
      <c r="D1531" s="5" t="s">
        <v>67</v>
      </c>
      <c r="E1531" s="5" t="s">
        <v>42</v>
      </c>
      <c r="F1531" s="5" t="s">
        <v>1672</v>
      </c>
      <c r="H1531" s="5" t="s">
        <v>5264</v>
      </c>
      <c r="J1531" s="10" t="s">
        <v>72</v>
      </c>
    </row>
    <row r="1532" ht="12.75" customHeight="1">
      <c r="A1532" s="5" t="s">
        <v>5265</v>
      </c>
      <c r="B1532" s="5" t="s">
        <v>5266</v>
      </c>
      <c r="D1532" s="5" t="s">
        <v>74</v>
      </c>
      <c r="E1532" s="5" t="s">
        <v>42</v>
      </c>
      <c r="F1532" s="5" t="s">
        <v>146</v>
      </c>
      <c r="H1532" s="5" t="s">
        <v>5255</v>
      </c>
      <c r="J1532" s="10" t="s">
        <v>72</v>
      </c>
    </row>
    <row r="1533" ht="12.75" customHeight="1">
      <c r="A1533" s="5" t="s">
        <v>5267</v>
      </c>
      <c r="B1533" s="5" t="s">
        <v>5268</v>
      </c>
      <c r="D1533" s="5" t="s">
        <v>12</v>
      </c>
      <c r="E1533" s="5" t="s">
        <v>42</v>
      </c>
      <c r="F1533" s="5" t="s">
        <v>392</v>
      </c>
      <c r="H1533" s="5" t="s">
        <v>5269</v>
      </c>
      <c r="J1533" s="10" t="s">
        <v>72</v>
      </c>
    </row>
    <row r="1534" ht="12.75" customHeight="1">
      <c r="A1534" s="5" t="s">
        <v>5270</v>
      </c>
      <c r="B1534" s="5" t="s">
        <v>5271</v>
      </c>
      <c r="D1534" s="5" t="s">
        <v>22</v>
      </c>
      <c r="E1534" s="5" t="s">
        <v>35</v>
      </c>
      <c r="F1534" s="5" t="s">
        <v>278</v>
      </c>
      <c r="H1534" s="5" t="s">
        <v>5269</v>
      </c>
      <c r="J1534" s="10" t="s">
        <v>72</v>
      </c>
    </row>
    <row r="1535" ht="12.75" customHeight="1">
      <c r="A1535" s="5" t="s">
        <v>5274</v>
      </c>
      <c r="B1535" s="5" t="s">
        <v>5275</v>
      </c>
      <c r="D1535" s="5" t="s">
        <v>22</v>
      </c>
      <c r="E1535" s="5" t="s">
        <v>42</v>
      </c>
      <c r="F1535" s="5" t="s">
        <v>575</v>
      </c>
      <c r="H1535" s="5" t="s">
        <v>5269</v>
      </c>
      <c r="J1535" s="10" t="s">
        <v>72</v>
      </c>
    </row>
    <row r="1536" ht="12.75" customHeight="1">
      <c r="A1536" s="5" t="s">
        <v>5276</v>
      </c>
      <c r="B1536" s="5" t="s">
        <v>5277</v>
      </c>
      <c r="D1536" s="5" t="s">
        <v>30</v>
      </c>
      <c r="E1536" s="5" t="s">
        <v>35</v>
      </c>
      <c r="F1536" s="5" t="s">
        <v>96</v>
      </c>
      <c r="H1536" s="5" t="s">
        <v>5269</v>
      </c>
      <c r="J1536" s="10" t="s">
        <v>72</v>
      </c>
    </row>
    <row r="1537" ht="12.75" customHeight="1">
      <c r="A1537" s="5" t="s">
        <v>5278</v>
      </c>
      <c r="B1537" s="5" t="s">
        <v>5279</v>
      </c>
      <c r="D1537" s="5" t="s">
        <v>30</v>
      </c>
      <c r="E1537" s="5" t="s">
        <v>42</v>
      </c>
      <c r="F1537" s="5" t="s">
        <v>967</v>
      </c>
      <c r="H1537" s="5" t="s">
        <v>5269</v>
      </c>
      <c r="J1537" s="10" t="s">
        <v>72</v>
      </c>
    </row>
    <row r="1538" ht="12.75" customHeight="1">
      <c r="A1538" s="5" t="s">
        <v>1287</v>
      </c>
      <c r="B1538" s="5" t="s">
        <v>5282</v>
      </c>
      <c r="D1538" s="5" t="s">
        <v>34</v>
      </c>
      <c r="E1538" s="5" t="s">
        <v>35</v>
      </c>
      <c r="F1538" s="5" t="s">
        <v>104</v>
      </c>
      <c r="H1538" s="5" t="s">
        <v>5269</v>
      </c>
      <c r="J1538" s="10" t="s">
        <v>72</v>
      </c>
      <c r="L1538" s="5" t="s">
        <v>1283</v>
      </c>
    </row>
    <row r="1539" ht="12.75" customHeight="1">
      <c r="A1539" s="5" t="s">
        <v>5283</v>
      </c>
      <c r="B1539" s="5" t="s">
        <v>5284</v>
      </c>
      <c r="D1539" s="5" t="s">
        <v>34</v>
      </c>
      <c r="E1539" s="5" t="s">
        <v>42</v>
      </c>
      <c r="F1539" s="5" t="s">
        <v>445</v>
      </c>
      <c r="H1539" s="5" t="s">
        <v>5269</v>
      </c>
      <c r="J1539" s="10" t="s">
        <v>72</v>
      </c>
    </row>
    <row r="1540" ht="12.75" customHeight="1">
      <c r="A1540" s="5" t="s">
        <v>5237</v>
      </c>
      <c r="B1540" s="5" t="s">
        <v>5285</v>
      </c>
      <c r="D1540" s="5" t="s">
        <v>50</v>
      </c>
      <c r="E1540" s="5" t="s">
        <v>35</v>
      </c>
      <c r="F1540" s="5" t="s">
        <v>90</v>
      </c>
      <c r="H1540" s="5" t="s">
        <v>5286</v>
      </c>
      <c r="J1540" s="10" t="s">
        <v>72</v>
      </c>
      <c r="K1540" s="5" t="s">
        <v>5235</v>
      </c>
      <c r="L1540" s="5" t="s">
        <v>5288</v>
      </c>
    </row>
    <row r="1541" ht="12.75" customHeight="1">
      <c r="A1541" s="5" t="s">
        <v>5240</v>
      </c>
      <c r="B1541" s="5" t="s">
        <v>5289</v>
      </c>
      <c r="D1541" s="5" t="s">
        <v>50</v>
      </c>
      <c r="E1541" s="5" t="s">
        <v>42</v>
      </c>
      <c r="F1541" s="5" t="s">
        <v>637</v>
      </c>
      <c r="H1541" s="5" t="s">
        <v>5286</v>
      </c>
      <c r="J1541" s="10" t="s">
        <v>72</v>
      </c>
      <c r="K1541" s="5" t="s">
        <v>5291</v>
      </c>
      <c r="L1541" s="5" t="s">
        <v>5292</v>
      </c>
    </row>
    <row r="1542" ht="12.75" customHeight="1">
      <c r="A1542" s="5" t="s">
        <v>2538</v>
      </c>
      <c r="B1542" s="5" t="s">
        <v>5293</v>
      </c>
      <c r="D1542" s="5" t="s">
        <v>55</v>
      </c>
      <c r="E1542" s="5" t="s">
        <v>42</v>
      </c>
      <c r="F1542" s="5" t="s">
        <v>4124</v>
      </c>
      <c r="H1542" s="5" t="s">
        <v>5286</v>
      </c>
      <c r="J1542" s="10" t="s">
        <v>72</v>
      </c>
      <c r="K1542" s="5" t="s">
        <v>2536</v>
      </c>
    </row>
    <row r="1543" ht="12.75" customHeight="1">
      <c r="A1543" s="5" t="s">
        <v>5245</v>
      </c>
      <c r="B1543" s="5" t="s">
        <v>5294</v>
      </c>
      <c r="D1543" s="5" t="s">
        <v>34</v>
      </c>
      <c r="E1543" s="5" t="s">
        <v>35</v>
      </c>
      <c r="F1543" s="5" t="s">
        <v>189</v>
      </c>
      <c r="H1543" s="5" t="s">
        <v>5286</v>
      </c>
      <c r="J1543" s="10" t="s">
        <v>72</v>
      </c>
      <c r="K1543" s="5" t="s">
        <v>5242</v>
      </c>
      <c r="L1543" s="5" t="s">
        <v>5297</v>
      </c>
    </row>
    <row r="1544" ht="12.75" customHeight="1">
      <c r="A1544" s="5" t="s">
        <v>5248</v>
      </c>
      <c r="B1544" s="5" t="s">
        <v>5298</v>
      </c>
      <c r="D1544" s="5" t="s">
        <v>34</v>
      </c>
      <c r="E1544" s="5" t="s">
        <v>42</v>
      </c>
      <c r="F1544" s="5" t="s">
        <v>599</v>
      </c>
      <c r="H1544" s="5" t="s">
        <v>5286</v>
      </c>
      <c r="J1544" s="10" t="s">
        <v>72</v>
      </c>
      <c r="K1544" s="5" t="s">
        <v>5299</v>
      </c>
      <c r="L1544" s="5" t="s">
        <v>5300</v>
      </c>
    </row>
    <row r="1545" ht="12.75" customHeight="1">
      <c r="A1545" s="5" t="s">
        <v>5264</v>
      </c>
      <c r="B1545" s="5" t="s">
        <v>5301</v>
      </c>
      <c r="D1545" s="5" t="s">
        <v>67</v>
      </c>
      <c r="E1545" s="5" t="s">
        <v>42</v>
      </c>
      <c r="F1545" s="5" t="s">
        <v>566</v>
      </c>
      <c r="H1545" s="5" t="s">
        <v>5286</v>
      </c>
      <c r="J1545" s="10" t="s">
        <v>72</v>
      </c>
      <c r="K1545" s="5" t="s">
        <v>5261</v>
      </c>
      <c r="L1545" s="5" t="s">
        <v>5303</v>
      </c>
    </row>
    <row r="1546" ht="12.75" customHeight="1">
      <c r="A1546" s="5" t="s">
        <v>5250</v>
      </c>
      <c r="B1546" s="5" t="s">
        <v>5305</v>
      </c>
      <c r="D1546" s="5" t="s">
        <v>74</v>
      </c>
      <c r="E1546" s="5" t="s">
        <v>35</v>
      </c>
      <c r="F1546" s="5" t="s">
        <v>267</v>
      </c>
      <c r="H1546" s="5" t="s">
        <v>5286</v>
      </c>
      <c r="J1546" s="10" t="s">
        <v>72</v>
      </c>
      <c r="K1546" s="5" t="s">
        <v>4564</v>
      </c>
      <c r="L1546" s="5" t="s">
        <v>5306</v>
      </c>
    </row>
    <row r="1547" ht="12.75" customHeight="1">
      <c r="A1547" s="5" t="s">
        <v>5255</v>
      </c>
      <c r="B1547" s="5" t="s">
        <v>5307</v>
      </c>
      <c r="D1547" s="5" t="s">
        <v>74</v>
      </c>
      <c r="E1547" s="5" t="s">
        <v>42</v>
      </c>
      <c r="F1547" s="5" t="s">
        <v>445</v>
      </c>
      <c r="H1547" s="5" t="s">
        <v>5286</v>
      </c>
      <c r="J1547" s="10" t="s">
        <v>72</v>
      </c>
      <c r="K1547" s="5" t="s">
        <v>5310</v>
      </c>
      <c r="L1547" s="5" t="s">
        <v>5311</v>
      </c>
    </row>
    <row r="1548" ht="12.75" customHeight="1">
      <c r="A1548" s="5" t="s">
        <v>5288</v>
      </c>
      <c r="B1548" s="5" t="s">
        <v>5313</v>
      </c>
      <c r="D1548" s="5" t="s">
        <v>50</v>
      </c>
      <c r="E1548" s="5" t="s">
        <v>35</v>
      </c>
      <c r="F1548" s="5" t="s">
        <v>90</v>
      </c>
      <c r="H1548" s="5" t="s">
        <v>5237</v>
      </c>
      <c r="I1548" s="10" t="s">
        <v>72</v>
      </c>
      <c r="J1548" s="10" t="s">
        <v>72</v>
      </c>
    </row>
    <row r="1549" ht="12.75" customHeight="1">
      <c r="A1549" s="5" t="s">
        <v>5292</v>
      </c>
      <c r="B1549" s="5" t="s">
        <v>5315</v>
      </c>
      <c r="D1549" s="5" t="s">
        <v>50</v>
      </c>
      <c r="E1549" s="5" t="s">
        <v>42</v>
      </c>
      <c r="F1549" s="5" t="s">
        <v>637</v>
      </c>
      <c r="H1549" s="5" t="s">
        <v>5240</v>
      </c>
      <c r="I1549" s="10" t="s">
        <v>72</v>
      </c>
      <c r="J1549" s="10" t="s">
        <v>72</v>
      </c>
    </row>
    <row r="1550" ht="12.75" customHeight="1">
      <c r="A1550" s="5" t="s">
        <v>5316</v>
      </c>
      <c r="B1550" s="5" t="s">
        <v>5317</v>
      </c>
      <c r="D1550" s="5" t="s">
        <v>34</v>
      </c>
      <c r="E1550" s="5" t="s">
        <v>35</v>
      </c>
      <c r="F1550" s="5" t="s">
        <v>189</v>
      </c>
      <c r="H1550" s="5" t="s">
        <v>5245</v>
      </c>
      <c r="I1550" s="10" t="s">
        <v>72</v>
      </c>
      <c r="J1550" s="10" t="s">
        <v>72</v>
      </c>
    </row>
    <row r="1551" ht="12.75" customHeight="1">
      <c r="A1551" s="5" t="s">
        <v>5319</v>
      </c>
      <c r="B1551" s="5" t="s">
        <v>5321</v>
      </c>
      <c r="D1551" s="5" t="s">
        <v>34</v>
      </c>
      <c r="E1551" s="5" t="s">
        <v>42</v>
      </c>
      <c r="F1551" s="5" t="s">
        <v>599</v>
      </c>
      <c r="H1551" s="5" t="s">
        <v>5248</v>
      </c>
      <c r="I1551" s="10" t="s">
        <v>72</v>
      </c>
      <c r="J1551" s="10" t="s">
        <v>72</v>
      </c>
    </row>
    <row r="1552" ht="12.75" customHeight="1">
      <c r="A1552" s="5" t="s">
        <v>5322</v>
      </c>
      <c r="B1552" s="5" t="s">
        <v>5323</v>
      </c>
      <c r="D1552" s="5" t="s">
        <v>67</v>
      </c>
      <c r="E1552" s="5" t="s">
        <v>42</v>
      </c>
      <c r="F1552" s="5" t="s">
        <v>566</v>
      </c>
      <c r="H1552" s="5" t="s">
        <v>5264</v>
      </c>
      <c r="I1552" s="10" t="s">
        <v>72</v>
      </c>
      <c r="J1552" s="10" t="s">
        <v>72</v>
      </c>
    </row>
    <row r="1553" ht="12.75" customHeight="1">
      <c r="A1553" s="5" t="s">
        <v>5324</v>
      </c>
      <c r="B1553" s="5" t="s">
        <v>5325</v>
      </c>
      <c r="D1553" s="5" t="s">
        <v>74</v>
      </c>
      <c r="E1553" s="5" t="s">
        <v>35</v>
      </c>
      <c r="F1553" s="5" t="s">
        <v>267</v>
      </c>
      <c r="H1553" s="5" t="s">
        <v>5250</v>
      </c>
      <c r="I1553" s="10" t="s">
        <v>72</v>
      </c>
      <c r="J1553" s="10" t="s">
        <v>72</v>
      </c>
    </row>
    <row r="1554" ht="12.75" customHeight="1">
      <c r="A1554" s="5" t="s">
        <v>5327</v>
      </c>
      <c r="B1554" s="5" t="s">
        <v>5329</v>
      </c>
      <c r="D1554" s="5" t="s">
        <v>74</v>
      </c>
      <c r="E1554" s="5" t="s">
        <v>42</v>
      </c>
      <c r="F1554" s="5" t="s">
        <v>445</v>
      </c>
      <c r="H1554" s="5" t="s">
        <v>5255</v>
      </c>
      <c r="I1554" s="10" t="s">
        <v>72</v>
      </c>
      <c r="J1554" s="10" t="s">
        <v>72</v>
      </c>
    </row>
    <row r="1555" ht="12.75" customHeight="1">
      <c r="A1555" s="5" t="s">
        <v>5330</v>
      </c>
      <c r="B1555" s="5" t="s">
        <v>5331</v>
      </c>
      <c r="D1555" s="5" t="s">
        <v>34</v>
      </c>
      <c r="E1555" s="5" t="s">
        <v>35</v>
      </c>
      <c r="F1555" s="5" t="s">
        <v>189</v>
      </c>
      <c r="H1555" s="5" t="s">
        <v>5332</v>
      </c>
      <c r="I1555" s="10" t="s">
        <v>72</v>
      </c>
    </row>
    <row r="1556" ht="12.75" customHeight="1">
      <c r="A1556" s="5" t="s">
        <v>3630</v>
      </c>
      <c r="B1556" s="5" t="s">
        <v>5333</v>
      </c>
      <c r="D1556" s="5" t="s">
        <v>34</v>
      </c>
      <c r="E1556" s="5" t="s">
        <v>42</v>
      </c>
      <c r="F1556" s="5" t="s">
        <v>599</v>
      </c>
      <c r="H1556" s="5" t="s">
        <v>5334</v>
      </c>
      <c r="I1556" s="10" t="s">
        <v>72</v>
      </c>
      <c r="K1556" s="5" t="s">
        <v>5336</v>
      </c>
    </row>
    <row r="1557" ht="12.75" customHeight="1">
      <c r="A1557" s="5" t="s">
        <v>5338</v>
      </c>
      <c r="B1557" s="5" t="s">
        <v>5339</v>
      </c>
      <c r="D1557" s="5" t="s">
        <v>67</v>
      </c>
      <c r="E1557" s="5" t="s">
        <v>42</v>
      </c>
      <c r="F1557" s="5" t="s">
        <v>566</v>
      </c>
      <c r="H1557" s="5" t="s">
        <v>5340</v>
      </c>
      <c r="I1557" s="10" t="s">
        <v>72</v>
      </c>
    </row>
    <row r="1558" ht="12.75" customHeight="1">
      <c r="A1558" s="5" t="s">
        <v>5341</v>
      </c>
      <c r="B1558" s="5" t="s">
        <v>5342</v>
      </c>
      <c r="D1558" s="5" t="s">
        <v>74</v>
      </c>
      <c r="E1558" s="5" t="s">
        <v>35</v>
      </c>
      <c r="F1558" s="5" t="s">
        <v>267</v>
      </c>
      <c r="H1558" s="5" t="s">
        <v>5343</v>
      </c>
      <c r="I1558" s="10" t="s">
        <v>72</v>
      </c>
    </row>
    <row r="1559" ht="12.75" customHeight="1">
      <c r="A1559" s="5" t="s">
        <v>5344</v>
      </c>
      <c r="B1559" s="5" t="s">
        <v>5345</v>
      </c>
      <c r="D1559" s="5" t="s">
        <v>74</v>
      </c>
      <c r="E1559" s="5" t="s">
        <v>42</v>
      </c>
      <c r="F1559" s="5" t="s">
        <v>445</v>
      </c>
      <c r="H1559" s="5" t="s">
        <v>5346</v>
      </c>
      <c r="I1559" s="10" t="s">
        <v>72</v>
      </c>
    </row>
    <row r="1560" ht="12.75" customHeight="1">
      <c r="A1560" s="5" t="s">
        <v>5332</v>
      </c>
      <c r="B1560" s="5" t="s">
        <v>5347</v>
      </c>
      <c r="D1560" s="5" t="s">
        <v>34</v>
      </c>
      <c r="E1560" s="5" t="s">
        <v>35</v>
      </c>
      <c r="F1560" s="5" t="s">
        <v>189</v>
      </c>
      <c r="H1560" s="5" t="s">
        <v>5245</v>
      </c>
      <c r="I1560" s="10" t="s">
        <v>72</v>
      </c>
      <c r="J1560" s="10" t="s">
        <v>72</v>
      </c>
      <c r="L1560" s="5" t="s">
        <v>5330</v>
      </c>
    </row>
    <row r="1561" ht="12.75" customHeight="1">
      <c r="A1561" s="5" t="s">
        <v>5334</v>
      </c>
      <c r="B1561" s="5" t="s">
        <v>5350</v>
      </c>
      <c r="D1561" s="5" t="s">
        <v>34</v>
      </c>
      <c r="E1561" s="5" t="s">
        <v>42</v>
      </c>
      <c r="F1561" s="5" t="s">
        <v>599</v>
      </c>
      <c r="H1561" s="5" t="s">
        <v>5248</v>
      </c>
      <c r="I1561" s="10" t="s">
        <v>72</v>
      </c>
      <c r="J1561" s="10" t="s">
        <v>72</v>
      </c>
      <c r="K1561" s="5" t="s">
        <v>5336</v>
      </c>
      <c r="L1561" s="5" t="s">
        <v>3630</v>
      </c>
    </row>
    <row r="1562" ht="12.75" customHeight="1">
      <c r="A1562" s="5" t="s">
        <v>5340</v>
      </c>
      <c r="B1562" s="5" t="s">
        <v>5351</v>
      </c>
      <c r="D1562" s="5" t="s">
        <v>67</v>
      </c>
      <c r="E1562" s="5" t="s">
        <v>42</v>
      </c>
      <c r="F1562" s="5" t="s">
        <v>566</v>
      </c>
      <c r="H1562" s="5" t="s">
        <v>5264</v>
      </c>
      <c r="I1562" s="10" t="s">
        <v>72</v>
      </c>
      <c r="J1562" s="10" t="s">
        <v>72</v>
      </c>
      <c r="L1562" s="5" t="s">
        <v>5338</v>
      </c>
    </row>
    <row r="1563" ht="12.75" customHeight="1">
      <c r="A1563" s="5" t="s">
        <v>5343</v>
      </c>
      <c r="B1563" s="5" t="s">
        <v>5353</v>
      </c>
      <c r="D1563" s="5" t="s">
        <v>74</v>
      </c>
      <c r="E1563" s="5" t="s">
        <v>35</v>
      </c>
      <c r="F1563" s="5" t="s">
        <v>267</v>
      </c>
      <c r="H1563" s="5" t="s">
        <v>5250</v>
      </c>
      <c r="I1563" s="10" t="s">
        <v>72</v>
      </c>
      <c r="J1563" s="10" t="s">
        <v>72</v>
      </c>
      <c r="L1563" s="5" t="s">
        <v>5341</v>
      </c>
    </row>
    <row r="1564" ht="12.75" customHeight="1">
      <c r="A1564" s="5" t="s">
        <v>5346</v>
      </c>
      <c r="B1564" s="5" t="s">
        <v>5355</v>
      </c>
      <c r="D1564" s="5" t="s">
        <v>74</v>
      </c>
      <c r="E1564" s="5" t="s">
        <v>42</v>
      </c>
      <c r="F1564" s="5" t="s">
        <v>445</v>
      </c>
      <c r="H1564" s="5" t="s">
        <v>5255</v>
      </c>
      <c r="I1564" s="10" t="s">
        <v>72</v>
      </c>
      <c r="J1564" s="10" t="s">
        <v>72</v>
      </c>
      <c r="L1564" s="5" t="s">
        <v>5344</v>
      </c>
    </row>
    <row r="1565" ht="12.75" customHeight="1">
      <c r="A1565" s="5" t="s">
        <v>5356</v>
      </c>
      <c r="B1565" s="5" t="s">
        <v>5357</v>
      </c>
      <c r="D1565" s="5" t="s">
        <v>50</v>
      </c>
      <c r="E1565" s="5" t="s">
        <v>35</v>
      </c>
      <c r="F1565" s="5" t="s">
        <v>619</v>
      </c>
      <c r="H1565" s="5" t="s">
        <v>5358</v>
      </c>
      <c r="J1565" s="10" t="s">
        <v>72</v>
      </c>
    </row>
    <row r="1566" ht="12.75" customHeight="1">
      <c r="A1566" s="5" t="s">
        <v>5359</v>
      </c>
      <c r="B1566" s="5" t="s">
        <v>5361</v>
      </c>
      <c r="D1566" s="5" t="s">
        <v>50</v>
      </c>
      <c r="E1566" s="5" t="s">
        <v>42</v>
      </c>
      <c r="F1566" s="5" t="s">
        <v>720</v>
      </c>
      <c r="H1566" s="5" t="s">
        <v>5358</v>
      </c>
      <c r="J1566" s="10" t="s">
        <v>72</v>
      </c>
    </row>
    <row r="1567" ht="12.75" customHeight="1">
      <c r="A1567" s="5" t="s">
        <v>5363</v>
      </c>
      <c r="B1567" s="5" t="s">
        <v>5364</v>
      </c>
      <c r="D1567" s="5" t="s">
        <v>55</v>
      </c>
      <c r="E1567" s="5" t="s">
        <v>42</v>
      </c>
      <c r="F1567" s="5" t="s">
        <v>4124</v>
      </c>
      <c r="H1567" s="5" t="s">
        <v>5358</v>
      </c>
      <c r="J1567" s="10" t="s">
        <v>72</v>
      </c>
    </row>
    <row r="1568" ht="12.75" customHeight="1">
      <c r="A1568" s="5" t="s">
        <v>5365</v>
      </c>
      <c r="B1568" s="5" t="s">
        <v>5366</v>
      </c>
      <c r="D1568" s="5" t="s">
        <v>34</v>
      </c>
      <c r="E1568" s="5" t="s">
        <v>35</v>
      </c>
      <c r="F1568" s="5" t="s">
        <v>913</v>
      </c>
      <c r="H1568" s="5" t="s">
        <v>5358</v>
      </c>
      <c r="J1568" s="10" t="s">
        <v>72</v>
      </c>
    </row>
    <row r="1569" ht="12.75" customHeight="1">
      <c r="A1569" s="5" t="s">
        <v>5367</v>
      </c>
      <c r="B1569" s="5" t="s">
        <v>5368</v>
      </c>
      <c r="D1569" s="5" t="s">
        <v>34</v>
      </c>
      <c r="E1569" s="5" t="s">
        <v>42</v>
      </c>
      <c r="F1569" s="5" t="s">
        <v>599</v>
      </c>
      <c r="H1569" s="5" t="s">
        <v>5358</v>
      </c>
      <c r="J1569" s="10" t="s">
        <v>72</v>
      </c>
    </row>
    <row r="1570" ht="12.75" customHeight="1">
      <c r="A1570" s="5" t="s">
        <v>5371</v>
      </c>
      <c r="B1570" s="5" t="s">
        <v>5372</v>
      </c>
      <c r="D1570" s="5" t="s">
        <v>74</v>
      </c>
      <c r="E1570" s="5" t="s">
        <v>35</v>
      </c>
      <c r="F1570" s="5" t="s">
        <v>267</v>
      </c>
      <c r="H1570" s="5" t="s">
        <v>5358</v>
      </c>
      <c r="J1570" s="10" t="s">
        <v>72</v>
      </c>
    </row>
    <row r="1571" ht="12.75" customHeight="1">
      <c r="A1571" s="5" t="s">
        <v>5373</v>
      </c>
      <c r="B1571" s="5" t="s">
        <v>5374</v>
      </c>
      <c r="D1571" s="5" t="s">
        <v>74</v>
      </c>
      <c r="E1571" s="5" t="s">
        <v>42</v>
      </c>
      <c r="F1571" s="5" t="s">
        <v>445</v>
      </c>
      <c r="H1571" s="5" t="s">
        <v>5358</v>
      </c>
      <c r="J1571" s="10" t="s">
        <v>72</v>
      </c>
    </row>
    <row r="1572" ht="12.75" customHeight="1">
      <c r="A1572" s="5" t="s">
        <v>5376</v>
      </c>
      <c r="B1572" s="5" t="s">
        <v>5377</v>
      </c>
      <c r="D1572" s="5" t="s">
        <v>80</v>
      </c>
      <c r="E1572" s="5" t="s">
        <v>35</v>
      </c>
      <c r="F1572" s="5" t="s">
        <v>1324</v>
      </c>
      <c r="H1572" s="5" t="s">
        <v>5358</v>
      </c>
      <c r="J1572" s="10" t="s">
        <v>72</v>
      </c>
    </row>
    <row r="1573" ht="12.75" customHeight="1">
      <c r="A1573" s="5" t="s">
        <v>5378</v>
      </c>
      <c r="B1573" s="5" t="s">
        <v>5379</v>
      </c>
      <c r="D1573" s="5" t="s">
        <v>80</v>
      </c>
      <c r="E1573" s="5" t="s">
        <v>42</v>
      </c>
      <c r="F1573" s="5" t="s">
        <v>974</v>
      </c>
      <c r="H1573" s="5" t="s">
        <v>5358</v>
      </c>
      <c r="J1573" s="10" t="s">
        <v>72</v>
      </c>
    </row>
    <row r="1574" ht="12.75" customHeight="1">
      <c r="A1574" s="5" t="s">
        <v>5269</v>
      </c>
      <c r="B1574" s="5" t="s">
        <v>5380</v>
      </c>
      <c r="C1574" s="5" t="s">
        <v>5381</v>
      </c>
      <c r="D1574" s="5" t="s">
        <v>34</v>
      </c>
      <c r="E1574" s="5" t="s">
        <v>42</v>
      </c>
      <c r="F1574" s="5" t="s">
        <v>575</v>
      </c>
      <c r="H1574" s="5" t="s">
        <v>5106</v>
      </c>
      <c r="J1574" s="10" t="s">
        <v>72</v>
      </c>
      <c r="K1574" s="5" t="s">
        <v>5383</v>
      </c>
      <c r="L1574" s="5" t="s">
        <v>5384</v>
      </c>
    </row>
    <row r="1575" ht="12.75" customHeight="1">
      <c r="A1575" s="5" t="s">
        <v>5286</v>
      </c>
      <c r="B1575" s="5" t="s">
        <v>5385</v>
      </c>
      <c r="C1575" s="5" t="s">
        <v>5381</v>
      </c>
      <c r="D1575" s="5" t="s">
        <v>34</v>
      </c>
      <c r="E1575" s="5" t="s">
        <v>42</v>
      </c>
      <c r="F1575" s="5" t="s">
        <v>1753</v>
      </c>
      <c r="H1575" s="5" t="s">
        <v>5106</v>
      </c>
      <c r="J1575" s="10" t="s">
        <v>72</v>
      </c>
      <c r="K1575" s="5" t="s">
        <v>5386</v>
      </c>
    </row>
    <row r="1576" ht="12.75" customHeight="1">
      <c r="A1576" s="5" t="s">
        <v>5358</v>
      </c>
      <c r="B1576" s="5" t="s">
        <v>5387</v>
      </c>
      <c r="C1576" s="5" t="s">
        <v>5381</v>
      </c>
      <c r="D1576" s="5" t="s">
        <v>34</v>
      </c>
      <c r="E1576" s="5" t="s">
        <v>42</v>
      </c>
      <c r="F1576" s="5" t="s">
        <v>572</v>
      </c>
      <c r="H1576" s="5" t="s">
        <v>5106</v>
      </c>
      <c r="J1576" s="10" t="s">
        <v>72</v>
      </c>
      <c r="K1576" s="5" t="s">
        <v>5390</v>
      </c>
    </row>
    <row r="1577" ht="12.75" customHeight="1">
      <c r="A1577" s="5" t="s">
        <v>5391</v>
      </c>
      <c r="B1577" s="5" t="s">
        <v>5392</v>
      </c>
      <c r="D1577" s="5" t="s">
        <v>50</v>
      </c>
      <c r="E1577" s="5" t="s">
        <v>35</v>
      </c>
      <c r="F1577" s="5" t="s">
        <v>172</v>
      </c>
      <c r="H1577" s="5" t="s">
        <v>5393</v>
      </c>
      <c r="J1577" s="10" t="s">
        <v>72</v>
      </c>
    </row>
    <row r="1578" ht="12.75" customHeight="1">
      <c r="A1578" s="5" t="s">
        <v>5394</v>
      </c>
      <c r="B1578" s="5" t="s">
        <v>5395</v>
      </c>
      <c r="D1578" s="5" t="s">
        <v>50</v>
      </c>
      <c r="E1578" s="5" t="s">
        <v>42</v>
      </c>
      <c r="F1578" s="5" t="s">
        <v>445</v>
      </c>
      <c r="H1578" s="5" t="s">
        <v>5397</v>
      </c>
      <c r="J1578" s="10" t="s">
        <v>72</v>
      </c>
    </row>
    <row r="1579" ht="12.75" customHeight="1">
      <c r="A1579" s="5" t="s">
        <v>5399</v>
      </c>
      <c r="B1579" s="5" t="s">
        <v>5400</v>
      </c>
      <c r="D1579" s="5" t="s">
        <v>34</v>
      </c>
      <c r="E1579" s="5" t="s">
        <v>35</v>
      </c>
      <c r="F1579" s="5" t="s">
        <v>605</v>
      </c>
      <c r="H1579" s="5" t="s">
        <v>5401</v>
      </c>
      <c r="J1579" s="10" t="s">
        <v>72</v>
      </c>
    </row>
    <row r="1580" ht="12.75" customHeight="1">
      <c r="A1580" s="5" t="s">
        <v>5402</v>
      </c>
      <c r="B1580" s="5" t="s">
        <v>5403</v>
      </c>
      <c r="D1580" s="5" t="s">
        <v>34</v>
      </c>
      <c r="E1580" s="5" t="s">
        <v>42</v>
      </c>
      <c r="F1580" s="5" t="s">
        <v>657</v>
      </c>
      <c r="H1580" s="5" t="s">
        <v>4767</v>
      </c>
      <c r="J1580" s="10" t="s">
        <v>72</v>
      </c>
    </row>
    <row r="1581" ht="12.75" customHeight="1">
      <c r="A1581" s="5" t="s">
        <v>5404</v>
      </c>
      <c r="B1581" s="5" t="s">
        <v>5405</v>
      </c>
      <c r="D1581" s="5" t="s">
        <v>74</v>
      </c>
      <c r="E1581" s="5" t="s">
        <v>35</v>
      </c>
      <c r="F1581" s="5" t="s">
        <v>619</v>
      </c>
      <c r="H1581" s="5" t="s">
        <v>5407</v>
      </c>
      <c r="J1581" s="10" t="s">
        <v>72</v>
      </c>
    </row>
    <row r="1582" ht="12.75" customHeight="1">
      <c r="A1582" s="5" t="s">
        <v>5409</v>
      </c>
      <c r="B1582" s="5" t="s">
        <v>5410</v>
      </c>
      <c r="D1582" s="5" t="s">
        <v>74</v>
      </c>
      <c r="E1582" s="5" t="s">
        <v>42</v>
      </c>
      <c r="F1582" s="5" t="s">
        <v>445</v>
      </c>
      <c r="H1582" s="5" t="s">
        <v>5411</v>
      </c>
      <c r="J1582" s="10" t="s">
        <v>72</v>
      </c>
    </row>
    <row r="1583" ht="12.75" customHeight="1">
      <c r="A1583" s="5" t="s">
        <v>5412</v>
      </c>
      <c r="B1583" s="5" t="s">
        <v>5413</v>
      </c>
      <c r="D1583" s="5" t="s">
        <v>50</v>
      </c>
      <c r="E1583" s="5" t="s">
        <v>42</v>
      </c>
      <c r="F1583" s="5" t="s">
        <v>637</v>
      </c>
      <c r="H1583" s="5" t="s">
        <v>5397</v>
      </c>
      <c r="J1583" s="10" t="s">
        <v>72</v>
      </c>
    </row>
    <row r="1584" ht="12.75" customHeight="1">
      <c r="A1584" s="5" t="s">
        <v>5414</v>
      </c>
      <c r="B1584" s="5" t="s">
        <v>5415</v>
      </c>
      <c r="D1584" s="5" t="s">
        <v>34</v>
      </c>
      <c r="E1584" s="5" t="s">
        <v>42</v>
      </c>
      <c r="F1584" s="5" t="s">
        <v>672</v>
      </c>
      <c r="H1584" s="5" t="s">
        <v>5417</v>
      </c>
      <c r="J1584" s="10" t="s">
        <v>72</v>
      </c>
    </row>
    <row r="1585" ht="12.75" customHeight="1">
      <c r="A1585" s="5" t="s">
        <v>5419</v>
      </c>
      <c r="B1585" s="5" t="s">
        <v>5420</v>
      </c>
      <c r="D1585" s="5" t="s">
        <v>67</v>
      </c>
      <c r="E1585" s="5" t="s">
        <v>42</v>
      </c>
      <c r="F1585" s="5" t="s">
        <v>5421</v>
      </c>
      <c r="H1585" s="5" t="s">
        <v>5422</v>
      </c>
      <c r="J1585" s="10" t="s">
        <v>72</v>
      </c>
    </row>
    <row r="1586" ht="12.75" customHeight="1">
      <c r="A1586" s="5" t="s">
        <v>5423</v>
      </c>
      <c r="B1586" s="5" t="s">
        <v>5424</v>
      </c>
      <c r="D1586" s="5" t="s">
        <v>74</v>
      </c>
      <c r="E1586" s="5" t="s">
        <v>42</v>
      </c>
      <c r="F1586" s="5" t="s">
        <v>686</v>
      </c>
      <c r="H1586" s="5" t="s">
        <v>5411</v>
      </c>
      <c r="J1586" s="10" t="s">
        <v>72</v>
      </c>
    </row>
    <row r="1587" ht="12.75" customHeight="1">
      <c r="A1587" s="5" t="s">
        <v>5425</v>
      </c>
      <c r="B1587" s="5" t="s">
        <v>5426</v>
      </c>
      <c r="D1587" s="5" t="s">
        <v>12</v>
      </c>
      <c r="E1587" s="5" t="s">
        <v>42</v>
      </c>
      <c r="F1587" s="5" t="s">
        <v>366</v>
      </c>
      <c r="H1587" s="5" t="s">
        <v>5428</v>
      </c>
      <c r="J1587" s="10" t="s">
        <v>72</v>
      </c>
    </row>
    <row r="1588" ht="12.75" customHeight="1">
      <c r="A1588" s="5" t="s">
        <v>5430</v>
      </c>
      <c r="B1588" s="5" t="s">
        <v>5431</v>
      </c>
      <c r="D1588" s="5" t="s">
        <v>22</v>
      </c>
      <c r="E1588" s="5" t="s">
        <v>35</v>
      </c>
      <c r="F1588" s="5" t="s">
        <v>278</v>
      </c>
      <c r="H1588" s="5" t="s">
        <v>5428</v>
      </c>
      <c r="J1588" s="10" t="s">
        <v>72</v>
      </c>
    </row>
    <row r="1589" ht="12.75" customHeight="1">
      <c r="A1589" s="5" t="s">
        <v>5432</v>
      </c>
      <c r="B1589" s="5" t="s">
        <v>5433</v>
      </c>
      <c r="D1589" s="5" t="s">
        <v>22</v>
      </c>
      <c r="E1589" s="5" t="s">
        <v>42</v>
      </c>
      <c r="F1589" s="5" t="s">
        <v>228</v>
      </c>
      <c r="H1589" s="5" t="s">
        <v>5428</v>
      </c>
      <c r="J1589" s="10" t="s">
        <v>72</v>
      </c>
    </row>
    <row r="1590" ht="12.75" customHeight="1">
      <c r="A1590" s="5" t="s">
        <v>5434</v>
      </c>
      <c r="B1590" s="5" t="s">
        <v>5435</v>
      </c>
      <c r="D1590" s="5" t="s">
        <v>30</v>
      </c>
      <c r="E1590" s="5" t="s">
        <v>35</v>
      </c>
      <c r="F1590" s="5" t="s">
        <v>2401</v>
      </c>
      <c r="H1590" s="5" t="s">
        <v>5428</v>
      </c>
      <c r="J1590" s="10" t="s">
        <v>72</v>
      </c>
    </row>
    <row r="1591" ht="12.75" customHeight="1">
      <c r="A1591" s="5" t="s">
        <v>5438</v>
      </c>
      <c r="B1591" s="5" t="s">
        <v>5439</v>
      </c>
      <c r="D1591" s="5" t="s">
        <v>30</v>
      </c>
      <c r="E1591" s="5" t="s">
        <v>42</v>
      </c>
      <c r="F1591" s="5" t="s">
        <v>3843</v>
      </c>
      <c r="H1591" s="5" t="s">
        <v>5428</v>
      </c>
      <c r="J1591" s="10" t="s">
        <v>72</v>
      </c>
    </row>
    <row r="1592" ht="12.75" customHeight="1">
      <c r="A1592" s="5" t="s">
        <v>5440</v>
      </c>
      <c r="B1592" s="5" t="s">
        <v>5441</v>
      </c>
      <c r="D1592" s="5" t="s">
        <v>34</v>
      </c>
      <c r="E1592" s="5" t="s">
        <v>35</v>
      </c>
      <c r="F1592" s="5" t="s">
        <v>1776</v>
      </c>
      <c r="H1592" s="5" t="s">
        <v>5428</v>
      </c>
      <c r="J1592" s="10" t="s">
        <v>72</v>
      </c>
    </row>
    <row r="1593" ht="12.75" customHeight="1">
      <c r="A1593" s="5" t="s">
        <v>5442</v>
      </c>
      <c r="B1593" s="5" t="s">
        <v>5443</v>
      </c>
      <c r="D1593" s="5" t="s">
        <v>34</v>
      </c>
      <c r="E1593" s="5" t="s">
        <v>42</v>
      </c>
      <c r="F1593" s="5" t="s">
        <v>3665</v>
      </c>
      <c r="H1593" s="5" t="s">
        <v>5428</v>
      </c>
      <c r="J1593" s="10" t="s">
        <v>72</v>
      </c>
    </row>
    <row r="1594" ht="12.75" customHeight="1">
      <c r="A1594" s="5" t="s">
        <v>5393</v>
      </c>
      <c r="B1594" s="5" t="s">
        <v>5445</v>
      </c>
      <c r="D1594" s="5" t="s">
        <v>50</v>
      </c>
      <c r="E1594" s="5" t="s">
        <v>35</v>
      </c>
      <c r="F1594" s="5" t="s">
        <v>619</v>
      </c>
      <c r="H1594" s="5" t="s">
        <v>4767</v>
      </c>
      <c r="J1594" s="10" t="s">
        <v>72</v>
      </c>
      <c r="K1594" s="5" t="s">
        <v>5391</v>
      </c>
      <c r="L1594" s="5" t="s">
        <v>5447</v>
      </c>
    </row>
    <row r="1595" ht="12.75" customHeight="1">
      <c r="A1595" s="5" t="s">
        <v>5397</v>
      </c>
      <c r="B1595" s="5" t="s">
        <v>5448</v>
      </c>
      <c r="D1595" s="5" t="s">
        <v>50</v>
      </c>
      <c r="E1595" s="5" t="s">
        <v>42</v>
      </c>
      <c r="F1595" s="5" t="s">
        <v>720</v>
      </c>
      <c r="H1595" s="5" t="s">
        <v>4767</v>
      </c>
      <c r="J1595" s="10" t="s">
        <v>72</v>
      </c>
      <c r="K1595" s="5" t="s">
        <v>5449</v>
      </c>
      <c r="L1595" s="5" t="s">
        <v>5450</v>
      </c>
    </row>
    <row r="1596" ht="12.75" customHeight="1">
      <c r="A1596" s="5" t="s">
        <v>5451</v>
      </c>
      <c r="B1596" s="5" t="s">
        <v>5452</v>
      </c>
      <c r="D1596" s="5" t="s">
        <v>55</v>
      </c>
      <c r="E1596" s="5" t="s">
        <v>42</v>
      </c>
      <c r="F1596" s="5" t="s">
        <v>1228</v>
      </c>
      <c r="H1596" s="5" t="s">
        <v>4767</v>
      </c>
      <c r="J1596" s="10" t="s">
        <v>72</v>
      </c>
    </row>
    <row r="1597" ht="12.75" customHeight="1">
      <c r="A1597" s="5" t="s">
        <v>5401</v>
      </c>
      <c r="B1597" s="5" t="s">
        <v>5455</v>
      </c>
      <c r="D1597" s="5" t="s">
        <v>34</v>
      </c>
      <c r="E1597" s="5" t="s">
        <v>35</v>
      </c>
      <c r="F1597" s="5" t="s">
        <v>913</v>
      </c>
      <c r="H1597" s="5" t="s">
        <v>4767</v>
      </c>
      <c r="J1597" s="10" t="s">
        <v>72</v>
      </c>
      <c r="K1597" s="5" t="s">
        <v>5399</v>
      </c>
      <c r="L1597" s="5" t="s">
        <v>5456</v>
      </c>
    </row>
    <row r="1598" ht="12.75" customHeight="1">
      <c r="A1598" s="5" t="s">
        <v>5417</v>
      </c>
      <c r="B1598" s="5" t="s">
        <v>5457</v>
      </c>
      <c r="D1598" s="5" t="s">
        <v>34</v>
      </c>
      <c r="E1598" s="5" t="s">
        <v>42</v>
      </c>
      <c r="F1598" s="5" t="s">
        <v>113</v>
      </c>
      <c r="H1598" s="5" t="s">
        <v>4767</v>
      </c>
      <c r="J1598" s="10" t="s">
        <v>72</v>
      </c>
      <c r="K1598" s="5" t="s">
        <v>5458</v>
      </c>
      <c r="L1598" s="5" t="s">
        <v>5459</v>
      </c>
    </row>
    <row r="1599" ht="12.75" customHeight="1">
      <c r="A1599" s="5" t="s">
        <v>5422</v>
      </c>
      <c r="B1599" s="5" t="s">
        <v>5460</v>
      </c>
      <c r="D1599" s="5" t="s">
        <v>67</v>
      </c>
      <c r="E1599" s="5" t="s">
        <v>42</v>
      </c>
      <c r="F1599" s="5" t="s">
        <v>1679</v>
      </c>
      <c r="H1599" s="5" t="s">
        <v>4767</v>
      </c>
      <c r="J1599" s="10" t="s">
        <v>72</v>
      </c>
      <c r="K1599" s="5" t="s">
        <v>5419</v>
      </c>
      <c r="L1599" s="5" t="s">
        <v>5462</v>
      </c>
    </row>
    <row r="1600" ht="12.75" customHeight="1">
      <c r="A1600" s="5" t="s">
        <v>5407</v>
      </c>
      <c r="B1600" s="5" t="s">
        <v>5463</v>
      </c>
      <c r="D1600" s="5" t="s">
        <v>74</v>
      </c>
      <c r="E1600" s="5" t="s">
        <v>35</v>
      </c>
      <c r="F1600" s="5" t="s">
        <v>616</v>
      </c>
      <c r="H1600" s="5" t="s">
        <v>4767</v>
      </c>
      <c r="J1600" s="10" t="s">
        <v>72</v>
      </c>
      <c r="K1600" s="5" t="s">
        <v>5404</v>
      </c>
      <c r="L1600" s="5" t="s">
        <v>5465</v>
      </c>
    </row>
    <row r="1601" ht="12.75" customHeight="1">
      <c r="A1601" s="5" t="s">
        <v>5411</v>
      </c>
      <c r="B1601" s="5" t="s">
        <v>5466</v>
      </c>
      <c r="D1601" s="5" t="s">
        <v>74</v>
      </c>
      <c r="E1601" s="5" t="s">
        <v>42</v>
      </c>
      <c r="F1601" s="5" t="s">
        <v>686</v>
      </c>
      <c r="H1601" s="5" t="s">
        <v>4767</v>
      </c>
      <c r="J1601" s="10" t="s">
        <v>72</v>
      </c>
      <c r="K1601" s="5" t="s">
        <v>5467</v>
      </c>
      <c r="L1601" s="5" t="s">
        <v>5468</v>
      </c>
    </row>
    <row r="1602" ht="12.75" customHeight="1">
      <c r="A1602" s="5" t="s">
        <v>5447</v>
      </c>
      <c r="B1602" s="5" t="s">
        <v>5469</v>
      </c>
      <c r="D1602" s="5" t="s">
        <v>50</v>
      </c>
      <c r="E1602" s="5" t="s">
        <v>35</v>
      </c>
      <c r="F1602" s="5" t="s">
        <v>619</v>
      </c>
      <c r="H1602" s="5" t="s">
        <v>5393</v>
      </c>
      <c r="I1602" s="10" t="s">
        <v>72</v>
      </c>
      <c r="J1602" s="10" t="s">
        <v>72</v>
      </c>
    </row>
    <row r="1603" ht="12.75" customHeight="1">
      <c r="A1603" s="5" t="s">
        <v>5450</v>
      </c>
      <c r="B1603" s="5" t="s">
        <v>5472</v>
      </c>
      <c r="D1603" s="5" t="s">
        <v>50</v>
      </c>
      <c r="E1603" s="5" t="s">
        <v>42</v>
      </c>
      <c r="F1603" s="5" t="s">
        <v>720</v>
      </c>
      <c r="H1603" s="5" t="s">
        <v>5397</v>
      </c>
      <c r="I1603" s="10" t="s">
        <v>72</v>
      </c>
      <c r="J1603" s="10" t="s">
        <v>72</v>
      </c>
    </row>
    <row r="1604" ht="12.75" customHeight="1">
      <c r="A1604" s="5" t="s">
        <v>5473</v>
      </c>
      <c r="B1604" s="5" t="s">
        <v>5474</v>
      </c>
      <c r="D1604" s="5" t="s">
        <v>34</v>
      </c>
      <c r="E1604" s="5" t="s">
        <v>35</v>
      </c>
      <c r="F1604" s="5" t="s">
        <v>913</v>
      </c>
      <c r="H1604" s="5" t="s">
        <v>5401</v>
      </c>
      <c r="I1604" s="10" t="s">
        <v>72</v>
      </c>
      <c r="J1604" s="10" t="s">
        <v>72</v>
      </c>
    </row>
    <row r="1605" ht="12.75" customHeight="1">
      <c r="A1605" s="5" t="s">
        <v>4823</v>
      </c>
      <c r="B1605" s="5" t="s">
        <v>5475</v>
      </c>
      <c r="D1605" s="5" t="s">
        <v>34</v>
      </c>
      <c r="E1605" s="5" t="s">
        <v>42</v>
      </c>
      <c r="F1605" s="5" t="s">
        <v>113</v>
      </c>
      <c r="H1605" s="5" t="s">
        <v>5476</v>
      </c>
      <c r="I1605" s="10" t="s">
        <v>72</v>
      </c>
      <c r="J1605" s="10" t="s">
        <v>72</v>
      </c>
      <c r="K1605" s="5" t="s">
        <v>4820</v>
      </c>
    </row>
    <row r="1606" ht="12.75" customHeight="1">
      <c r="A1606" s="5" t="s">
        <v>5477</v>
      </c>
      <c r="B1606" s="5" t="s">
        <v>5478</v>
      </c>
      <c r="D1606" s="5" t="s">
        <v>67</v>
      </c>
      <c r="E1606" s="5" t="s">
        <v>42</v>
      </c>
      <c r="F1606" s="5" t="s">
        <v>1679</v>
      </c>
      <c r="H1606" s="5" t="s">
        <v>5422</v>
      </c>
      <c r="I1606" s="10" t="s">
        <v>72</v>
      </c>
      <c r="J1606" s="10" t="s">
        <v>72</v>
      </c>
    </row>
    <row r="1607" ht="12.75" customHeight="1">
      <c r="A1607" s="5" t="s">
        <v>5479</v>
      </c>
      <c r="B1607" s="5" t="s">
        <v>5481</v>
      </c>
      <c r="D1607" s="5" t="s">
        <v>74</v>
      </c>
      <c r="E1607" s="5" t="s">
        <v>35</v>
      </c>
      <c r="F1607" s="5" t="s">
        <v>616</v>
      </c>
      <c r="H1607" s="5" t="s">
        <v>5407</v>
      </c>
      <c r="I1607" s="10" t="s">
        <v>72</v>
      </c>
      <c r="J1607" s="10" t="s">
        <v>72</v>
      </c>
    </row>
    <row r="1608" ht="12.75" customHeight="1">
      <c r="A1608" s="5" t="s">
        <v>5483</v>
      </c>
      <c r="B1608" s="5" t="s">
        <v>5484</v>
      </c>
      <c r="D1608" s="5" t="s">
        <v>74</v>
      </c>
      <c r="E1608" s="5" t="s">
        <v>42</v>
      </c>
      <c r="F1608" s="5" t="s">
        <v>686</v>
      </c>
      <c r="H1608" s="5" t="s">
        <v>5411</v>
      </c>
      <c r="I1608" s="10" t="s">
        <v>72</v>
      </c>
      <c r="J1608" s="10" t="s">
        <v>72</v>
      </c>
    </row>
    <row r="1609" ht="12.75" customHeight="1">
      <c r="A1609" s="5" t="s">
        <v>5485</v>
      </c>
      <c r="B1609" s="5" t="s">
        <v>5486</v>
      </c>
      <c r="D1609" s="5" t="s">
        <v>34</v>
      </c>
      <c r="E1609" s="5" t="s">
        <v>35</v>
      </c>
      <c r="F1609" s="5" t="s">
        <v>913</v>
      </c>
      <c r="H1609" s="5" t="s">
        <v>5487</v>
      </c>
      <c r="I1609" s="10" t="s">
        <v>72</v>
      </c>
      <c r="J1609" s="10" t="s">
        <v>72</v>
      </c>
    </row>
    <row r="1610" ht="12.75" customHeight="1">
      <c r="A1610" s="5" t="s">
        <v>4064</v>
      </c>
      <c r="B1610" s="5" t="s">
        <v>5488</v>
      </c>
      <c r="D1610" s="5" t="s">
        <v>34</v>
      </c>
      <c r="E1610" s="5" t="s">
        <v>42</v>
      </c>
      <c r="F1610" s="5" t="s">
        <v>113</v>
      </c>
      <c r="H1610" s="5" t="s">
        <v>5476</v>
      </c>
      <c r="I1610" s="10" t="s">
        <v>72</v>
      </c>
      <c r="J1610" s="10" t="s">
        <v>72</v>
      </c>
      <c r="K1610" s="5" t="s">
        <v>4062</v>
      </c>
    </row>
    <row r="1611" ht="12.75" customHeight="1">
      <c r="A1611" s="5" t="s">
        <v>5491</v>
      </c>
      <c r="B1611" s="5" t="s">
        <v>5492</v>
      </c>
      <c r="D1611" s="5" t="s">
        <v>67</v>
      </c>
      <c r="E1611" s="5" t="s">
        <v>42</v>
      </c>
      <c r="F1611" s="5" t="s">
        <v>1679</v>
      </c>
      <c r="H1611" s="5" t="s">
        <v>5493</v>
      </c>
      <c r="I1611" s="10" t="s">
        <v>72</v>
      </c>
      <c r="J1611" s="10" t="s">
        <v>72</v>
      </c>
    </row>
    <row r="1612" ht="12.75" customHeight="1">
      <c r="A1612" s="5" t="s">
        <v>5494</v>
      </c>
      <c r="B1612" s="5" t="s">
        <v>5495</v>
      </c>
      <c r="D1612" s="5" t="s">
        <v>74</v>
      </c>
      <c r="E1612" s="5" t="s">
        <v>35</v>
      </c>
      <c r="F1612" s="5" t="s">
        <v>616</v>
      </c>
      <c r="H1612" s="5" t="s">
        <v>5496</v>
      </c>
      <c r="I1612" s="10" t="s">
        <v>72</v>
      </c>
      <c r="J1612" s="10" t="s">
        <v>72</v>
      </c>
    </row>
    <row r="1613" ht="12.75" customHeight="1">
      <c r="A1613" s="5" t="s">
        <v>5497</v>
      </c>
      <c r="B1613" s="5" t="s">
        <v>5498</v>
      </c>
      <c r="D1613" s="5" t="s">
        <v>74</v>
      </c>
      <c r="E1613" s="5" t="s">
        <v>42</v>
      </c>
      <c r="F1613" s="5" t="s">
        <v>686</v>
      </c>
      <c r="H1613" s="5" t="s">
        <v>5501</v>
      </c>
      <c r="I1613" s="10" t="s">
        <v>72</v>
      </c>
      <c r="J1613" s="10" t="s">
        <v>72</v>
      </c>
    </row>
    <row r="1614" ht="12.75" customHeight="1">
      <c r="A1614" s="5" t="s">
        <v>5487</v>
      </c>
      <c r="B1614" s="5" t="s">
        <v>5502</v>
      </c>
      <c r="D1614" s="5" t="s">
        <v>34</v>
      </c>
      <c r="E1614" s="5" t="s">
        <v>35</v>
      </c>
      <c r="F1614" s="5" t="s">
        <v>913</v>
      </c>
      <c r="H1614" s="5" t="s">
        <v>5401</v>
      </c>
      <c r="I1614" s="10" t="s">
        <v>72</v>
      </c>
      <c r="J1614" s="10" t="s">
        <v>72</v>
      </c>
      <c r="L1614" s="5" t="s">
        <v>5485</v>
      </c>
    </row>
    <row r="1615" ht="12.75" customHeight="1">
      <c r="A1615" s="5" t="s">
        <v>5476</v>
      </c>
      <c r="B1615" s="5" t="s">
        <v>5503</v>
      </c>
      <c r="D1615" s="5" t="s">
        <v>34</v>
      </c>
      <c r="E1615" s="5" t="s">
        <v>42</v>
      </c>
      <c r="F1615" s="5" t="s">
        <v>113</v>
      </c>
      <c r="H1615" s="5" t="s">
        <v>5417</v>
      </c>
      <c r="I1615" s="10" t="s">
        <v>72</v>
      </c>
      <c r="J1615" s="10" t="s">
        <v>72</v>
      </c>
      <c r="K1615" s="5" t="s">
        <v>5504</v>
      </c>
      <c r="L1615" s="5" t="s">
        <v>5505</v>
      </c>
    </row>
    <row r="1616" ht="12.75" customHeight="1">
      <c r="A1616" s="5" t="s">
        <v>5493</v>
      </c>
      <c r="B1616" s="5" t="s">
        <v>5507</v>
      </c>
      <c r="D1616" s="5" t="s">
        <v>67</v>
      </c>
      <c r="E1616" s="5" t="s">
        <v>42</v>
      </c>
      <c r="F1616" s="5" t="s">
        <v>1679</v>
      </c>
      <c r="H1616" s="5" t="s">
        <v>5422</v>
      </c>
      <c r="I1616" s="10" t="s">
        <v>72</v>
      </c>
      <c r="J1616" s="10" t="s">
        <v>72</v>
      </c>
      <c r="L1616" s="5" t="s">
        <v>5491</v>
      </c>
    </row>
    <row r="1617" ht="12.75" customHeight="1">
      <c r="A1617" s="5" t="s">
        <v>5496</v>
      </c>
      <c r="B1617" s="5" t="s">
        <v>5509</v>
      </c>
      <c r="D1617" s="5" t="s">
        <v>74</v>
      </c>
      <c r="E1617" s="5" t="s">
        <v>35</v>
      </c>
      <c r="F1617" s="5" t="s">
        <v>616</v>
      </c>
      <c r="H1617" s="5" t="s">
        <v>5407</v>
      </c>
      <c r="I1617" s="10" t="s">
        <v>72</v>
      </c>
      <c r="J1617" s="10" t="s">
        <v>72</v>
      </c>
      <c r="L1617" s="5" t="s">
        <v>5494</v>
      </c>
    </row>
    <row r="1618" ht="12.75" customHeight="1">
      <c r="A1618" s="5" t="s">
        <v>5501</v>
      </c>
      <c r="B1618" s="5" t="s">
        <v>5510</v>
      </c>
      <c r="D1618" s="5" t="s">
        <v>74</v>
      </c>
      <c r="E1618" s="5" t="s">
        <v>42</v>
      </c>
      <c r="F1618" s="5" t="s">
        <v>686</v>
      </c>
      <c r="H1618" s="5" t="s">
        <v>5411</v>
      </c>
      <c r="I1618" s="10" t="s">
        <v>72</v>
      </c>
      <c r="J1618" s="10" t="s">
        <v>72</v>
      </c>
      <c r="L1618" s="5" t="s">
        <v>5497</v>
      </c>
    </row>
    <row r="1619" ht="12.75" customHeight="1">
      <c r="A1619" s="5" t="s">
        <v>5511</v>
      </c>
      <c r="B1619" s="5" t="s">
        <v>5513</v>
      </c>
      <c r="D1619" s="5" t="s">
        <v>50</v>
      </c>
      <c r="E1619" s="5" t="s">
        <v>35</v>
      </c>
      <c r="F1619" s="5" t="s">
        <v>36</v>
      </c>
      <c r="H1619" s="5" t="s">
        <v>5515</v>
      </c>
      <c r="J1619" s="10" t="s">
        <v>72</v>
      </c>
    </row>
    <row r="1620" ht="12.75" customHeight="1">
      <c r="A1620" s="5" t="s">
        <v>5516</v>
      </c>
      <c r="B1620" s="5" t="s">
        <v>5517</v>
      </c>
      <c r="D1620" s="5" t="s">
        <v>50</v>
      </c>
      <c r="E1620" s="5" t="s">
        <v>42</v>
      </c>
      <c r="F1620" s="5" t="s">
        <v>720</v>
      </c>
      <c r="H1620" s="5" t="s">
        <v>5515</v>
      </c>
      <c r="J1620" s="10" t="s">
        <v>72</v>
      </c>
    </row>
    <row r="1621" ht="12.75" customHeight="1">
      <c r="A1621" s="5" t="s">
        <v>5518</v>
      </c>
      <c r="B1621" s="5" t="s">
        <v>5519</v>
      </c>
      <c r="D1621" s="5" t="s">
        <v>55</v>
      </c>
      <c r="E1621" s="5" t="s">
        <v>42</v>
      </c>
      <c r="F1621" s="5" t="s">
        <v>1461</v>
      </c>
      <c r="H1621" s="5" t="s">
        <v>5515</v>
      </c>
      <c r="J1621" s="10" t="s">
        <v>72</v>
      </c>
    </row>
    <row r="1622" ht="12.75" customHeight="1">
      <c r="A1622" s="5" t="s">
        <v>5520</v>
      </c>
      <c r="B1622" s="5" t="s">
        <v>5521</v>
      </c>
      <c r="D1622" s="5" t="s">
        <v>34</v>
      </c>
      <c r="E1622" s="5" t="s">
        <v>35</v>
      </c>
      <c r="F1622" s="5" t="s">
        <v>616</v>
      </c>
      <c r="H1622" s="5" t="s">
        <v>5515</v>
      </c>
      <c r="J1622" s="10" t="s">
        <v>72</v>
      </c>
    </row>
    <row r="1623" ht="12.75" customHeight="1">
      <c r="A1623" s="5" t="s">
        <v>5524</v>
      </c>
      <c r="B1623" s="5" t="s">
        <v>5525</v>
      </c>
      <c r="D1623" s="5" t="s">
        <v>34</v>
      </c>
      <c r="E1623" s="5" t="s">
        <v>42</v>
      </c>
      <c r="F1623" s="5" t="s">
        <v>599</v>
      </c>
      <c r="H1623" s="5" t="s">
        <v>5515</v>
      </c>
      <c r="J1623" s="10" t="s">
        <v>72</v>
      </c>
    </row>
    <row r="1624" ht="12.75" customHeight="1">
      <c r="A1624" s="5" t="s">
        <v>5526</v>
      </c>
      <c r="B1624" s="5" t="s">
        <v>5527</v>
      </c>
      <c r="D1624" s="5" t="s">
        <v>74</v>
      </c>
      <c r="E1624" s="5" t="s">
        <v>35</v>
      </c>
      <c r="F1624" s="5" t="s">
        <v>868</v>
      </c>
      <c r="H1624" s="5" t="s">
        <v>5515</v>
      </c>
      <c r="J1624" s="10" t="s">
        <v>72</v>
      </c>
    </row>
    <row r="1625" ht="12.75" customHeight="1">
      <c r="A1625" s="5" t="s">
        <v>5528</v>
      </c>
      <c r="B1625" s="5" t="s">
        <v>5529</v>
      </c>
      <c r="D1625" s="5" t="s">
        <v>74</v>
      </c>
      <c r="E1625" s="5" t="s">
        <v>42</v>
      </c>
      <c r="F1625" s="5" t="s">
        <v>3665</v>
      </c>
      <c r="H1625" s="5" t="s">
        <v>5515</v>
      </c>
      <c r="J1625" s="10" t="s">
        <v>72</v>
      </c>
    </row>
    <row r="1626" ht="12.75" customHeight="1">
      <c r="A1626" s="5" t="s">
        <v>5532</v>
      </c>
      <c r="B1626" s="5" t="s">
        <v>5533</v>
      </c>
      <c r="D1626" s="5" t="s">
        <v>80</v>
      </c>
      <c r="E1626" s="5" t="s">
        <v>35</v>
      </c>
      <c r="F1626" s="5" t="s">
        <v>1886</v>
      </c>
      <c r="H1626" s="5" t="s">
        <v>5515</v>
      </c>
      <c r="J1626" s="10" t="s">
        <v>72</v>
      </c>
    </row>
    <row r="1627" ht="12.75" customHeight="1">
      <c r="A1627" s="5" t="s">
        <v>5534</v>
      </c>
      <c r="B1627" s="5" t="s">
        <v>5535</v>
      </c>
      <c r="D1627" s="5" t="s">
        <v>80</v>
      </c>
      <c r="E1627" s="5" t="s">
        <v>42</v>
      </c>
      <c r="F1627" s="5" t="s">
        <v>967</v>
      </c>
      <c r="H1627" s="5" t="s">
        <v>5515</v>
      </c>
      <c r="J1627" s="10" t="s">
        <v>72</v>
      </c>
    </row>
    <row r="1628" ht="12.75" customHeight="1">
      <c r="A1628" s="5" t="s">
        <v>5428</v>
      </c>
      <c r="B1628" s="5" t="s">
        <v>5536</v>
      </c>
      <c r="C1628" s="5" t="s">
        <v>5537</v>
      </c>
      <c r="D1628" s="5" t="s">
        <v>34</v>
      </c>
      <c r="E1628" s="5" t="s">
        <v>42</v>
      </c>
      <c r="F1628" s="5" t="s">
        <v>228</v>
      </c>
      <c r="H1628" s="5" t="s">
        <v>5106</v>
      </c>
      <c r="J1628" s="10" t="s">
        <v>72</v>
      </c>
      <c r="K1628" s="5" t="s">
        <v>5540</v>
      </c>
      <c r="L1628" s="5" t="s">
        <v>5541</v>
      </c>
    </row>
    <row r="1629" ht="12.75" customHeight="1">
      <c r="A1629" s="5" t="s">
        <v>4767</v>
      </c>
      <c r="B1629" s="5" t="s">
        <v>5542</v>
      </c>
      <c r="C1629" s="5" t="s">
        <v>5537</v>
      </c>
      <c r="D1629" s="5" t="s">
        <v>34</v>
      </c>
      <c r="E1629" s="5" t="s">
        <v>42</v>
      </c>
      <c r="F1629" s="5" t="s">
        <v>672</v>
      </c>
      <c r="H1629" s="5" t="s">
        <v>5106</v>
      </c>
      <c r="J1629" s="10" t="s">
        <v>72</v>
      </c>
      <c r="K1629" s="5" t="s">
        <v>5543</v>
      </c>
    </row>
    <row r="1630" ht="12.75" customHeight="1">
      <c r="A1630" s="5" t="s">
        <v>5515</v>
      </c>
      <c r="B1630" s="5" t="s">
        <v>5544</v>
      </c>
      <c r="C1630" s="5" t="s">
        <v>5537</v>
      </c>
      <c r="D1630" s="5" t="s">
        <v>34</v>
      </c>
      <c r="E1630" s="5" t="s">
        <v>42</v>
      </c>
      <c r="F1630" s="5" t="s">
        <v>199</v>
      </c>
      <c r="H1630" s="5" t="s">
        <v>5106</v>
      </c>
      <c r="J1630" s="10" t="s">
        <v>72</v>
      </c>
      <c r="K1630" s="5" t="s">
        <v>5545</v>
      </c>
    </row>
    <row r="1631" ht="12.75" customHeight="1">
      <c r="A1631" s="5" t="s">
        <v>5547</v>
      </c>
      <c r="B1631" s="5" t="s">
        <v>5548</v>
      </c>
      <c r="D1631" s="5" t="s">
        <v>50</v>
      </c>
      <c r="E1631" s="5" t="s">
        <v>35</v>
      </c>
      <c r="F1631" s="5" t="s">
        <v>616</v>
      </c>
      <c r="H1631" s="5" t="s">
        <v>5550</v>
      </c>
      <c r="J1631" s="10" t="s">
        <v>72</v>
      </c>
    </row>
    <row r="1632" ht="12.75" customHeight="1">
      <c r="A1632" s="5" t="s">
        <v>5551</v>
      </c>
      <c r="B1632" s="5" t="s">
        <v>5552</v>
      </c>
      <c r="D1632" s="5" t="s">
        <v>50</v>
      </c>
      <c r="E1632" s="5" t="s">
        <v>42</v>
      </c>
      <c r="F1632" s="5" t="s">
        <v>167</v>
      </c>
      <c r="H1632" s="5" t="s">
        <v>5553</v>
      </c>
      <c r="J1632" s="10" t="s">
        <v>72</v>
      </c>
    </row>
    <row r="1633" ht="12.75" customHeight="1">
      <c r="A1633" s="5" t="s">
        <v>5554</v>
      </c>
      <c r="B1633" s="5" t="s">
        <v>5555</v>
      </c>
      <c r="D1633" s="5" t="s">
        <v>34</v>
      </c>
      <c r="E1633" s="5" t="s">
        <v>35</v>
      </c>
      <c r="F1633" s="5" t="s">
        <v>278</v>
      </c>
      <c r="H1633" s="5" t="s">
        <v>5556</v>
      </c>
      <c r="J1633" s="10" t="s">
        <v>72</v>
      </c>
    </row>
    <row r="1634" ht="12.75" customHeight="1">
      <c r="A1634" s="5" t="s">
        <v>5557</v>
      </c>
      <c r="B1634" s="5" t="s">
        <v>5558</v>
      </c>
      <c r="D1634" s="5" t="s">
        <v>34</v>
      </c>
      <c r="E1634" s="5" t="s">
        <v>42</v>
      </c>
      <c r="F1634" s="5" t="s">
        <v>423</v>
      </c>
      <c r="H1634" s="5" t="s">
        <v>5560</v>
      </c>
      <c r="J1634" s="10" t="s">
        <v>72</v>
      </c>
    </row>
    <row r="1635" ht="12.75" customHeight="1">
      <c r="A1635" s="5" t="s">
        <v>5561</v>
      </c>
      <c r="B1635" s="5" t="s">
        <v>5563</v>
      </c>
      <c r="D1635" s="5" t="s">
        <v>74</v>
      </c>
      <c r="E1635" s="5" t="s">
        <v>35</v>
      </c>
      <c r="F1635" s="5" t="s">
        <v>913</v>
      </c>
      <c r="H1635" s="5" t="s">
        <v>5564</v>
      </c>
      <c r="J1635" s="10" t="s">
        <v>72</v>
      </c>
    </row>
    <row r="1636" ht="12.75" customHeight="1">
      <c r="A1636" s="5" t="s">
        <v>5565</v>
      </c>
      <c r="B1636" s="5" t="s">
        <v>5566</v>
      </c>
      <c r="D1636" s="5" t="s">
        <v>74</v>
      </c>
      <c r="E1636" s="5" t="s">
        <v>42</v>
      </c>
      <c r="F1636" s="5" t="s">
        <v>435</v>
      </c>
      <c r="H1636" s="5" t="s">
        <v>5567</v>
      </c>
      <c r="J1636" s="10" t="s">
        <v>72</v>
      </c>
    </row>
    <row r="1637" ht="12.75" customHeight="1">
      <c r="A1637" s="5" t="s">
        <v>5568</v>
      </c>
      <c r="B1637" s="5" t="s">
        <v>5569</v>
      </c>
      <c r="D1637" s="5" t="s">
        <v>50</v>
      </c>
      <c r="E1637" s="5" t="s">
        <v>42</v>
      </c>
      <c r="F1637" s="5" t="s">
        <v>720</v>
      </c>
      <c r="H1637" s="5" t="s">
        <v>5553</v>
      </c>
      <c r="J1637" s="10" t="s">
        <v>72</v>
      </c>
    </row>
    <row r="1638" ht="12.75" customHeight="1">
      <c r="A1638" s="5" t="s">
        <v>5571</v>
      </c>
      <c r="B1638" s="5" t="s">
        <v>5572</v>
      </c>
      <c r="D1638" s="5" t="s">
        <v>34</v>
      </c>
      <c r="E1638" s="5" t="s">
        <v>42</v>
      </c>
      <c r="F1638" s="5" t="s">
        <v>162</v>
      </c>
      <c r="H1638" s="5" t="s">
        <v>5560</v>
      </c>
      <c r="J1638" s="10" t="s">
        <v>72</v>
      </c>
    </row>
    <row r="1639" ht="12.75" customHeight="1">
      <c r="A1639" s="5" t="s">
        <v>5574</v>
      </c>
      <c r="B1639" s="5" t="s">
        <v>5575</v>
      </c>
      <c r="D1639" s="5" t="s">
        <v>67</v>
      </c>
      <c r="E1639" s="5" t="s">
        <v>42</v>
      </c>
      <c r="F1639" s="5" t="s">
        <v>1555</v>
      </c>
      <c r="H1639" s="5" t="s">
        <v>5576</v>
      </c>
      <c r="J1639" s="10" t="s">
        <v>72</v>
      </c>
    </row>
    <row r="1640" ht="12.75" customHeight="1">
      <c r="A1640" s="5" t="s">
        <v>5577</v>
      </c>
      <c r="B1640" s="5" t="s">
        <v>5578</v>
      </c>
      <c r="D1640" s="5" t="s">
        <v>74</v>
      </c>
      <c r="E1640" s="5" t="s">
        <v>42</v>
      </c>
      <c r="F1640" s="5" t="s">
        <v>1753</v>
      </c>
      <c r="H1640" s="5" t="s">
        <v>5567</v>
      </c>
      <c r="J1640" s="10" t="s">
        <v>72</v>
      </c>
    </row>
    <row r="1641" ht="12.75" customHeight="1">
      <c r="A1641" s="5" t="s">
        <v>5579</v>
      </c>
      <c r="B1641" s="5" t="s">
        <v>5580</v>
      </c>
      <c r="D1641" s="5" t="s">
        <v>12</v>
      </c>
      <c r="E1641" s="5" t="s">
        <v>42</v>
      </c>
      <c r="F1641" s="5" t="s">
        <v>366</v>
      </c>
      <c r="H1641" s="5" t="s">
        <v>5582</v>
      </c>
      <c r="J1641" s="10" t="s">
        <v>72</v>
      </c>
    </row>
    <row r="1642" ht="12.75" customHeight="1">
      <c r="A1642" s="5" t="s">
        <v>5584</v>
      </c>
      <c r="B1642" s="5" t="s">
        <v>5585</v>
      </c>
      <c r="D1642" s="5" t="s">
        <v>22</v>
      </c>
      <c r="E1642" s="5" t="s">
        <v>35</v>
      </c>
      <c r="F1642" s="5" t="s">
        <v>619</v>
      </c>
      <c r="H1642" s="5" t="s">
        <v>5582</v>
      </c>
      <c r="J1642" s="10" t="s">
        <v>72</v>
      </c>
    </row>
    <row r="1643" ht="12.75" customHeight="1">
      <c r="A1643" s="5" t="s">
        <v>3721</v>
      </c>
      <c r="B1643" s="5" t="s">
        <v>5586</v>
      </c>
      <c r="D1643" s="5" t="s">
        <v>22</v>
      </c>
      <c r="E1643" s="5" t="s">
        <v>42</v>
      </c>
      <c r="F1643" s="5" t="s">
        <v>65</v>
      </c>
      <c r="H1643" s="5" t="s">
        <v>5582</v>
      </c>
      <c r="J1643" s="10" t="s">
        <v>72</v>
      </c>
      <c r="L1643" s="5" t="s">
        <v>3717</v>
      </c>
    </row>
    <row r="1644" ht="12.75" customHeight="1">
      <c r="A1644" s="5" t="s">
        <v>5587</v>
      </c>
      <c r="B1644" s="5" t="s">
        <v>5588</v>
      </c>
      <c r="D1644" s="5" t="s">
        <v>30</v>
      </c>
      <c r="E1644" s="5" t="s">
        <v>35</v>
      </c>
      <c r="F1644" s="5" t="s">
        <v>3067</v>
      </c>
      <c r="H1644" s="5" t="s">
        <v>5582</v>
      </c>
      <c r="J1644" s="10" t="s">
        <v>72</v>
      </c>
    </row>
    <row r="1645" ht="12.75" customHeight="1">
      <c r="A1645" s="5" t="s">
        <v>3725</v>
      </c>
      <c r="B1645" s="5" t="s">
        <v>5591</v>
      </c>
      <c r="D1645" s="5" t="s">
        <v>30</v>
      </c>
      <c r="E1645" s="5" t="s">
        <v>42</v>
      </c>
      <c r="F1645" s="5" t="s">
        <v>2638</v>
      </c>
      <c r="H1645" s="5" t="s">
        <v>5582</v>
      </c>
      <c r="J1645" s="10" t="s">
        <v>72</v>
      </c>
      <c r="K1645" s="5" t="s">
        <v>3722</v>
      </c>
    </row>
    <row r="1646" ht="12.75" customHeight="1">
      <c r="A1646" s="5" t="s">
        <v>5592</v>
      </c>
      <c r="B1646" s="5" t="s">
        <v>5593</v>
      </c>
      <c r="D1646" s="5" t="s">
        <v>34</v>
      </c>
      <c r="E1646" s="5" t="s">
        <v>35</v>
      </c>
      <c r="F1646" s="5" t="s">
        <v>110</v>
      </c>
      <c r="H1646" s="5" t="s">
        <v>5582</v>
      </c>
      <c r="J1646" s="10" t="s">
        <v>72</v>
      </c>
    </row>
    <row r="1647" ht="12.75" customHeight="1">
      <c r="A1647" s="5" t="s">
        <v>5594</v>
      </c>
      <c r="B1647" s="5" t="s">
        <v>5595</v>
      </c>
      <c r="D1647" s="5" t="s">
        <v>34</v>
      </c>
      <c r="E1647" s="5" t="s">
        <v>42</v>
      </c>
      <c r="F1647" s="5" t="s">
        <v>572</v>
      </c>
      <c r="H1647" s="5" t="s">
        <v>5582</v>
      </c>
      <c r="J1647" s="10" t="s">
        <v>72</v>
      </c>
    </row>
    <row r="1648" ht="12.75" customHeight="1">
      <c r="A1648" s="5" t="s">
        <v>5550</v>
      </c>
      <c r="B1648" s="5" t="s">
        <v>5597</v>
      </c>
      <c r="D1648" s="5" t="s">
        <v>50</v>
      </c>
      <c r="E1648" s="5" t="s">
        <v>35</v>
      </c>
      <c r="F1648" s="5" t="s">
        <v>71</v>
      </c>
      <c r="H1648" s="5" t="s">
        <v>5599</v>
      </c>
      <c r="J1648" s="10" t="s">
        <v>72</v>
      </c>
      <c r="K1648" s="5" t="s">
        <v>5547</v>
      </c>
      <c r="L1648" s="5" t="s">
        <v>5600</v>
      </c>
    </row>
    <row r="1649" ht="12.75" customHeight="1">
      <c r="A1649" s="5" t="s">
        <v>5553</v>
      </c>
      <c r="B1649" s="5" t="s">
        <v>5601</v>
      </c>
      <c r="D1649" s="5" t="s">
        <v>50</v>
      </c>
      <c r="E1649" s="5" t="s">
        <v>42</v>
      </c>
      <c r="F1649" s="5" t="s">
        <v>167</v>
      </c>
      <c r="H1649" s="5" t="s">
        <v>5599</v>
      </c>
      <c r="J1649" s="10" t="s">
        <v>72</v>
      </c>
      <c r="K1649" s="5" t="s">
        <v>5602</v>
      </c>
      <c r="L1649" s="5" t="s">
        <v>5603</v>
      </c>
    </row>
    <row r="1650" ht="12.75" customHeight="1">
      <c r="A1650" s="5" t="s">
        <v>5604</v>
      </c>
      <c r="B1650" s="5" t="s">
        <v>5605</v>
      </c>
      <c r="D1650" s="5" t="s">
        <v>55</v>
      </c>
      <c r="E1650" s="5" t="s">
        <v>42</v>
      </c>
      <c r="F1650" s="5" t="s">
        <v>1947</v>
      </c>
      <c r="H1650" s="5" t="s">
        <v>5599</v>
      </c>
      <c r="J1650" s="10" t="s">
        <v>72</v>
      </c>
    </row>
    <row r="1651" ht="12.75" customHeight="1">
      <c r="A1651" s="5" t="s">
        <v>5556</v>
      </c>
      <c r="B1651" s="5" t="s">
        <v>5608</v>
      </c>
      <c r="D1651" s="5" t="s">
        <v>34</v>
      </c>
      <c r="E1651" s="5" t="s">
        <v>35</v>
      </c>
      <c r="F1651" s="5" t="s">
        <v>868</v>
      </c>
      <c r="H1651" s="5" t="s">
        <v>5599</v>
      </c>
      <c r="J1651" s="10" t="s">
        <v>72</v>
      </c>
      <c r="K1651" s="5" t="s">
        <v>5554</v>
      </c>
      <c r="L1651" s="5" t="s">
        <v>5609</v>
      </c>
    </row>
    <row r="1652" ht="12.75" customHeight="1">
      <c r="A1652" s="5" t="s">
        <v>5560</v>
      </c>
      <c r="B1652" s="5" t="s">
        <v>5610</v>
      </c>
      <c r="D1652" s="5" t="s">
        <v>34</v>
      </c>
      <c r="E1652" s="5" t="s">
        <v>42</v>
      </c>
      <c r="F1652" s="5" t="s">
        <v>3665</v>
      </c>
      <c r="H1652" s="5" t="s">
        <v>5599</v>
      </c>
      <c r="J1652" s="10" t="s">
        <v>72</v>
      </c>
      <c r="K1652" s="5" t="s">
        <v>5611</v>
      </c>
      <c r="L1652" s="5" t="s">
        <v>5612</v>
      </c>
    </row>
    <row r="1653" ht="12.75" customHeight="1">
      <c r="A1653" s="5" t="s">
        <v>5576</v>
      </c>
      <c r="B1653" s="5" t="s">
        <v>5613</v>
      </c>
      <c r="D1653" s="5" t="s">
        <v>67</v>
      </c>
      <c r="E1653" s="5" t="s">
        <v>42</v>
      </c>
      <c r="F1653" s="5" t="s">
        <v>2555</v>
      </c>
      <c r="H1653" s="5" t="s">
        <v>5599</v>
      </c>
      <c r="J1653" s="10" t="s">
        <v>72</v>
      </c>
      <c r="K1653" s="5" t="s">
        <v>5574</v>
      </c>
      <c r="L1653" s="5" t="s">
        <v>5616</v>
      </c>
    </row>
    <row r="1654" ht="12.75" customHeight="1">
      <c r="A1654" s="5" t="s">
        <v>5564</v>
      </c>
      <c r="B1654" s="5" t="s">
        <v>5617</v>
      </c>
      <c r="D1654" s="5" t="s">
        <v>74</v>
      </c>
      <c r="E1654" s="5" t="s">
        <v>35</v>
      </c>
      <c r="F1654" s="5" t="s">
        <v>1776</v>
      </c>
      <c r="H1654" s="5" t="s">
        <v>5599</v>
      </c>
      <c r="J1654" s="10" t="s">
        <v>72</v>
      </c>
      <c r="K1654" s="5" t="s">
        <v>5561</v>
      </c>
      <c r="L1654" s="5" t="s">
        <v>5618</v>
      </c>
    </row>
    <row r="1655" ht="12.75" customHeight="1">
      <c r="A1655" s="5" t="s">
        <v>5567</v>
      </c>
      <c r="B1655" s="5" t="s">
        <v>5619</v>
      </c>
      <c r="D1655" s="5" t="s">
        <v>74</v>
      </c>
      <c r="E1655" s="5" t="s">
        <v>42</v>
      </c>
      <c r="F1655" s="5" t="s">
        <v>1753</v>
      </c>
      <c r="H1655" s="5" t="s">
        <v>5599</v>
      </c>
      <c r="J1655" s="10" t="s">
        <v>72</v>
      </c>
      <c r="K1655" s="5" t="s">
        <v>5620</v>
      </c>
      <c r="L1655" s="5" t="s">
        <v>5621</v>
      </c>
    </row>
    <row r="1656" ht="12.75" customHeight="1">
      <c r="A1656" s="5" t="s">
        <v>5600</v>
      </c>
      <c r="B1656" s="5" t="s">
        <v>5622</v>
      </c>
      <c r="D1656" s="5" t="s">
        <v>50</v>
      </c>
      <c r="E1656" s="5" t="s">
        <v>35</v>
      </c>
      <c r="F1656" s="5" t="s">
        <v>71</v>
      </c>
      <c r="H1656" s="5" t="s">
        <v>5550</v>
      </c>
      <c r="I1656" s="10" t="s">
        <v>72</v>
      </c>
      <c r="J1656" s="10" t="s">
        <v>72</v>
      </c>
    </row>
    <row r="1657" ht="12.75" customHeight="1">
      <c r="A1657" s="5" t="s">
        <v>5603</v>
      </c>
      <c r="B1657" s="5" t="s">
        <v>5625</v>
      </c>
      <c r="D1657" s="5" t="s">
        <v>50</v>
      </c>
      <c r="E1657" s="5" t="s">
        <v>42</v>
      </c>
      <c r="F1657" s="5" t="s">
        <v>167</v>
      </c>
      <c r="H1657" s="5" t="s">
        <v>5553</v>
      </c>
      <c r="I1657" s="10" t="s">
        <v>72</v>
      </c>
      <c r="J1657" s="10" t="s">
        <v>72</v>
      </c>
    </row>
    <row r="1658" ht="12.75" customHeight="1">
      <c r="A1658" s="5" t="s">
        <v>5626</v>
      </c>
      <c r="B1658" s="5" t="s">
        <v>5627</v>
      </c>
      <c r="D1658" s="5" t="s">
        <v>34</v>
      </c>
      <c r="E1658" s="5" t="s">
        <v>35</v>
      </c>
      <c r="F1658" s="5" t="s">
        <v>868</v>
      </c>
      <c r="H1658" s="5" t="s">
        <v>5556</v>
      </c>
      <c r="I1658" s="10" t="s">
        <v>72</v>
      </c>
      <c r="J1658" s="10" t="s">
        <v>72</v>
      </c>
    </row>
    <row r="1659" ht="12.75" customHeight="1">
      <c r="A1659" s="5" t="s">
        <v>5628</v>
      </c>
      <c r="B1659" s="5" t="s">
        <v>5629</v>
      </c>
      <c r="D1659" s="5" t="s">
        <v>34</v>
      </c>
      <c r="E1659" s="5" t="s">
        <v>42</v>
      </c>
      <c r="F1659" s="5" t="s">
        <v>3665</v>
      </c>
      <c r="H1659" s="5" t="s">
        <v>5560</v>
      </c>
      <c r="I1659" s="10" t="s">
        <v>72</v>
      </c>
      <c r="J1659" s="10" t="s">
        <v>72</v>
      </c>
    </row>
    <row r="1660" ht="12.75" customHeight="1">
      <c r="A1660" s="5" t="s">
        <v>5632</v>
      </c>
      <c r="B1660" s="5" t="s">
        <v>5633</v>
      </c>
      <c r="D1660" s="5" t="s">
        <v>67</v>
      </c>
      <c r="E1660" s="5" t="s">
        <v>42</v>
      </c>
      <c r="F1660" s="5" t="s">
        <v>2555</v>
      </c>
      <c r="H1660" s="5" t="s">
        <v>5576</v>
      </c>
      <c r="I1660" s="10" t="s">
        <v>72</v>
      </c>
      <c r="J1660" s="10" t="s">
        <v>72</v>
      </c>
    </row>
    <row r="1661" ht="12.75" customHeight="1">
      <c r="A1661" s="5" t="s">
        <v>5634</v>
      </c>
      <c r="B1661" s="5" t="s">
        <v>5635</v>
      </c>
      <c r="D1661" s="5" t="s">
        <v>74</v>
      </c>
      <c r="E1661" s="5" t="s">
        <v>35</v>
      </c>
      <c r="F1661" s="5" t="s">
        <v>1776</v>
      </c>
      <c r="H1661" s="5" t="s">
        <v>5564</v>
      </c>
      <c r="I1661" s="10" t="s">
        <v>72</v>
      </c>
      <c r="J1661" s="10" t="s">
        <v>72</v>
      </c>
    </row>
    <row r="1662" ht="12.75" customHeight="1">
      <c r="A1662" s="5" t="s">
        <v>5636</v>
      </c>
      <c r="B1662" s="5" t="s">
        <v>5637</v>
      </c>
      <c r="D1662" s="5" t="s">
        <v>74</v>
      </c>
      <c r="E1662" s="5" t="s">
        <v>42</v>
      </c>
      <c r="F1662" s="5" t="s">
        <v>1753</v>
      </c>
      <c r="H1662" s="5" t="s">
        <v>5567</v>
      </c>
      <c r="I1662" s="10" t="s">
        <v>72</v>
      </c>
      <c r="J1662" s="10" t="s">
        <v>72</v>
      </c>
    </row>
    <row r="1663" ht="12.75" customHeight="1">
      <c r="A1663" s="5" t="s">
        <v>5640</v>
      </c>
      <c r="B1663" s="5" t="s">
        <v>5641</v>
      </c>
      <c r="D1663" s="5" t="s">
        <v>34</v>
      </c>
      <c r="E1663" s="5" t="s">
        <v>35</v>
      </c>
      <c r="F1663" s="5" t="s">
        <v>868</v>
      </c>
      <c r="H1663" s="5" t="s">
        <v>5642</v>
      </c>
      <c r="I1663" s="10" t="s">
        <v>72</v>
      </c>
      <c r="J1663" s="10" t="s">
        <v>72</v>
      </c>
    </row>
    <row r="1664" ht="12.75" customHeight="1">
      <c r="A1664" s="5" t="s">
        <v>4059</v>
      </c>
      <c r="B1664" s="5" t="s">
        <v>5644</v>
      </c>
      <c r="D1664" s="5" t="s">
        <v>34</v>
      </c>
      <c r="E1664" s="5" t="s">
        <v>42</v>
      </c>
      <c r="F1664" s="5" t="s">
        <v>3665</v>
      </c>
      <c r="H1664" s="5" t="s">
        <v>5645</v>
      </c>
      <c r="I1664" s="10" t="s">
        <v>72</v>
      </c>
      <c r="J1664" s="10" t="s">
        <v>72</v>
      </c>
      <c r="K1664" s="5" t="s">
        <v>4057</v>
      </c>
    </row>
    <row r="1665" ht="12.75" customHeight="1">
      <c r="A1665" s="5" t="s">
        <v>5647</v>
      </c>
      <c r="B1665" s="5" t="s">
        <v>5648</v>
      </c>
      <c r="D1665" s="5" t="s">
        <v>67</v>
      </c>
      <c r="E1665" s="5" t="s">
        <v>42</v>
      </c>
      <c r="F1665" s="5" t="s">
        <v>2555</v>
      </c>
      <c r="H1665" s="5" t="s">
        <v>5649</v>
      </c>
      <c r="I1665" s="10" t="s">
        <v>72</v>
      </c>
      <c r="J1665" s="10" t="s">
        <v>72</v>
      </c>
    </row>
    <row r="1666" ht="12.75" customHeight="1">
      <c r="A1666" s="5" t="s">
        <v>5650</v>
      </c>
      <c r="B1666" s="5" t="s">
        <v>5651</v>
      </c>
      <c r="D1666" s="5" t="s">
        <v>74</v>
      </c>
      <c r="E1666" s="5" t="s">
        <v>35</v>
      </c>
      <c r="F1666" s="5" t="s">
        <v>1776</v>
      </c>
      <c r="H1666" s="5" t="s">
        <v>5652</v>
      </c>
      <c r="I1666" s="10" t="s">
        <v>72</v>
      </c>
      <c r="J1666" s="10" t="s">
        <v>72</v>
      </c>
    </row>
    <row r="1667" ht="12.75" customHeight="1">
      <c r="A1667" s="5" t="s">
        <v>5654</v>
      </c>
      <c r="B1667" s="5" t="s">
        <v>5655</v>
      </c>
      <c r="D1667" s="5" t="s">
        <v>74</v>
      </c>
      <c r="E1667" s="5" t="s">
        <v>42</v>
      </c>
      <c r="F1667" s="5" t="s">
        <v>1753</v>
      </c>
      <c r="H1667" s="5" t="s">
        <v>5657</v>
      </c>
      <c r="I1667" s="10" t="s">
        <v>72</v>
      </c>
      <c r="J1667" s="10" t="s">
        <v>72</v>
      </c>
    </row>
    <row r="1668" ht="12.75" customHeight="1">
      <c r="A1668" s="5" t="s">
        <v>5642</v>
      </c>
      <c r="B1668" s="5" t="s">
        <v>5658</v>
      </c>
      <c r="D1668" s="5" t="s">
        <v>34</v>
      </c>
      <c r="E1668" s="5" t="s">
        <v>35</v>
      </c>
      <c r="F1668" s="5" t="s">
        <v>868</v>
      </c>
      <c r="H1668" s="5" t="s">
        <v>5556</v>
      </c>
      <c r="I1668" s="10" t="s">
        <v>72</v>
      </c>
      <c r="J1668" s="10" t="s">
        <v>72</v>
      </c>
      <c r="L1668" s="5" t="s">
        <v>5640</v>
      </c>
    </row>
    <row r="1669" ht="12.75" customHeight="1">
      <c r="A1669" s="5" t="s">
        <v>5645</v>
      </c>
      <c r="B1669" s="5" t="s">
        <v>5659</v>
      </c>
      <c r="D1669" s="5" t="s">
        <v>34</v>
      </c>
      <c r="E1669" s="5" t="s">
        <v>42</v>
      </c>
      <c r="F1669" s="5" t="s">
        <v>3665</v>
      </c>
      <c r="H1669" s="5" t="s">
        <v>5560</v>
      </c>
      <c r="I1669" s="10" t="s">
        <v>72</v>
      </c>
      <c r="J1669" s="10" t="s">
        <v>72</v>
      </c>
      <c r="K1669" s="5" t="s">
        <v>4057</v>
      </c>
      <c r="L1669" s="5" t="s">
        <v>4059</v>
      </c>
    </row>
    <row r="1670" ht="12.75" customHeight="1">
      <c r="A1670" s="5" t="s">
        <v>5649</v>
      </c>
      <c r="B1670" s="5" t="s">
        <v>5662</v>
      </c>
      <c r="D1670" s="5" t="s">
        <v>67</v>
      </c>
      <c r="E1670" s="5" t="s">
        <v>42</v>
      </c>
      <c r="F1670" s="5" t="s">
        <v>2555</v>
      </c>
      <c r="H1670" s="5" t="s">
        <v>5576</v>
      </c>
      <c r="I1670" s="10" t="s">
        <v>72</v>
      </c>
      <c r="J1670" s="10" t="s">
        <v>72</v>
      </c>
      <c r="L1670" s="5" t="s">
        <v>5647</v>
      </c>
    </row>
    <row r="1671" ht="12.75" customHeight="1">
      <c r="A1671" s="5" t="s">
        <v>5652</v>
      </c>
      <c r="B1671" s="5" t="s">
        <v>5663</v>
      </c>
      <c r="D1671" s="5" t="s">
        <v>74</v>
      </c>
      <c r="E1671" s="5" t="s">
        <v>35</v>
      </c>
      <c r="F1671" s="5" t="s">
        <v>1776</v>
      </c>
      <c r="H1671" s="5" t="s">
        <v>5564</v>
      </c>
      <c r="I1671" s="10" t="s">
        <v>72</v>
      </c>
      <c r="J1671" s="10" t="s">
        <v>72</v>
      </c>
      <c r="L1671" s="5" t="s">
        <v>5650</v>
      </c>
    </row>
    <row r="1672" ht="12.75" customHeight="1">
      <c r="A1672" s="5" t="s">
        <v>5657</v>
      </c>
      <c r="B1672" s="5" t="s">
        <v>5664</v>
      </c>
      <c r="D1672" s="5" t="s">
        <v>74</v>
      </c>
      <c r="E1672" s="5" t="s">
        <v>42</v>
      </c>
      <c r="F1672" s="5" t="s">
        <v>1753</v>
      </c>
      <c r="H1672" s="5" t="s">
        <v>5567</v>
      </c>
      <c r="I1672" s="10" t="s">
        <v>72</v>
      </c>
      <c r="J1672" s="10" t="s">
        <v>72</v>
      </c>
      <c r="L1672" s="5" t="s">
        <v>5654</v>
      </c>
    </row>
    <row r="1673" ht="12.75" customHeight="1">
      <c r="A1673" s="5" t="s">
        <v>5667</v>
      </c>
      <c r="B1673" s="5" t="s">
        <v>5668</v>
      </c>
      <c r="D1673" s="5" t="s">
        <v>50</v>
      </c>
      <c r="E1673" s="5" t="s">
        <v>35</v>
      </c>
      <c r="F1673" s="5" t="s">
        <v>77</v>
      </c>
      <c r="H1673" s="5" t="s">
        <v>5669</v>
      </c>
      <c r="J1673" s="10" t="s">
        <v>72</v>
      </c>
    </row>
    <row r="1674" ht="12.75" customHeight="1">
      <c r="A1674" s="5" t="s">
        <v>5670</v>
      </c>
      <c r="B1674" s="5" t="s">
        <v>5671</v>
      </c>
      <c r="D1674" s="5" t="s">
        <v>50</v>
      </c>
      <c r="E1674" s="5" t="s">
        <v>42</v>
      </c>
      <c r="F1674" s="5" t="s">
        <v>113</v>
      </c>
      <c r="H1674" s="5" t="s">
        <v>5669</v>
      </c>
      <c r="J1674" s="10" t="s">
        <v>72</v>
      </c>
    </row>
    <row r="1675" ht="12.75" customHeight="1">
      <c r="A1675" s="5" t="s">
        <v>5672</v>
      </c>
      <c r="B1675" s="5" t="s">
        <v>5673</v>
      </c>
      <c r="D1675" s="5" t="s">
        <v>55</v>
      </c>
      <c r="E1675" s="5" t="s">
        <v>42</v>
      </c>
      <c r="F1675" s="5" t="s">
        <v>134</v>
      </c>
      <c r="H1675" s="5" t="s">
        <v>5669</v>
      </c>
      <c r="J1675" s="10" t="s">
        <v>72</v>
      </c>
    </row>
    <row r="1676" ht="12.75" customHeight="1">
      <c r="A1676" s="5" t="s">
        <v>5676</v>
      </c>
      <c r="B1676" s="5" t="s">
        <v>5677</v>
      </c>
      <c r="D1676" s="5" t="s">
        <v>34</v>
      </c>
      <c r="E1676" s="5" t="s">
        <v>35</v>
      </c>
      <c r="F1676" s="5" t="s">
        <v>104</v>
      </c>
      <c r="H1676" s="5" t="s">
        <v>5669</v>
      </c>
      <c r="J1676" s="10" t="s">
        <v>72</v>
      </c>
    </row>
    <row r="1677" ht="12.75" customHeight="1">
      <c r="A1677" s="5" t="s">
        <v>5678</v>
      </c>
      <c r="B1677" s="5" t="s">
        <v>5679</v>
      </c>
      <c r="D1677" s="5" t="s">
        <v>34</v>
      </c>
      <c r="E1677" s="5" t="s">
        <v>42</v>
      </c>
      <c r="F1677" s="5" t="s">
        <v>610</v>
      </c>
      <c r="H1677" s="5" t="s">
        <v>5669</v>
      </c>
      <c r="J1677" s="10" t="s">
        <v>72</v>
      </c>
    </row>
    <row r="1678" ht="12.75" customHeight="1">
      <c r="A1678" s="5" t="s">
        <v>5680</v>
      </c>
      <c r="B1678" s="5" t="s">
        <v>5681</v>
      </c>
      <c r="D1678" s="5" t="s">
        <v>74</v>
      </c>
      <c r="E1678" s="5" t="s">
        <v>35</v>
      </c>
      <c r="F1678" s="5" t="s">
        <v>605</v>
      </c>
      <c r="H1678" s="5" t="s">
        <v>5669</v>
      </c>
      <c r="J1678" s="10" t="s">
        <v>72</v>
      </c>
    </row>
    <row r="1679" ht="12.75" customHeight="1">
      <c r="A1679" s="5" t="s">
        <v>5684</v>
      </c>
      <c r="B1679" s="5" t="s">
        <v>5685</v>
      </c>
      <c r="D1679" s="5" t="s">
        <v>74</v>
      </c>
      <c r="E1679" s="5" t="s">
        <v>42</v>
      </c>
      <c r="F1679" s="5" t="s">
        <v>445</v>
      </c>
      <c r="H1679" s="5" t="s">
        <v>5669</v>
      </c>
      <c r="J1679" s="10" t="s">
        <v>72</v>
      </c>
    </row>
    <row r="1680" ht="12.75" customHeight="1">
      <c r="A1680" s="5" t="s">
        <v>5686</v>
      </c>
      <c r="B1680" s="5" t="s">
        <v>5687</v>
      </c>
      <c r="D1680" s="5" t="s">
        <v>80</v>
      </c>
      <c r="E1680" s="5" t="s">
        <v>35</v>
      </c>
      <c r="F1680" s="5" t="s">
        <v>1868</v>
      </c>
      <c r="H1680" s="5" t="s">
        <v>5669</v>
      </c>
      <c r="J1680" s="10" t="s">
        <v>72</v>
      </c>
    </row>
    <row r="1681" ht="12.75" customHeight="1">
      <c r="A1681" s="5" t="s">
        <v>5688</v>
      </c>
      <c r="B1681" s="5" t="s">
        <v>5689</v>
      </c>
      <c r="D1681" s="5" t="s">
        <v>80</v>
      </c>
      <c r="E1681" s="5" t="s">
        <v>42</v>
      </c>
      <c r="F1681" s="5" t="s">
        <v>535</v>
      </c>
      <c r="H1681" s="5" t="s">
        <v>5669</v>
      </c>
      <c r="J1681" s="10" t="s">
        <v>72</v>
      </c>
    </row>
    <row r="1682" ht="12.75" customHeight="1">
      <c r="A1682" s="5" t="s">
        <v>5582</v>
      </c>
      <c r="B1682" s="5" t="s">
        <v>5692</v>
      </c>
      <c r="C1682" s="5" t="s">
        <v>5693</v>
      </c>
      <c r="D1682" s="5" t="s">
        <v>34</v>
      </c>
      <c r="E1682" s="5" t="s">
        <v>42</v>
      </c>
      <c r="F1682" s="5" t="s">
        <v>637</v>
      </c>
      <c r="H1682" s="5" t="s">
        <v>5106</v>
      </c>
      <c r="J1682" s="10" t="s">
        <v>72</v>
      </c>
      <c r="K1682" s="5" t="s">
        <v>5694</v>
      </c>
      <c r="L1682" s="5" t="s">
        <v>5695</v>
      </c>
    </row>
    <row r="1683" ht="12.75" customHeight="1">
      <c r="A1683" s="5" t="s">
        <v>5599</v>
      </c>
      <c r="B1683" s="5" t="s">
        <v>5696</v>
      </c>
      <c r="C1683" s="5" t="s">
        <v>5693</v>
      </c>
      <c r="D1683" s="5" t="s">
        <v>34</v>
      </c>
      <c r="E1683" s="5" t="s">
        <v>42</v>
      </c>
      <c r="F1683" s="5" t="s">
        <v>3665</v>
      </c>
      <c r="H1683" s="5" t="s">
        <v>5106</v>
      </c>
      <c r="J1683" s="10" t="s">
        <v>72</v>
      </c>
      <c r="K1683" s="5" t="s">
        <v>5698</v>
      </c>
    </row>
    <row r="1684" ht="12.75" customHeight="1">
      <c r="A1684" s="5" t="s">
        <v>5669</v>
      </c>
      <c r="B1684" s="5" t="s">
        <v>5700</v>
      </c>
      <c r="C1684" s="5" t="s">
        <v>5693</v>
      </c>
      <c r="D1684" s="5" t="s">
        <v>34</v>
      </c>
      <c r="E1684" s="5" t="s">
        <v>42</v>
      </c>
      <c r="F1684" s="5" t="s">
        <v>572</v>
      </c>
      <c r="H1684" s="5" t="s">
        <v>5106</v>
      </c>
      <c r="J1684" s="10" t="s">
        <v>72</v>
      </c>
      <c r="K1684" s="5" t="s">
        <v>5701</v>
      </c>
    </row>
    <row r="1685" ht="12.75" customHeight="1">
      <c r="A1685" s="5" t="s">
        <v>5702</v>
      </c>
      <c r="B1685" s="5" t="s">
        <v>5703</v>
      </c>
      <c r="D1685" s="5" t="s">
        <v>50</v>
      </c>
      <c r="E1685" s="5" t="s">
        <v>35</v>
      </c>
      <c r="F1685" s="5" t="s">
        <v>616</v>
      </c>
      <c r="H1685" s="5" t="s">
        <v>5704</v>
      </c>
      <c r="J1685" s="10" t="s">
        <v>72</v>
      </c>
    </row>
    <row r="1686" ht="12.75" customHeight="1">
      <c r="A1686" s="5" t="s">
        <v>5705</v>
      </c>
      <c r="B1686" s="5" t="s">
        <v>5706</v>
      </c>
      <c r="D1686" s="5" t="s">
        <v>50</v>
      </c>
      <c r="E1686" s="5" t="s">
        <v>42</v>
      </c>
      <c r="F1686" s="5" t="s">
        <v>228</v>
      </c>
      <c r="H1686" s="5" t="s">
        <v>5707</v>
      </c>
      <c r="J1686" s="10" t="s">
        <v>72</v>
      </c>
    </row>
    <row r="1687" ht="12.75" customHeight="1">
      <c r="A1687" s="5" t="s">
        <v>5708</v>
      </c>
      <c r="B1687" s="5" t="s">
        <v>5710</v>
      </c>
      <c r="D1687" s="5" t="s">
        <v>34</v>
      </c>
      <c r="E1687" s="5" t="s">
        <v>35</v>
      </c>
      <c r="F1687" s="5" t="s">
        <v>710</v>
      </c>
      <c r="H1687" s="5" t="s">
        <v>5712</v>
      </c>
      <c r="J1687" s="10" t="s">
        <v>72</v>
      </c>
    </row>
    <row r="1688" ht="12.75" customHeight="1">
      <c r="A1688" s="5" t="s">
        <v>5713</v>
      </c>
      <c r="B1688" s="5" t="s">
        <v>5714</v>
      </c>
      <c r="D1688" s="5" t="s">
        <v>34</v>
      </c>
      <c r="E1688" s="5" t="s">
        <v>42</v>
      </c>
      <c r="F1688" s="5" t="s">
        <v>1753</v>
      </c>
      <c r="H1688" s="5" t="s">
        <v>5715</v>
      </c>
      <c r="J1688" s="10" t="s">
        <v>72</v>
      </c>
    </row>
    <row r="1689" ht="12.75" customHeight="1">
      <c r="A1689" s="5" t="s">
        <v>5716</v>
      </c>
      <c r="B1689" s="5" t="s">
        <v>5717</v>
      </c>
      <c r="D1689" s="5" t="s">
        <v>74</v>
      </c>
      <c r="E1689" s="5" t="s">
        <v>35</v>
      </c>
      <c r="F1689" s="5" t="s">
        <v>4630</v>
      </c>
      <c r="H1689" s="5" t="s">
        <v>5718</v>
      </c>
      <c r="J1689" s="10" t="s">
        <v>72</v>
      </c>
    </row>
    <row r="1690" ht="12.75" customHeight="1">
      <c r="A1690" s="5" t="s">
        <v>5719</v>
      </c>
      <c r="B1690" s="5" t="s">
        <v>5720</v>
      </c>
      <c r="D1690" s="5" t="s">
        <v>74</v>
      </c>
      <c r="E1690" s="5" t="s">
        <v>42</v>
      </c>
      <c r="F1690" s="5" t="s">
        <v>219</v>
      </c>
      <c r="H1690" s="5" t="s">
        <v>5722</v>
      </c>
      <c r="J1690" s="10" t="s">
        <v>72</v>
      </c>
    </row>
    <row r="1691" ht="12.75" customHeight="1">
      <c r="A1691" s="5" t="s">
        <v>5724</v>
      </c>
      <c r="B1691" s="5" t="s">
        <v>5725</v>
      </c>
      <c r="D1691" s="5" t="s">
        <v>50</v>
      </c>
      <c r="E1691" s="5" t="s">
        <v>42</v>
      </c>
      <c r="F1691" s="5" t="s">
        <v>672</v>
      </c>
      <c r="H1691" s="5" t="s">
        <v>5707</v>
      </c>
      <c r="J1691" s="10" t="s">
        <v>72</v>
      </c>
    </row>
    <row r="1692" ht="12.75" customHeight="1">
      <c r="A1692" s="5" t="s">
        <v>5726</v>
      </c>
      <c r="B1692" s="5" t="s">
        <v>5727</v>
      </c>
      <c r="D1692" s="5" t="s">
        <v>34</v>
      </c>
      <c r="E1692" s="5" t="s">
        <v>42</v>
      </c>
      <c r="F1692" s="5" t="s">
        <v>1753</v>
      </c>
      <c r="H1692" s="5" t="s">
        <v>5715</v>
      </c>
      <c r="J1692" s="10" t="s">
        <v>72</v>
      </c>
    </row>
    <row r="1693" ht="12.75" customHeight="1">
      <c r="A1693" s="5" t="s">
        <v>5728</v>
      </c>
      <c r="B1693" s="5" t="s">
        <v>5729</v>
      </c>
      <c r="D1693" s="5" t="s">
        <v>67</v>
      </c>
      <c r="E1693" s="5" t="s">
        <v>42</v>
      </c>
      <c r="F1693" s="5" t="s">
        <v>2555</v>
      </c>
      <c r="H1693" s="5" t="s">
        <v>5731</v>
      </c>
      <c r="J1693" s="10" t="s">
        <v>72</v>
      </c>
    </row>
    <row r="1694" ht="12.75" customHeight="1">
      <c r="A1694" s="5" t="s">
        <v>5733</v>
      </c>
      <c r="B1694" s="5" t="s">
        <v>5734</v>
      </c>
      <c r="D1694" s="5" t="s">
        <v>74</v>
      </c>
      <c r="E1694" s="5" t="s">
        <v>42</v>
      </c>
      <c r="F1694" s="5" t="s">
        <v>4728</v>
      </c>
      <c r="H1694" s="5" t="s">
        <v>5722</v>
      </c>
      <c r="J1694" s="10" t="s">
        <v>72</v>
      </c>
    </row>
    <row r="1695" ht="12.75" customHeight="1">
      <c r="A1695" s="5" t="s">
        <v>5735</v>
      </c>
      <c r="B1695" s="5" t="s">
        <v>5736</v>
      </c>
      <c r="D1695" s="5" t="s">
        <v>12</v>
      </c>
      <c r="E1695" s="5" t="s">
        <v>42</v>
      </c>
      <c r="F1695" s="5" t="s">
        <v>345</v>
      </c>
      <c r="H1695" s="5" t="s">
        <v>5737</v>
      </c>
      <c r="J1695" s="10" t="s">
        <v>72</v>
      </c>
    </row>
    <row r="1696" ht="12.75" customHeight="1">
      <c r="A1696" s="5" t="s">
        <v>5738</v>
      </c>
      <c r="B1696" s="5" t="s">
        <v>5739</v>
      </c>
      <c r="D1696" s="5" t="s">
        <v>22</v>
      </c>
      <c r="E1696" s="5" t="s">
        <v>35</v>
      </c>
      <c r="F1696" s="5" t="s">
        <v>605</v>
      </c>
      <c r="H1696" s="5" t="s">
        <v>5737</v>
      </c>
      <c r="J1696" s="10" t="s">
        <v>72</v>
      </c>
    </row>
    <row r="1697" ht="12.75" customHeight="1">
      <c r="A1697" s="5" t="s">
        <v>5742</v>
      </c>
      <c r="B1697" s="5" t="s">
        <v>5743</v>
      </c>
      <c r="D1697" s="5" t="s">
        <v>22</v>
      </c>
      <c r="E1697" s="5" t="s">
        <v>42</v>
      </c>
      <c r="F1697" s="5" t="s">
        <v>199</v>
      </c>
      <c r="H1697" s="5" t="s">
        <v>5737</v>
      </c>
      <c r="J1697" s="10" t="s">
        <v>72</v>
      </c>
    </row>
    <row r="1698" ht="12.75" customHeight="1">
      <c r="A1698" s="5" t="s">
        <v>5744</v>
      </c>
      <c r="B1698" s="5" t="s">
        <v>5745</v>
      </c>
      <c r="D1698" s="5" t="s">
        <v>30</v>
      </c>
      <c r="E1698" s="5" t="s">
        <v>35</v>
      </c>
      <c r="F1698" s="5" t="s">
        <v>1831</v>
      </c>
      <c r="H1698" s="5" t="s">
        <v>5737</v>
      </c>
      <c r="J1698" s="10" t="s">
        <v>72</v>
      </c>
    </row>
    <row r="1699" ht="12.75" customHeight="1">
      <c r="A1699" s="5" t="s">
        <v>5746</v>
      </c>
      <c r="B1699" s="5" t="s">
        <v>5747</v>
      </c>
      <c r="D1699" s="5" t="s">
        <v>30</v>
      </c>
      <c r="E1699" s="5" t="s">
        <v>42</v>
      </c>
      <c r="F1699" s="5" t="s">
        <v>535</v>
      </c>
      <c r="H1699" s="5" t="s">
        <v>5737</v>
      </c>
      <c r="J1699" s="10" t="s">
        <v>72</v>
      </c>
    </row>
    <row r="1700" ht="12.75" customHeight="1">
      <c r="A1700" s="5" t="s">
        <v>5750</v>
      </c>
      <c r="B1700" s="5" t="s">
        <v>5751</v>
      </c>
      <c r="D1700" s="5" t="s">
        <v>34</v>
      </c>
      <c r="E1700" s="5" t="s">
        <v>35</v>
      </c>
      <c r="F1700" s="5" t="s">
        <v>1776</v>
      </c>
      <c r="H1700" s="5" t="s">
        <v>5737</v>
      </c>
      <c r="J1700" s="10" t="s">
        <v>72</v>
      </c>
    </row>
    <row r="1701" ht="12.75" customHeight="1">
      <c r="A1701" s="5" t="s">
        <v>5752</v>
      </c>
      <c r="B1701" s="5" t="s">
        <v>5753</v>
      </c>
      <c r="D1701" s="5" t="s">
        <v>34</v>
      </c>
      <c r="E1701" s="5" t="s">
        <v>42</v>
      </c>
      <c r="F1701" s="5" t="s">
        <v>610</v>
      </c>
      <c r="H1701" s="5" t="s">
        <v>5737</v>
      </c>
      <c r="J1701" s="10" t="s">
        <v>72</v>
      </c>
    </row>
    <row r="1702" ht="12.75" customHeight="1">
      <c r="A1702" s="5" t="s">
        <v>5704</v>
      </c>
      <c r="B1702" s="5" t="s">
        <v>5754</v>
      </c>
      <c r="D1702" s="5" t="s">
        <v>50</v>
      </c>
      <c r="E1702" s="5" t="s">
        <v>35</v>
      </c>
      <c r="F1702" s="5" t="s">
        <v>913</v>
      </c>
      <c r="H1702" s="5" t="s">
        <v>5756</v>
      </c>
      <c r="J1702" s="10" t="s">
        <v>72</v>
      </c>
      <c r="K1702" s="5" t="s">
        <v>5702</v>
      </c>
      <c r="L1702" s="5" t="s">
        <v>5757</v>
      </c>
    </row>
    <row r="1703" ht="12.75" customHeight="1">
      <c r="A1703" s="5" t="s">
        <v>5707</v>
      </c>
      <c r="B1703" s="5" t="s">
        <v>5759</v>
      </c>
      <c r="D1703" s="5" t="s">
        <v>50</v>
      </c>
      <c r="E1703" s="5" t="s">
        <v>42</v>
      </c>
      <c r="F1703" s="5" t="s">
        <v>445</v>
      </c>
      <c r="H1703" s="5" t="s">
        <v>5756</v>
      </c>
      <c r="J1703" s="10" t="s">
        <v>72</v>
      </c>
      <c r="K1703" s="5" t="s">
        <v>5760</v>
      </c>
      <c r="L1703" s="5" t="s">
        <v>5761</v>
      </c>
    </row>
    <row r="1704" ht="12.75" customHeight="1">
      <c r="A1704" s="5" t="s">
        <v>5762</v>
      </c>
      <c r="B1704" s="5" t="s">
        <v>5763</v>
      </c>
      <c r="D1704" s="5" t="s">
        <v>55</v>
      </c>
      <c r="E1704" s="5" t="s">
        <v>42</v>
      </c>
      <c r="F1704" s="5" t="s">
        <v>134</v>
      </c>
      <c r="H1704" s="5" t="s">
        <v>5756</v>
      </c>
      <c r="J1704" s="10" t="s">
        <v>72</v>
      </c>
    </row>
    <row r="1705" ht="12.75" customHeight="1">
      <c r="A1705" s="5" t="s">
        <v>5712</v>
      </c>
      <c r="B1705" s="5" t="s">
        <v>5765</v>
      </c>
      <c r="D1705" s="5" t="s">
        <v>34</v>
      </c>
      <c r="E1705" s="5" t="s">
        <v>35</v>
      </c>
      <c r="F1705" s="5" t="s">
        <v>4630</v>
      </c>
      <c r="H1705" s="5" t="s">
        <v>5756</v>
      </c>
      <c r="J1705" s="10" t="s">
        <v>72</v>
      </c>
      <c r="K1705" s="5" t="s">
        <v>5708</v>
      </c>
      <c r="L1705" s="5" t="s">
        <v>5767</v>
      </c>
    </row>
    <row r="1706" ht="12.75" customHeight="1">
      <c r="A1706" s="5" t="s">
        <v>5715</v>
      </c>
      <c r="B1706" s="5" t="s">
        <v>5768</v>
      </c>
      <c r="D1706" s="5" t="s">
        <v>34</v>
      </c>
      <c r="E1706" s="5" t="s">
        <v>42</v>
      </c>
      <c r="F1706" s="5" t="s">
        <v>572</v>
      </c>
      <c r="H1706" s="5" t="s">
        <v>5756</v>
      </c>
      <c r="J1706" s="10" t="s">
        <v>72</v>
      </c>
      <c r="K1706" s="5" t="s">
        <v>5769</v>
      </c>
      <c r="L1706" s="5" t="s">
        <v>5770</v>
      </c>
    </row>
    <row r="1707" ht="12.75" customHeight="1">
      <c r="A1707" s="5" t="s">
        <v>5731</v>
      </c>
      <c r="B1707" s="5" t="s">
        <v>5771</v>
      </c>
      <c r="D1707" s="5" t="s">
        <v>67</v>
      </c>
      <c r="E1707" s="5" t="s">
        <v>42</v>
      </c>
      <c r="F1707" s="5" t="s">
        <v>5421</v>
      </c>
      <c r="H1707" s="5" t="s">
        <v>5756</v>
      </c>
      <c r="J1707" s="10" t="s">
        <v>72</v>
      </c>
      <c r="K1707" s="5" t="s">
        <v>5774</v>
      </c>
      <c r="L1707" s="5" t="s">
        <v>5775</v>
      </c>
    </row>
    <row r="1708" ht="12.75" customHeight="1">
      <c r="A1708" s="5" t="s">
        <v>5718</v>
      </c>
      <c r="B1708" s="5" t="s">
        <v>5776</v>
      </c>
      <c r="D1708" s="5" t="s">
        <v>74</v>
      </c>
      <c r="E1708" s="5" t="s">
        <v>35</v>
      </c>
      <c r="F1708" s="5" t="s">
        <v>868</v>
      </c>
      <c r="H1708" s="5" t="s">
        <v>5756</v>
      </c>
      <c r="J1708" s="10" t="s">
        <v>72</v>
      </c>
      <c r="K1708" s="5" t="s">
        <v>5716</v>
      </c>
      <c r="L1708" s="5" t="s">
        <v>5777</v>
      </c>
    </row>
    <row r="1709" ht="12.75" customHeight="1">
      <c r="A1709" s="5" t="s">
        <v>5722</v>
      </c>
      <c r="B1709" s="5" t="s">
        <v>5778</v>
      </c>
      <c r="D1709" s="5" t="s">
        <v>74</v>
      </c>
      <c r="E1709" s="5" t="s">
        <v>42</v>
      </c>
      <c r="F1709" s="5" t="s">
        <v>572</v>
      </c>
      <c r="H1709" s="5" t="s">
        <v>5756</v>
      </c>
      <c r="J1709" s="10" t="s">
        <v>72</v>
      </c>
      <c r="K1709" s="5" t="s">
        <v>5779</v>
      </c>
      <c r="L1709" s="5" t="s">
        <v>5781</v>
      </c>
    </row>
    <row r="1710" ht="12.75" customHeight="1">
      <c r="A1710" s="5" t="s">
        <v>5757</v>
      </c>
      <c r="B1710" s="5" t="s">
        <v>5783</v>
      </c>
      <c r="D1710" s="5" t="s">
        <v>50</v>
      </c>
      <c r="E1710" s="5" t="s">
        <v>35</v>
      </c>
      <c r="F1710" s="5" t="s">
        <v>913</v>
      </c>
      <c r="H1710" s="5" t="s">
        <v>5704</v>
      </c>
      <c r="I1710" s="10" t="s">
        <v>72</v>
      </c>
      <c r="J1710" s="10" t="s">
        <v>72</v>
      </c>
    </row>
    <row r="1711" ht="12.75" customHeight="1">
      <c r="A1711" s="5" t="s">
        <v>5761</v>
      </c>
      <c r="B1711" s="5" t="s">
        <v>5784</v>
      </c>
      <c r="D1711" s="5" t="s">
        <v>50</v>
      </c>
      <c r="E1711" s="5" t="s">
        <v>42</v>
      </c>
      <c r="F1711" s="5" t="s">
        <v>445</v>
      </c>
      <c r="H1711" s="5" t="s">
        <v>5707</v>
      </c>
      <c r="I1711" s="10" t="s">
        <v>72</v>
      </c>
      <c r="J1711" s="10" t="s">
        <v>72</v>
      </c>
    </row>
    <row r="1712" ht="12.75" customHeight="1">
      <c r="A1712" s="5" t="s">
        <v>5786</v>
      </c>
      <c r="B1712" s="5" t="s">
        <v>5787</v>
      </c>
      <c r="D1712" s="5" t="s">
        <v>34</v>
      </c>
      <c r="E1712" s="5" t="s">
        <v>35</v>
      </c>
      <c r="F1712" s="5" t="s">
        <v>4630</v>
      </c>
      <c r="H1712" s="5" t="s">
        <v>5712</v>
      </c>
      <c r="I1712" s="10" t="s">
        <v>72</v>
      </c>
      <c r="J1712" s="10" t="s">
        <v>72</v>
      </c>
    </row>
    <row r="1713" ht="12.75" customHeight="1">
      <c r="A1713" s="5" t="s">
        <v>5789</v>
      </c>
      <c r="B1713" s="5" t="s">
        <v>5790</v>
      </c>
      <c r="D1713" s="5" t="s">
        <v>34</v>
      </c>
      <c r="E1713" s="5" t="s">
        <v>42</v>
      </c>
      <c r="F1713" s="5" t="s">
        <v>572</v>
      </c>
      <c r="H1713" s="5" t="s">
        <v>5715</v>
      </c>
      <c r="I1713" s="10" t="s">
        <v>72</v>
      </c>
      <c r="J1713" s="10" t="s">
        <v>72</v>
      </c>
    </row>
    <row r="1714" ht="12.75" customHeight="1">
      <c r="A1714" s="5" t="s">
        <v>5791</v>
      </c>
      <c r="B1714" s="5" t="s">
        <v>5792</v>
      </c>
      <c r="D1714" s="5" t="s">
        <v>67</v>
      </c>
      <c r="E1714" s="5" t="s">
        <v>42</v>
      </c>
      <c r="F1714" s="5" t="s">
        <v>5421</v>
      </c>
      <c r="H1714" s="5" t="s">
        <v>5731</v>
      </c>
      <c r="I1714" s="10" t="s">
        <v>72</v>
      </c>
      <c r="J1714" s="10" t="s">
        <v>72</v>
      </c>
    </row>
    <row r="1715" ht="12.75" customHeight="1">
      <c r="A1715" s="5" t="s">
        <v>5794</v>
      </c>
      <c r="B1715" s="5" t="s">
        <v>5795</v>
      </c>
      <c r="D1715" s="5" t="s">
        <v>74</v>
      </c>
      <c r="E1715" s="5" t="s">
        <v>35</v>
      </c>
      <c r="F1715" s="5" t="s">
        <v>868</v>
      </c>
      <c r="H1715" s="5" t="s">
        <v>5718</v>
      </c>
      <c r="I1715" s="10" t="s">
        <v>72</v>
      </c>
      <c r="J1715" s="10" t="s">
        <v>72</v>
      </c>
    </row>
    <row r="1716" ht="12.75" customHeight="1">
      <c r="A1716" s="5" t="s">
        <v>5797</v>
      </c>
      <c r="B1716" s="5" t="s">
        <v>5798</v>
      </c>
      <c r="D1716" s="5" t="s">
        <v>74</v>
      </c>
      <c r="E1716" s="5" t="s">
        <v>42</v>
      </c>
      <c r="F1716" s="5" t="s">
        <v>572</v>
      </c>
      <c r="H1716" s="5" t="s">
        <v>5722</v>
      </c>
      <c r="I1716" s="10" t="s">
        <v>72</v>
      </c>
      <c r="J1716" s="10" t="s">
        <v>72</v>
      </c>
    </row>
    <row r="1717" ht="12.75" customHeight="1">
      <c r="A1717" s="5" t="s">
        <v>5799</v>
      </c>
      <c r="B1717" s="5" t="s">
        <v>5800</v>
      </c>
      <c r="D1717" s="5" t="s">
        <v>34</v>
      </c>
      <c r="E1717" s="5" t="s">
        <v>35</v>
      </c>
      <c r="F1717" s="5" t="s">
        <v>4630</v>
      </c>
      <c r="H1717" s="5" t="s">
        <v>5802</v>
      </c>
      <c r="I1717" s="10" t="s">
        <v>72</v>
      </c>
      <c r="J1717" s="10" t="s">
        <v>72</v>
      </c>
    </row>
    <row r="1718" ht="12.75" customHeight="1">
      <c r="A1718" s="5" t="s">
        <v>5804</v>
      </c>
      <c r="B1718" s="5" t="s">
        <v>5805</v>
      </c>
      <c r="D1718" s="5" t="s">
        <v>34</v>
      </c>
      <c r="E1718" s="5" t="s">
        <v>42</v>
      </c>
      <c r="F1718" s="5" t="s">
        <v>572</v>
      </c>
      <c r="H1718" s="5" t="s">
        <v>5806</v>
      </c>
      <c r="I1718" s="10" t="s">
        <v>72</v>
      </c>
      <c r="J1718" s="10" t="s">
        <v>72</v>
      </c>
    </row>
    <row r="1719" ht="12.75" customHeight="1">
      <c r="A1719" s="5" t="s">
        <v>5807</v>
      </c>
      <c r="B1719" s="5" t="s">
        <v>5808</v>
      </c>
      <c r="D1719" s="5" t="s">
        <v>67</v>
      </c>
      <c r="E1719" s="5" t="s">
        <v>42</v>
      </c>
      <c r="F1719" s="5" t="s">
        <v>5421</v>
      </c>
      <c r="H1719" s="5" t="s">
        <v>4888</v>
      </c>
      <c r="I1719" s="10" t="s">
        <v>72</v>
      </c>
      <c r="J1719" s="10" t="s">
        <v>72</v>
      </c>
    </row>
    <row r="1720" ht="12.75" customHeight="1">
      <c r="A1720" s="5" t="s">
        <v>5809</v>
      </c>
      <c r="B1720" s="5" t="s">
        <v>5810</v>
      </c>
      <c r="D1720" s="5" t="s">
        <v>74</v>
      </c>
      <c r="E1720" s="5" t="s">
        <v>35</v>
      </c>
      <c r="F1720" s="5" t="s">
        <v>868</v>
      </c>
      <c r="H1720" s="5" t="s">
        <v>5812</v>
      </c>
      <c r="I1720" s="10" t="s">
        <v>72</v>
      </c>
      <c r="J1720" s="10" t="s">
        <v>72</v>
      </c>
    </row>
    <row r="1721" ht="12.75" customHeight="1">
      <c r="A1721" s="5" t="s">
        <v>5814</v>
      </c>
      <c r="B1721" s="5" t="s">
        <v>5815</v>
      </c>
      <c r="D1721" s="5" t="s">
        <v>74</v>
      </c>
      <c r="E1721" s="5" t="s">
        <v>42</v>
      </c>
      <c r="F1721" s="5" t="s">
        <v>572</v>
      </c>
      <c r="H1721" s="5" t="s">
        <v>5816</v>
      </c>
      <c r="I1721" s="10" t="s">
        <v>72</v>
      </c>
      <c r="J1721" s="10" t="s">
        <v>72</v>
      </c>
    </row>
    <row r="1722" ht="12.75" customHeight="1">
      <c r="A1722" s="5" t="s">
        <v>5802</v>
      </c>
      <c r="B1722" s="5" t="s">
        <v>5817</v>
      </c>
      <c r="D1722" s="5" t="s">
        <v>34</v>
      </c>
      <c r="E1722" s="5" t="s">
        <v>35</v>
      </c>
      <c r="F1722" s="5" t="s">
        <v>4630</v>
      </c>
      <c r="H1722" s="5" t="s">
        <v>5712</v>
      </c>
      <c r="I1722" s="10" t="s">
        <v>72</v>
      </c>
      <c r="J1722" s="10" t="s">
        <v>72</v>
      </c>
      <c r="L1722" s="5" t="s">
        <v>5799</v>
      </c>
    </row>
    <row r="1723" ht="12.75" customHeight="1">
      <c r="A1723" s="5" t="s">
        <v>5806</v>
      </c>
      <c r="B1723" s="5" t="s">
        <v>5819</v>
      </c>
      <c r="D1723" s="5" t="s">
        <v>34</v>
      </c>
      <c r="E1723" s="5" t="s">
        <v>42</v>
      </c>
      <c r="F1723" s="5" t="s">
        <v>572</v>
      </c>
      <c r="H1723" s="5" t="s">
        <v>5715</v>
      </c>
      <c r="I1723" s="10" t="s">
        <v>72</v>
      </c>
      <c r="J1723" s="10" t="s">
        <v>72</v>
      </c>
      <c r="L1723" s="5" t="s">
        <v>5804</v>
      </c>
    </row>
    <row r="1724" ht="12.75" customHeight="1">
      <c r="A1724" s="5" t="s">
        <v>4888</v>
      </c>
      <c r="B1724" s="5" t="s">
        <v>5821</v>
      </c>
      <c r="D1724" s="5" t="s">
        <v>67</v>
      </c>
      <c r="E1724" s="5" t="s">
        <v>42</v>
      </c>
      <c r="F1724" s="5" t="s">
        <v>5421</v>
      </c>
      <c r="H1724" s="5" t="s">
        <v>5731</v>
      </c>
      <c r="I1724" s="10" t="s">
        <v>72</v>
      </c>
      <c r="J1724" s="10" t="s">
        <v>72</v>
      </c>
      <c r="K1724" s="5" t="s">
        <v>4885</v>
      </c>
      <c r="L1724" s="5" t="s">
        <v>5807</v>
      </c>
    </row>
    <row r="1725" ht="12.75" customHeight="1">
      <c r="A1725" s="5" t="s">
        <v>5812</v>
      </c>
      <c r="B1725" s="5" t="s">
        <v>5822</v>
      </c>
      <c r="D1725" s="5" t="s">
        <v>74</v>
      </c>
      <c r="E1725" s="5" t="s">
        <v>35</v>
      </c>
      <c r="F1725" s="5" t="s">
        <v>868</v>
      </c>
      <c r="H1725" s="5" t="s">
        <v>5718</v>
      </c>
      <c r="I1725" s="10" t="s">
        <v>72</v>
      </c>
      <c r="J1725" s="10" t="s">
        <v>72</v>
      </c>
      <c r="L1725" s="5" t="s">
        <v>5809</v>
      </c>
    </row>
    <row r="1726" ht="12.75" customHeight="1">
      <c r="A1726" s="5" t="s">
        <v>5816</v>
      </c>
      <c r="B1726" s="5" t="s">
        <v>5825</v>
      </c>
      <c r="D1726" s="5" t="s">
        <v>74</v>
      </c>
      <c r="E1726" s="5" t="s">
        <v>42</v>
      </c>
      <c r="F1726" s="5" t="s">
        <v>572</v>
      </c>
      <c r="H1726" s="5" t="s">
        <v>5722</v>
      </c>
      <c r="I1726" s="10" t="s">
        <v>72</v>
      </c>
      <c r="J1726" s="10" t="s">
        <v>72</v>
      </c>
      <c r="L1726" s="5" t="s">
        <v>5814</v>
      </c>
    </row>
    <row r="1727" ht="12.75" customHeight="1">
      <c r="A1727" s="5" t="s">
        <v>5826</v>
      </c>
      <c r="B1727" s="5" t="s">
        <v>5827</v>
      </c>
      <c r="D1727" s="5" t="s">
        <v>50</v>
      </c>
      <c r="E1727" s="5" t="s">
        <v>35</v>
      </c>
      <c r="F1727" s="5" t="s">
        <v>1776</v>
      </c>
      <c r="H1727" s="5" t="s">
        <v>4884</v>
      </c>
      <c r="J1727" s="10" t="s">
        <v>72</v>
      </c>
    </row>
    <row r="1728" ht="12.75" customHeight="1">
      <c r="A1728" s="5" t="s">
        <v>5828</v>
      </c>
      <c r="B1728" s="5" t="s">
        <v>5829</v>
      </c>
      <c r="D1728" s="5" t="s">
        <v>50</v>
      </c>
      <c r="E1728" s="5" t="s">
        <v>42</v>
      </c>
      <c r="F1728" s="5" t="s">
        <v>672</v>
      </c>
      <c r="H1728" s="5" t="s">
        <v>4884</v>
      </c>
      <c r="J1728" s="10" t="s">
        <v>72</v>
      </c>
    </row>
    <row r="1729" ht="12.75" customHeight="1">
      <c r="A1729" s="5" t="s">
        <v>5832</v>
      </c>
      <c r="B1729" s="5" t="s">
        <v>5833</v>
      </c>
      <c r="D1729" s="5" t="s">
        <v>55</v>
      </c>
      <c r="E1729" s="5" t="s">
        <v>42</v>
      </c>
      <c r="F1729" s="5" t="s">
        <v>134</v>
      </c>
      <c r="H1729" s="5" t="s">
        <v>4884</v>
      </c>
      <c r="J1729" s="10" t="s">
        <v>72</v>
      </c>
    </row>
    <row r="1730" ht="12.75" customHeight="1">
      <c r="A1730" s="5" t="s">
        <v>5834</v>
      </c>
      <c r="B1730" s="5" t="s">
        <v>5835</v>
      </c>
      <c r="D1730" s="5" t="s">
        <v>34</v>
      </c>
      <c r="E1730" s="5" t="s">
        <v>35</v>
      </c>
      <c r="F1730" s="5" t="s">
        <v>429</v>
      </c>
      <c r="H1730" s="5" t="s">
        <v>4884</v>
      </c>
      <c r="J1730" s="10" t="s">
        <v>72</v>
      </c>
    </row>
    <row r="1731" ht="12.75" customHeight="1">
      <c r="A1731" s="5" t="s">
        <v>5836</v>
      </c>
      <c r="B1731" s="5" t="s">
        <v>5837</v>
      </c>
      <c r="D1731" s="5" t="s">
        <v>34</v>
      </c>
      <c r="E1731" s="5" t="s">
        <v>42</v>
      </c>
      <c r="F1731" s="5" t="s">
        <v>423</v>
      </c>
      <c r="H1731" s="5" t="s">
        <v>4884</v>
      </c>
      <c r="J1731" s="10" t="s">
        <v>72</v>
      </c>
    </row>
    <row r="1732" ht="12.75" customHeight="1">
      <c r="A1732" s="5" t="s">
        <v>4892</v>
      </c>
      <c r="B1732" s="5" t="s">
        <v>5840</v>
      </c>
      <c r="D1732" s="5" t="s">
        <v>74</v>
      </c>
      <c r="E1732" s="5" t="s">
        <v>35</v>
      </c>
      <c r="F1732" s="5" t="s">
        <v>278</v>
      </c>
      <c r="H1732" s="5" t="s">
        <v>4884</v>
      </c>
      <c r="J1732" s="10" t="s">
        <v>72</v>
      </c>
      <c r="K1732" s="5" t="s">
        <v>4889</v>
      </c>
    </row>
    <row r="1733" ht="12.75" customHeight="1">
      <c r="A1733" s="5" t="s">
        <v>5841</v>
      </c>
      <c r="B1733" s="5" t="s">
        <v>5842</v>
      </c>
      <c r="D1733" s="5" t="s">
        <v>74</v>
      </c>
      <c r="E1733" s="5" t="s">
        <v>42</v>
      </c>
      <c r="F1733" s="5" t="s">
        <v>228</v>
      </c>
      <c r="H1733" s="5" t="s">
        <v>4884</v>
      </c>
      <c r="J1733" s="10" t="s">
        <v>72</v>
      </c>
    </row>
    <row r="1734" ht="12.75" customHeight="1">
      <c r="A1734" s="5" t="s">
        <v>5843</v>
      </c>
      <c r="B1734" s="5" t="s">
        <v>5845</v>
      </c>
      <c r="D1734" s="5" t="s">
        <v>80</v>
      </c>
      <c r="E1734" s="5" t="s">
        <v>35</v>
      </c>
      <c r="F1734" s="5" t="s">
        <v>1143</v>
      </c>
      <c r="H1734" s="5" t="s">
        <v>4884</v>
      </c>
      <c r="J1734" s="10" t="s">
        <v>72</v>
      </c>
    </row>
    <row r="1735" ht="12.75" customHeight="1">
      <c r="A1735" s="5" t="s">
        <v>5847</v>
      </c>
      <c r="B1735" s="5" t="s">
        <v>5848</v>
      </c>
      <c r="D1735" s="5" t="s">
        <v>80</v>
      </c>
      <c r="E1735" s="5" t="s">
        <v>42</v>
      </c>
      <c r="F1735" s="5" t="s">
        <v>3107</v>
      </c>
      <c r="H1735" s="5" t="s">
        <v>4884</v>
      </c>
      <c r="J1735" s="10" t="s">
        <v>72</v>
      </c>
    </row>
    <row r="1736" ht="12.75" customHeight="1">
      <c r="A1736" s="5" t="s">
        <v>5737</v>
      </c>
      <c r="B1736" s="5" t="s">
        <v>5849</v>
      </c>
      <c r="C1736" s="5" t="s">
        <v>5850</v>
      </c>
      <c r="D1736" s="5" t="s">
        <v>34</v>
      </c>
      <c r="E1736" s="5" t="s">
        <v>42</v>
      </c>
      <c r="F1736" s="5" t="s">
        <v>575</v>
      </c>
      <c r="H1736" s="5" t="s">
        <v>5106</v>
      </c>
      <c r="J1736" s="10" t="s">
        <v>72</v>
      </c>
      <c r="K1736" s="5" t="s">
        <v>5852</v>
      </c>
      <c r="L1736" s="5" t="s">
        <v>5853</v>
      </c>
    </row>
    <row r="1737" ht="12.75" customHeight="1">
      <c r="A1737" s="5" t="s">
        <v>5756</v>
      </c>
      <c r="B1737" s="5" t="s">
        <v>5855</v>
      </c>
      <c r="C1737" s="5" t="s">
        <v>5850</v>
      </c>
      <c r="D1737" s="5" t="s">
        <v>34</v>
      </c>
      <c r="E1737" s="5" t="s">
        <v>42</v>
      </c>
      <c r="F1737" s="5" t="s">
        <v>732</v>
      </c>
      <c r="H1737" s="5" t="s">
        <v>5106</v>
      </c>
      <c r="J1737" s="10" t="s">
        <v>72</v>
      </c>
      <c r="K1737" s="5" t="s">
        <v>5856</v>
      </c>
    </row>
    <row r="1738" ht="12.75" customHeight="1">
      <c r="A1738" s="5" t="s">
        <v>4884</v>
      </c>
      <c r="B1738" s="5" t="s">
        <v>5857</v>
      </c>
      <c r="C1738" s="5" t="s">
        <v>5850</v>
      </c>
      <c r="D1738" s="5" t="s">
        <v>34</v>
      </c>
      <c r="E1738" s="5" t="s">
        <v>42</v>
      </c>
      <c r="F1738" s="5" t="s">
        <v>878</v>
      </c>
      <c r="H1738" s="5" t="s">
        <v>5106</v>
      </c>
      <c r="J1738" s="10" t="s">
        <v>72</v>
      </c>
      <c r="K1738" s="5" t="s">
        <v>5858</v>
      </c>
    </row>
    <row r="1739" ht="12.75" customHeight="1">
      <c r="A1739" s="5" t="s">
        <v>5859</v>
      </c>
      <c r="B1739" s="5" t="s">
        <v>5861</v>
      </c>
      <c r="D1739" s="5" t="s">
        <v>50</v>
      </c>
      <c r="E1739" s="5" t="s">
        <v>35</v>
      </c>
      <c r="F1739" s="5" t="s">
        <v>4630</v>
      </c>
      <c r="H1739" s="5" t="s">
        <v>5863</v>
      </c>
      <c r="J1739" s="10" t="s">
        <v>72</v>
      </c>
    </row>
    <row r="1740" ht="12.75" customHeight="1">
      <c r="A1740" s="5" t="s">
        <v>5864</v>
      </c>
      <c r="B1740" s="5" t="s">
        <v>5865</v>
      </c>
      <c r="D1740" s="5" t="s">
        <v>50</v>
      </c>
      <c r="E1740" s="5" t="s">
        <v>42</v>
      </c>
      <c r="F1740" s="5" t="s">
        <v>83</v>
      </c>
      <c r="H1740" s="5" t="s">
        <v>5866</v>
      </c>
      <c r="J1740" s="10" t="s">
        <v>72</v>
      </c>
    </row>
    <row r="1741" ht="12.75" customHeight="1">
      <c r="A1741" s="5" t="s">
        <v>5867</v>
      </c>
      <c r="B1741" s="5" t="s">
        <v>5868</v>
      </c>
      <c r="D1741" s="5" t="s">
        <v>34</v>
      </c>
      <c r="E1741" s="5" t="s">
        <v>35</v>
      </c>
      <c r="F1741" s="5" t="s">
        <v>605</v>
      </c>
      <c r="H1741" s="5" t="s">
        <v>5869</v>
      </c>
      <c r="J1741" s="10" t="s">
        <v>72</v>
      </c>
    </row>
    <row r="1742" ht="12.75" customHeight="1">
      <c r="A1742" s="5" t="s">
        <v>5871</v>
      </c>
      <c r="B1742" s="5" t="s">
        <v>5872</v>
      </c>
      <c r="D1742" s="5" t="s">
        <v>34</v>
      </c>
      <c r="E1742" s="5" t="s">
        <v>42</v>
      </c>
      <c r="F1742" s="5" t="s">
        <v>720</v>
      </c>
      <c r="H1742" s="5" t="s">
        <v>4864</v>
      </c>
      <c r="J1742" s="10" t="s">
        <v>72</v>
      </c>
    </row>
    <row r="1743" ht="12.75" customHeight="1">
      <c r="A1743" s="5" t="s">
        <v>5874</v>
      </c>
      <c r="B1743" s="5" t="s">
        <v>5875</v>
      </c>
      <c r="D1743" s="5" t="s">
        <v>74</v>
      </c>
      <c r="E1743" s="5" t="s">
        <v>35</v>
      </c>
      <c r="F1743" s="5" t="s">
        <v>267</v>
      </c>
      <c r="H1743" s="5" t="s">
        <v>5876</v>
      </c>
      <c r="J1743" s="10" t="s">
        <v>72</v>
      </c>
    </row>
    <row r="1744" ht="12.75" customHeight="1">
      <c r="A1744" s="5" t="s">
        <v>5877</v>
      </c>
      <c r="B1744" s="5" t="s">
        <v>5878</v>
      </c>
      <c r="D1744" s="5" t="s">
        <v>74</v>
      </c>
      <c r="E1744" s="5" t="s">
        <v>42</v>
      </c>
      <c r="F1744" s="5" t="s">
        <v>3665</v>
      </c>
      <c r="H1744" s="5" t="s">
        <v>5879</v>
      </c>
      <c r="J1744" s="10" t="s">
        <v>72</v>
      </c>
    </row>
    <row r="1745" ht="12.75" customHeight="1">
      <c r="A1745" s="5" t="s">
        <v>5881</v>
      </c>
      <c r="B1745" s="5" t="s">
        <v>5883</v>
      </c>
      <c r="D1745" s="5" t="s">
        <v>50</v>
      </c>
      <c r="E1745" s="5" t="s">
        <v>42</v>
      </c>
      <c r="F1745" s="5" t="s">
        <v>167</v>
      </c>
      <c r="H1745" s="5" t="s">
        <v>5866</v>
      </c>
      <c r="J1745" s="10" t="s">
        <v>72</v>
      </c>
    </row>
    <row r="1746" ht="12.75" customHeight="1">
      <c r="A1746" s="5" t="s">
        <v>5884</v>
      </c>
      <c r="B1746" s="5" t="s">
        <v>5885</v>
      </c>
      <c r="D1746" s="5" t="s">
        <v>34</v>
      </c>
      <c r="E1746" s="5" t="s">
        <v>42</v>
      </c>
      <c r="F1746" s="5" t="s">
        <v>1753</v>
      </c>
      <c r="H1746" s="5" t="s">
        <v>4864</v>
      </c>
      <c r="J1746" s="10" t="s">
        <v>72</v>
      </c>
    </row>
    <row r="1747" ht="12.75" customHeight="1">
      <c r="A1747" s="5" t="s">
        <v>5886</v>
      </c>
      <c r="B1747" s="5" t="s">
        <v>5887</v>
      </c>
      <c r="D1747" s="5" t="s">
        <v>67</v>
      </c>
      <c r="E1747" s="5" t="s">
        <v>42</v>
      </c>
      <c r="F1747" s="5" t="s">
        <v>1033</v>
      </c>
      <c r="H1747" s="5" t="s">
        <v>5888</v>
      </c>
      <c r="J1747" s="10" t="s">
        <v>72</v>
      </c>
    </row>
    <row r="1748" ht="12.75" customHeight="1">
      <c r="A1748" s="5" t="s">
        <v>5890</v>
      </c>
      <c r="B1748" s="5" t="s">
        <v>5891</v>
      </c>
      <c r="D1748" s="5" t="s">
        <v>74</v>
      </c>
      <c r="E1748" s="5" t="s">
        <v>42</v>
      </c>
      <c r="F1748" s="5" t="s">
        <v>1044</v>
      </c>
      <c r="H1748" s="5" t="s">
        <v>5879</v>
      </c>
      <c r="J1748" s="10" t="s">
        <v>72</v>
      </c>
    </row>
    <row r="1749" ht="12.75" customHeight="1">
      <c r="A1749" s="5" t="s">
        <v>5893</v>
      </c>
      <c r="B1749" s="5" t="s">
        <v>5894</v>
      </c>
      <c r="D1749" s="5" t="s">
        <v>12</v>
      </c>
      <c r="E1749" s="5" t="s">
        <v>42</v>
      </c>
      <c r="F1749" s="5" t="s">
        <v>356</v>
      </c>
      <c r="H1749" s="5" t="s">
        <v>5895</v>
      </c>
      <c r="J1749" s="10" t="s">
        <v>72</v>
      </c>
    </row>
    <row r="1750" ht="12.75" customHeight="1">
      <c r="A1750" s="5" t="s">
        <v>5896</v>
      </c>
      <c r="B1750" s="5" t="s">
        <v>5897</v>
      </c>
      <c r="D1750" s="5" t="s">
        <v>22</v>
      </c>
      <c r="E1750" s="5" t="s">
        <v>35</v>
      </c>
      <c r="F1750" s="5" t="s">
        <v>36</v>
      </c>
      <c r="H1750" s="5" t="s">
        <v>5895</v>
      </c>
      <c r="J1750" s="10" t="s">
        <v>72</v>
      </c>
    </row>
    <row r="1751" ht="12.75" customHeight="1">
      <c r="A1751" s="5" t="s">
        <v>5900</v>
      </c>
      <c r="B1751" s="5" t="s">
        <v>5901</v>
      </c>
      <c r="D1751" s="5" t="s">
        <v>22</v>
      </c>
      <c r="E1751" s="5" t="s">
        <v>42</v>
      </c>
      <c r="F1751" s="5" t="s">
        <v>672</v>
      </c>
      <c r="H1751" s="5" t="s">
        <v>5895</v>
      </c>
      <c r="J1751" s="10" t="s">
        <v>72</v>
      </c>
    </row>
    <row r="1752" ht="12.75" customHeight="1">
      <c r="A1752" s="5" t="s">
        <v>5902</v>
      </c>
      <c r="B1752" s="5" t="s">
        <v>5903</v>
      </c>
      <c r="D1752" s="5" t="s">
        <v>30</v>
      </c>
      <c r="E1752" s="5" t="s">
        <v>35</v>
      </c>
      <c r="F1752" s="5" t="s">
        <v>1868</v>
      </c>
      <c r="H1752" s="5" t="s">
        <v>5895</v>
      </c>
      <c r="J1752" s="10" t="s">
        <v>72</v>
      </c>
    </row>
    <row r="1753" ht="12.75" customHeight="1">
      <c r="A1753" s="5" t="s">
        <v>5904</v>
      </c>
      <c r="B1753" s="5" t="s">
        <v>5905</v>
      </c>
      <c r="D1753" s="5" t="s">
        <v>30</v>
      </c>
      <c r="E1753" s="5" t="s">
        <v>42</v>
      </c>
      <c r="F1753" s="5" t="s">
        <v>157</v>
      </c>
      <c r="H1753" s="5" t="s">
        <v>5895</v>
      </c>
      <c r="J1753" s="10" t="s">
        <v>72</v>
      </c>
    </row>
    <row r="1754" ht="12.75" customHeight="1">
      <c r="A1754" s="5" t="s">
        <v>5906</v>
      </c>
      <c r="B1754" s="5" t="s">
        <v>5908</v>
      </c>
      <c r="D1754" s="5" t="s">
        <v>34</v>
      </c>
      <c r="E1754" s="5" t="s">
        <v>35</v>
      </c>
      <c r="F1754" s="5" t="s">
        <v>710</v>
      </c>
      <c r="H1754" s="5" t="s">
        <v>5895</v>
      </c>
      <c r="J1754" s="10" t="s">
        <v>72</v>
      </c>
    </row>
    <row r="1755" ht="12.75" customHeight="1">
      <c r="A1755" s="5" t="s">
        <v>5910</v>
      </c>
      <c r="B1755" s="5" t="s">
        <v>5911</v>
      </c>
      <c r="D1755" s="5" t="s">
        <v>34</v>
      </c>
      <c r="E1755" s="5" t="s">
        <v>42</v>
      </c>
      <c r="F1755" s="5" t="s">
        <v>599</v>
      </c>
      <c r="H1755" s="5" t="s">
        <v>5895</v>
      </c>
      <c r="J1755" s="10" t="s">
        <v>72</v>
      </c>
    </row>
    <row r="1756" ht="12.75" customHeight="1">
      <c r="A1756" s="5" t="s">
        <v>5863</v>
      </c>
      <c r="B1756" s="5" t="s">
        <v>5912</v>
      </c>
      <c r="D1756" s="5" t="s">
        <v>50</v>
      </c>
      <c r="E1756" s="5" t="s">
        <v>35</v>
      </c>
      <c r="F1756" s="5" t="s">
        <v>189</v>
      </c>
      <c r="H1756" s="5" t="s">
        <v>5914</v>
      </c>
      <c r="J1756" s="10" t="s">
        <v>72</v>
      </c>
      <c r="K1756" s="5" t="s">
        <v>5859</v>
      </c>
      <c r="L1756" s="5" t="s">
        <v>5916</v>
      </c>
    </row>
    <row r="1757" ht="12.75" customHeight="1">
      <c r="A1757" s="5" t="s">
        <v>5866</v>
      </c>
      <c r="B1757" s="5" t="s">
        <v>5917</v>
      </c>
      <c r="D1757" s="5" t="s">
        <v>50</v>
      </c>
      <c r="E1757" s="5" t="s">
        <v>42</v>
      </c>
      <c r="F1757" s="5" t="s">
        <v>556</v>
      </c>
      <c r="H1757" s="5" t="s">
        <v>5914</v>
      </c>
      <c r="J1757" s="10" t="s">
        <v>72</v>
      </c>
      <c r="K1757" s="5" t="s">
        <v>5918</v>
      </c>
      <c r="L1757" s="5" t="s">
        <v>5919</v>
      </c>
    </row>
    <row r="1758" ht="12.75" customHeight="1">
      <c r="A1758" s="5" t="s">
        <v>5920</v>
      </c>
      <c r="B1758" s="5" t="s">
        <v>5921</v>
      </c>
      <c r="D1758" s="5" t="s">
        <v>55</v>
      </c>
      <c r="E1758" s="5" t="s">
        <v>42</v>
      </c>
      <c r="F1758" s="5" t="s">
        <v>1194</v>
      </c>
      <c r="H1758" s="5" t="s">
        <v>5914</v>
      </c>
      <c r="J1758" s="10" t="s">
        <v>72</v>
      </c>
    </row>
    <row r="1759" ht="12.75" customHeight="1">
      <c r="A1759" s="5" t="s">
        <v>5869</v>
      </c>
      <c r="B1759" s="5" t="s">
        <v>5922</v>
      </c>
      <c r="D1759" s="5" t="s">
        <v>34</v>
      </c>
      <c r="E1759" s="5" t="s">
        <v>35</v>
      </c>
      <c r="F1759" s="5" t="s">
        <v>1776</v>
      </c>
      <c r="H1759" s="5" t="s">
        <v>5914</v>
      </c>
      <c r="J1759" s="10" t="s">
        <v>72</v>
      </c>
      <c r="K1759" s="5" t="s">
        <v>5867</v>
      </c>
      <c r="L1759" s="5" t="s">
        <v>5925</v>
      </c>
    </row>
    <row r="1760" ht="12.75" customHeight="1">
      <c r="A1760" s="5" t="s">
        <v>4864</v>
      </c>
      <c r="B1760" s="5" t="s">
        <v>5926</v>
      </c>
      <c r="D1760" s="5" t="s">
        <v>34</v>
      </c>
      <c r="E1760" s="5" t="s">
        <v>42</v>
      </c>
      <c r="F1760" s="5" t="s">
        <v>637</v>
      </c>
      <c r="H1760" s="5" t="s">
        <v>5914</v>
      </c>
      <c r="J1760" s="10" t="s">
        <v>72</v>
      </c>
      <c r="K1760" s="5" t="s">
        <v>5927</v>
      </c>
      <c r="L1760" s="5" t="s">
        <v>5928</v>
      </c>
    </row>
    <row r="1761" ht="12.75" customHeight="1">
      <c r="A1761" s="5" t="s">
        <v>5888</v>
      </c>
      <c r="B1761" s="5" t="s">
        <v>5929</v>
      </c>
      <c r="D1761" s="5" t="s">
        <v>67</v>
      </c>
      <c r="E1761" s="5" t="s">
        <v>42</v>
      </c>
      <c r="F1761" s="5" t="s">
        <v>1033</v>
      </c>
      <c r="H1761" s="5" t="s">
        <v>5914</v>
      </c>
      <c r="J1761" s="10" t="s">
        <v>72</v>
      </c>
      <c r="K1761" s="5" t="s">
        <v>5886</v>
      </c>
      <c r="L1761" s="5" t="s">
        <v>5931</v>
      </c>
    </row>
    <row r="1762" ht="12.75" customHeight="1">
      <c r="A1762" s="5" t="s">
        <v>5876</v>
      </c>
      <c r="B1762" s="5" t="s">
        <v>5933</v>
      </c>
      <c r="D1762" s="5" t="s">
        <v>74</v>
      </c>
      <c r="E1762" s="5" t="s">
        <v>35</v>
      </c>
      <c r="F1762" s="5" t="s">
        <v>713</v>
      </c>
      <c r="H1762" s="5" t="s">
        <v>5914</v>
      </c>
      <c r="J1762" s="10" t="s">
        <v>72</v>
      </c>
      <c r="K1762" s="5" t="s">
        <v>5874</v>
      </c>
      <c r="L1762" s="5" t="s">
        <v>5934</v>
      </c>
    </row>
    <row r="1763" ht="12.75" customHeight="1">
      <c r="A1763" s="5" t="s">
        <v>5879</v>
      </c>
      <c r="B1763" s="5" t="s">
        <v>5935</v>
      </c>
      <c r="D1763" s="5" t="s">
        <v>74</v>
      </c>
      <c r="E1763" s="5" t="s">
        <v>42</v>
      </c>
      <c r="F1763" s="5" t="s">
        <v>686</v>
      </c>
      <c r="H1763" s="5" t="s">
        <v>5914</v>
      </c>
      <c r="J1763" s="10" t="s">
        <v>72</v>
      </c>
      <c r="K1763" s="5" t="s">
        <v>5936</v>
      </c>
      <c r="L1763" s="5" t="s">
        <v>5937</v>
      </c>
    </row>
    <row r="1764" ht="12.75" customHeight="1">
      <c r="A1764" s="5" t="s">
        <v>5916</v>
      </c>
      <c r="B1764" s="5" t="s">
        <v>5939</v>
      </c>
      <c r="D1764" s="5" t="s">
        <v>50</v>
      </c>
      <c r="E1764" s="5" t="s">
        <v>35</v>
      </c>
      <c r="F1764" s="5" t="s">
        <v>189</v>
      </c>
      <c r="H1764" s="5" t="s">
        <v>5863</v>
      </c>
      <c r="I1764" s="10" t="s">
        <v>72</v>
      </c>
      <c r="J1764" s="10" t="s">
        <v>72</v>
      </c>
    </row>
    <row r="1765" ht="12.75" customHeight="1">
      <c r="A1765" s="5" t="s">
        <v>5919</v>
      </c>
      <c r="B1765" s="5" t="s">
        <v>5941</v>
      </c>
      <c r="D1765" s="5" t="s">
        <v>50</v>
      </c>
      <c r="E1765" s="5" t="s">
        <v>42</v>
      </c>
      <c r="F1765" s="5" t="s">
        <v>556</v>
      </c>
      <c r="H1765" s="5" t="s">
        <v>5866</v>
      </c>
      <c r="I1765" s="10" t="s">
        <v>72</v>
      </c>
      <c r="J1765" s="10" t="s">
        <v>72</v>
      </c>
    </row>
    <row r="1766" ht="12.75" customHeight="1">
      <c r="A1766" s="5" t="s">
        <v>5942</v>
      </c>
      <c r="B1766" s="5" t="s">
        <v>5943</v>
      </c>
      <c r="D1766" s="5" t="s">
        <v>34</v>
      </c>
      <c r="E1766" s="5" t="s">
        <v>35</v>
      </c>
      <c r="F1766" s="5" t="s">
        <v>1776</v>
      </c>
      <c r="H1766" s="5" t="s">
        <v>5869</v>
      </c>
      <c r="I1766" s="10" t="s">
        <v>72</v>
      </c>
      <c r="J1766" s="10" t="s">
        <v>72</v>
      </c>
    </row>
    <row r="1767" ht="12.75" customHeight="1">
      <c r="A1767" s="5" t="s">
        <v>5945</v>
      </c>
      <c r="B1767" s="5" t="s">
        <v>5947</v>
      </c>
      <c r="D1767" s="5" t="s">
        <v>34</v>
      </c>
      <c r="E1767" s="5" t="s">
        <v>42</v>
      </c>
      <c r="F1767" s="5" t="s">
        <v>637</v>
      </c>
      <c r="H1767" s="5" t="s">
        <v>4864</v>
      </c>
      <c r="I1767" s="10" t="s">
        <v>72</v>
      </c>
      <c r="J1767" s="10" t="s">
        <v>72</v>
      </c>
    </row>
    <row r="1768" ht="12.75" customHeight="1">
      <c r="A1768" s="5" t="s">
        <v>5948</v>
      </c>
      <c r="B1768" s="5" t="s">
        <v>5949</v>
      </c>
      <c r="D1768" s="5" t="s">
        <v>67</v>
      </c>
      <c r="E1768" s="5" t="s">
        <v>42</v>
      </c>
      <c r="F1768" s="5" t="s">
        <v>1033</v>
      </c>
      <c r="H1768" s="5" t="s">
        <v>5888</v>
      </c>
      <c r="I1768" s="10" t="s">
        <v>72</v>
      </c>
      <c r="J1768" s="10" t="s">
        <v>72</v>
      </c>
    </row>
    <row r="1769" ht="12.75" customHeight="1">
      <c r="A1769" s="5" t="s">
        <v>5950</v>
      </c>
      <c r="B1769" s="5" t="s">
        <v>5951</v>
      </c>
      <c r="D1769" s="5" t="s">
        <v>74</v>
      </c>
      <c r="E1769" s="5" t="s">
        <v>35</v>
      </c>
      <c r="F1769" s="5" t="s">
        <v>713</v>
      </c>
      <c r="H1769" s="5" t="s">
        <v>5876</v>
      </c>
      <c r="I1769" s="10" t="s">
        <v>72</v>
      </c>
      <c r="J1769" s="10" t="s">
        <v>72</v>
      </c>
    </row>
    <row r="1770" ht="12.75" customHeight="1">
      <c r="A1770" s="5" t="s">
        <v>5954</v>
      </c>
      <c r="B1770" s="5" t="s">
        <v>5955</v>
      </c>
      <c r="D1770" s="5" t="s">
        <v>74</v>
      </c>
      <c r="E1770" s="5" t="s">
        <v>42</v>
      </c>
      <c r="F1770" s="5" t="s">
        <v>686</v>
      </c>
      <c r="H1770" s="5" t="s">
        <v>5879</v>
      </c>
      <c r="I1770" s="10" t="s">
        <v>72</v>
      </c>
      <c r="J1770" s="10" t="s">
        <v>72</v>
      </c>
    </row>
    <row r="1771" ht="12.75" customHeight="1">
      <c r="A1771" s="5" t="s">
        <v>5956</v>
      </c>
      <c r="B1771" s="5" t="s">
        <v>5957</v>
      </c>
      <c r="D1771" s="5" t="s">
        <v>34</v>
      </c>
      <c r="E1771" s="5" t="s">
        <v>35</v>
      </c>
      <c r="F1771" s="5" t="s">
        <v>1776</v>
      </c>
      <c r="H1771" s="5" t="s">
        <v>5958</v>
      </c>
      <c r="I1771" s="10" t="s">
        <v>72</v>
      </c>
      <c r="J1771" s="10" t="s">
        <v>72</v>
      </c>
    </row>
    <row r="1772" ht="12.75" customHeight="1">
      <c r="A1772" s="5" t="s">
        <v>5959</v>
      </c>
      <c r="B1772" s="5" t="s">
        <v>5960</v>
      </c>
      <c r="D1772" s="5" t="s">
        <v>34</v>
      </c>
      <c r="E1772" s="5" t="s">
        <v>42</v>
      </c>
      <c r="F1772" s="5" t="s">
        <v>637</v>
      </c>
      <c r="H1772" s="5" t="s">
        <v>5962</v>
      </c>
      <c r="I1772" s="10" t="s">
        <v>72</v>
      </c>
      <c r="J1772" s="10" t="s">
        <v>72</v>
      </c>
    </row>
    <row r="1773" ht="12.75" customHeight="1">
      <c r="A1773" s="5" t="s">
        <v>5964</v>
      </c>
      <c r="B1773" s="5" t="s">
        <v>5965</v>
      </c>
      <c r="D1773" s="5" t="s">
        <v>67</v>
      </c>
      <c r="E1773" s="5" t="s">
        <v>42</v>
      </c>
      <c r="F1773" s="5" t="s">
        <v>1033</v>
      </c>
      <c r="H1773" s="5" t="s">
        <v>5966</v>
      </c>
      <c r="I1773" s="10" t="s">
        <v>72</v>
      </c>
      <c r="J1773" s="10" t="s">
        <v>72</v>
      </c>
    </row>
    <row r="1774" ht="12.75" customHeight="1">
      <c r="A1774" s="5" t="s">
        <v>5967</v>
      </c>
      <c r="B1774" s="5" t="s">
        <v>5968</v>
      </c>
      <c r="D1774" s="5" t="s">
        <v>74</v>
      </c>
      <c r="E1774" s="5" t="s">
        <v>35</v>
      </c>
      <c r="F1774" s="5" t="s">
        <v>713</v>
      </c>
      <c r="H1774" s="5" t="s">
        <v>5969</v>
      </c>
      <c r="I1774" s="10" t="s">
        <v>72</v>
      </c>
      <c r="J1774" s="10" t="s">
        <v>72</v>
      </c>
    </row>
    <row r="1775" ht="12.75" customHeight="1">
      <c r="A1775" s="5" t="s">
        <v>4872</v>
      </c>
      <c r="B1775" s="5" t="s">
        <v>5971</v>
      </c>
      <c r="D1775" s="5" t="s">
        <v>74</v>
      </c>
      <c r="E1775" s="5" t="s">
        <v>42</v>
      </c>
      <c r="F1775" s="5" t="s">
        <v>686</v>
      </c>
      <c r="H1775" s="5" t="s">
        <v>5973</v>
      </c>
      <c r="I1775" s="10" t="s">
        <v>72</v>
      </c>
      <c r="J1775" s="10" t="s">
        <v>72</v>
      </c>
      <c r="K1775" s="5" t="s">
        <v>4869</v>
      </c>
    </row>
    <row r="1776" ht="12.75" customHeight="1">
      <c r="A1776" s="5" t="s">
        <v>5958</v>
      </c>
      <c r="B1776" s="5" t="s">
        <v>5974</v>
      </c>
      <c r="D1776" s="5" t="s">
        <v>34</v>
      </c>
      <c r="E1776" s="5" t="s">
        <v>35</v>
      </c>
      <c r="F1776" s="5" t="s">
        <v>1776</v>
      </c>
      <c r="H1776" s="5" t="s">
        <v>5869</v>
      </c>
      <c r="I1776" s="10" t="s">
        <v>72</v>
      </c>
      <c r="J1776" s="10" t="s">
        <v>72</v>
      </c>
      <c r="L1776" s="5" t="s">
        <v>5956</v>
      </c>
    </row>
    <row r="1777" ht="12.75" customHeight="1">
      <c r="A1777" s="5" t="s">
        <v>5962</v>
      </c>
      <c r="B1777" s="5" t="s">
        <v>5975</v>
      </c>
      <c r="D1777" s="5" t="s">
        <v>34</v>
      </c>
      <c r="E1777" s="5" t="s">
        <v>42</v>
      </c>
      <c r="F1777" s="5" t="s">
        <v>637</v>
      </c>
      <c r="H1777" s="5" t="s">
        <v>4864</v>
      </c>
      <c r="I1777" s="10" t="s">
        <v>72</v>
      </c>
      <c r="J1777" s="10" t="s">
        <v>72</v>
      </c>
      <c r="L1777" s="5" t="s">
        <v>5959</v>
      </c>
    </row>
    <row r="1778" ht="12.75" customHeight="1">
      <c r="A1778" s="5" t="s">
        <v>5966</v>
      </c>
      <c r="B1778" s="5" t="s">
        <v>5977</v>
      </c>
      <c r="D1778" s="5" t="s">
        <v>67</v>
      </c>
      <c r="E1778" s="5" t="s">
        <v>42</v>
      </c>
      <c r="F1778" s="5" t="s">
        <v>1033</v>
      </c>
      <c r="H1778" s="5" t="s">
        <v>5888</v>
      </c>
      <c r="I1778" s="10" t="s">
        <v>72</v>
      </c>
      <c r="J1778" s="10" t="s">
        <v>72</v>
      </c>
      <c r="L1778" s="5" t="s">
        <v>5964</v>
      </c>
    </row>
    <row r="1779" ht="12.75" customHeight="1">
      <c r="A1779" s="5" t="s">
        <v>5969</v>
      </c>
      <c r="B1779" s="5" t="s">
        <v>5979</v>
      </c>
      <c r="D1779" s="5" t="s">
        <v>74</v>
      </c>
      <c r="E1779" s="5" t="s">
        <v>35</v>
      </c>
      <c r="F1779" s="5" t="s">
        <v>713</v>
      </c>
      <c r="H1779" s="5" t="s">
        <v>5876</v>
      </c>
      <c r="I1779" s="10" t="s">
        <v>72</v>
      </c>
      <c r="J1779" s="10" t="s">
        <v>72</v>
      </c>
      <c r="L1779" s="5" t="s">
        <v>5967</v>
      </c>
    </row>
    <row r="1780" ht="12.75" customHeight="1">
      <c r="A1780" s="5" t="s">
        <v>5973</v>
      </c>
      <c r="B1780" s="5" t="s">
        <v>5980</v>
      </c>
      <c r="D1780" s="5" t="s">
        <v>74</v>
      </c>
      <c r="E1780" s="5" t="s">
        <v>42</v>
      </c>
      <c r="F1780" s="5" t="s">
        <v>686</v>
      </c>
      <c r="H1780" s="5" t="s">
        <v>5879</v>
      </c>
      <c r="I1780" s="10" t="s">
        <v>72</v>
      </c>
      <c r="J1780" s="10" t="s">
        <v>72</v>
      </c>
      <c r="K1780" s="5" t="s">
        <v>4869</v>
      </c>
      <c r="L1780" s="5" t="s">
        <v>4872</v>
      </c>
    </row>
    <row r="1781" ht="12.75" customHeight="1">
      <c r="A1781" s="5" t="s">
        <v>5983</v>
      </c>
      <c r="B1781" s="5" t="s">
        <v>5984</v>
      </c>
      <c r="D1781" s="5" t="s">
        <v>50</v>
      </c>
      <c r="E1781" s="5" t="s">
        <v>35</v>
      </c>
      <c r="F1781" s="5" t="s">
        <v>695</v>
      </c>
      <c r="H1781" s="5" t="s">
        <v>5985</v>
      </c>
      <c r="J1781" s="10" t="s">
        <v>72</v>
      </c>
    </row>
    <row r="1782" ht="12.75" customHeight="1">
      <c r="A1782" s="5" t="s">
        <v>5986</v>
      </c>
      <c r="B1782" s="5" t="s">
        <v>5987</v>
      </c>
      <c r="D1782" s="5" t="s">
        <v>50</v>
      </c>
      <c r="E1782" s="5" t="s">
        <v>42</v>
      </c>
      <c r="F1782" s="5" t="s">
        <v>228</v>
      </c>
      <c r="H1782" s="5" t="s">
        <v>5985</v>
      </c>
      <c r="J1782" s="10" t="s">
        <v>72</v>
      </c>
    </row>
    <row r="1783" ht="12.75" customHeight="1">
      <c r="A1783" s="5" t="s">
        <v>5988</v>
      </c>
      <c r="B1783" s="5" t="s">
        <v>5989</v>
      </c>
      <c r="D1783" s="5" t="s">
        <v>55</v>
      </c>
      <c r="E1783" s="5" t="s">
        <v>42</v>
      </c>
      <c r="F1783" s="5" t="s">
        <v>1454</v>
      </c>
      <c r="H1783" s="5" t="s">
        <v>5985</v>
      </c>
      <c r="J1783" s="10" t="s">
        <v>72</v>
      </c>
    </row>
    <row r="1784" ht="12.75" customHeight="1">
      <c r="A1784" s="5" t="s">
        <v>4867</v>
      </c>
      <c r="B1784" s="5" t="s">
        <v>5992</v>
      </c>
      <c r="D1784" s="5" t="s">
        <v>34</v>
      </c>
      <c r="E1784" s="5" t="s">
        <v>35</v>
      </c>
      <c r="F1784" s="5" t="s">
        <v>619</v>
      </c>
      <c r="H1784" s="5" t="s">
        <v>5985</v>
      </c>
      <c r="J1784" s="10" t="s">
        <v>72</v>
      </c>
      <c r="L1784" s="5" t="s">
        <v>4865</v>
      </c>
    </row>
    <row r="1785" ht="12.75" customHeight="1">
      <c r="A1785" s="5" t="s">
        <v>5993</v>
      </c>
      <c r="B1785" s="5" t="s">
        <v>5994</v>
      </c>
      <c r="D1785" s="5" t="s">
        <v>34</v>
      </c>
      <c r="E1785" s="5" t="s">
        <v>42</v>
      </c>
      <c r="F1785" s="5" t="s">
        <v>637</v>
      </c>
      <c r="H1785" s="5" t="s">
        <v>5985</v>
      </c>
      <c r="J1785" s="10" t="s">
        <v>72</v>
      </c>
    </row>
    <row r="1786" ht="12.75" customHeight="1">
      <c r="A1786" s="5" t="s">
        <v>5995</v>
      </c>
      <c r="B1786" s="5" t="s">
        <v>5996</v>
      </c>
      <c r="D1786" s="5" t="s">
        <v>74</v>
      </c>
      <c r="E1786" s="5" t="s">
        <v>35</v>
      </c>
      <c r="F1786" s="5" t="s">
        <v>695</v>
      </c>
      <c r="H1786" s="5" t="s">
        <v>5985</v>
      </c>
      <c r="J1786" s="10" t="s">
        <v>72</v>
      </c>
    </row>
    <row r="1787" ht="12.75" customHeight="1">
      <c r="A1787" s="5" t="s">
        <v>5999</v>
      </c>
      <c r="B1787" s="5" t="s">
        <v>6000</v>
      </c>
      <c r="D1787" s="5" t="s">
        <v>74</v>
      </c>
      <c r="E1787" s="5" t="s">
        <v>42</v>
      </c>
      <c r="F1787" s="5" t="s">
        <v>657</v>
      </c>
      <c r="H1787" s="5" t="s">
        <v>5985</v>
      </c>
      <c r="J1787" s="10" t="s">
        <v>72</v>
      </c>
    </row>
    <row r="1788" ht="12.75" customHeight="1">
      <c r="A1788" s="5" t="s">
        <v>6001</v>
      </c>
      <c r="B1788" s="5" t="s">
        <v>6002</v>
      </c>
      <c r="D1788" s="5" t="s">
        <v>80</v>
      </c>
      <c r="E1788" s="5" t="s">
        <v>35</v>
      </c>
      <c r="F1788" s="5" t="s">
        <v>263</v>
      </c>
      <c r="H1788" s="5" t="s">
        <v>5985</v>
      </c>
      <c r="J1788" s="10" t="s">
        <v>72</v>
      </c>
    </row>
    <row r="1789" ht="12.75" customHeight="1">
      <c r="A1789" s="5" t="s">
        <v>6003</v>
      </c>
      <c r="B1789" s="5" t="s">
        <v>6004</v>
      </c>
      <c r="D1789" s="5" t="s">
        <v>80</v>
      </c>
      <c r="E1789" s="5" t="s">
        <v>42</v>
      </c>
      <c r="F1789" s="5" t="s">
        <v>395</v>
      </c>
      <c r="H1789" s="5" t="s">
        <v>5985</v>
      </c>
      <c r="J1789" s="10" t="s">
        <v>72</v>
      </c>
    </row>
    <row r="1790" ht="12.75" customHeight="1">
      <c r="A1790" s="5" t="s">
        <v>5895</v>
      </c>
      <c r="B1790" s="5" t="s">
        <v>6007</v>
      </c>
      <c r="C1790" s="5" t="s">
        <v>6008</v>
      </c>
      <c r="D1790" s="5" t="s">
        <v>34</v>
      </c>
      <c r="E1790" s="5" t="s">
        <v>42</v>
      </c>
      <c r="F1790" s="5" t="s">
        <v>199</v>
      </c>
      <c r="H1790" s="5" t="s">
        <v>5106</v>
      </c>
      <c r="J1790" s="10" t="s">
        <v>72</v>
      </c>
      <c r="K1790" s="5" t="s">
        <v>6009</v>
      </c>
      <c r="L1790" s="5" t="s">
        <v>6010</v>
      </c>
    </row>
    <row r="1791" ht="12.75" customHeight="1">
      <c r="A1791" s="5" t="s">
        <v>5914</v>
      </c>
      <c r="B1791" s="5" t="s">
        <v>6011</v>
      </c>
      <c r="C1791" s="5" t="s">
        <v>6008</v>
      </c>
      <c r="D1791" s="5" t="s">
        <v>34</v>
      </c>
      <c r="E1791" s="5" t="s">
        <v>42</v>
      </c>
      <c r="F1791" s="5" t="s">
        <v>599</v>
      </c>
      <c r="H1791" s="5" t="s">
        <v>5106</v>
      </c>
      <c r="J1791" s="10" t="s">
        <v>72</v>
      </c>
      <c r="K1791" s="5" t="s">
        <v>6013</v>
      </c>
    </row>
    <row r="1792" ht="12.75" customHeight="1">
      <c r="A1792" s="5" t="s">
        <v>5985</v>
      </c>
      <c r="B1792" s="5" t="s">
        <v>6014</v>
      </c>
      <c r="C1792" s="5" t="s">
        <v>6008</v>
      </c>
      <c r="D1792" s="5" t="s">
        <v>34</v>
      </c>
      <c r="E1792" s="5" t="s">
        <v>42</v>
      </c>
      <c r="F1792" s="5" t="s">
        <v>575</v>
      </c>
      <c r="H1792" s="5" t="s">
        <v>5106</v>
      </c>
      <c r="J1792" s="10" t="s">
        <v>72</v>
      </c>
      <c r="K1792" s="5" t="s">
        <v>6016</v>
      </c>
    </row>
    <row r="1793" ht="12.75" customHeight="1">
      <c r="A1793" s="5" t="s">
        <v>6017</v>
      </c>
      <c r="B1793" s="10" t="s">
        <v>6018</v>
      </c>
      <c r="C1793" s="5" t="s">
        <v>6019</v>
      </c>
      <c r="D1793" s="5" t="s">
        <v>34</v>
      </c>
      <c r="E1793" s="5" t="s">
        <v>42</v>
      </c>
      <c r="F1793" s="5" t="s">
        <v>400</v>
      </c>
      <c r="G1793" s="10" t="s">
        <v>72</v>
      </c>
      <c r="H1793" s="5" t="s">
        <v>2233</v>
      </c>
      <c r="J1793" s="10" t="s">
        <v>72</v>
      </c>
      <c r="K1793" s="5" t="s">
        <v>6020</v>
      </c>
    </row>
    <row r="1794" ht="12.75" customHeight="1">
      <c r="A1794" s="5" t="s">
        <v>6022</v>
      </c>
      <c r="B1794" s="10" t="s">
        <v>6023</v>
      </c>
      <c r="D1794" s="5" t="s">
        <v>50</v>
      </c>
      <c r="E1794" s="5" t="s">
        <v>35</v>
      </c>
      <c r="F1794" s="5" t="s">
        <v>36</v>
      </c>
      <c r="H1794" s="5" t="s">
        <v>6025</v>
      </c>
      <c r="J1794" s="10" t="s">
        <v>72</v>
      </c>
    </row>
    <row r="1795" ht="12.75" customHeight="1">
      <c r="A1795" s="5" t="s">
        <v>6026</v>
      </c>
      <c r="B1795" s="10" t="s">
        <v>6027</v>
      </c>
      <c r="D1795" s="5" t="s">
        <v>50</v>
      </c>
      <c r="E1795" s="5" t="s">
        <v>42</v>
      </c>
      <c r="F1795" s="5" t="s">
        <v>610</v>
      </c>
      <c r="H1795" s="5" t="s">
        <v>6025</v>
      </c>
      <c r="J1795" s="10" t="s">
        <v>72</v>
      </c>
    </row>
    <row r="1796" ht="12.75" customHeight="1">
      <c r="A1796" s="5" t="s">
        <v>6028</v>
      </c>
      <c r="B1796" s="10" t="s">
        <v>6029</v>
      </c>
      <c r="D1796" s="5" t="s">
        <v>34</v>
      </c>
      <c r="E1796" s="5" t="s">
        <v>35</v>
      </c>
      <c r="F1796" s="5" t="s">
        <v>104</v>
      </c>
      <c r="H1796" s="5" t="s">
        <v>6025</v>
      </c>
      <c r="J1796" s="10" t="s">
        <v>72</v>
      </c>
    </row>
    <row r="1797" ht="12.75" customHeight="1">
      <c r="A1797" s="5" t="s">
        <v>6031</v>
      </c>
      <c r="B1797" s="10" t="s">
        <v>6032</v>
      </c>
      <c r="D1797" s="5" t="s">
        <v>34</v>
      </c>
      <c r="E1797" s="5" t="s">
        <v>42</v>
      </c>
      <c r="F1797" s="5" t="s">
        <v>228</v>
      </c>
      <c r="H1797" s="5" t="s">
        <v>6025</v>
      </c>
      <c r="J1797" s="10" t="s">
        <v>72</v>
      </c>
    </row>
    <row r="1798" ht="12.75" customHeight="1">
      <c r="A1798" s="5" t="s">
        <v>6034</v>
      </c>
      <c r="B1798" s="5" t="s">
        <v>6035</v>
      </c>
      <c r="D1798" s="5" t="s">
        <v>67</v>
      </c>
      <c r="E1798" s="5" t="s">
        <v>42</v>
      </c>
      <c r="F1798" s="5" t="s">
        <v>1714</v>
      </c>
      <c r="H1798" s="5" t="s">
        <v>6025</v>
      </c>
      <c r="J1798" s="10" t="s">
        <v>72</v>
      </c>
    </row>
    <row r="1799" ht="12.75" customHeight="1">
      <c r="A1799" s="5" t="s">
        <v>6036</v>
      </c>
      <c r="B1799" s="5" t="s">
        <v>6037</v>
      </c>
      <c r="D1799" s="5" t="s">
        <v>74</v>
      </c>
      <c r="E1799" s="5" t="s">
        <v>35</v>
      </c>
      <c r="F1799" s="5" t="s">
        <v>1238</v>
      </c>
      <c r="H1799" s="5" t="s">
        <v>6025</v>
      </c>
      <c r="J1799" s="10" t="s">
        <v>72</v>
      </c>
    </row>
    <row r="1800" ht="12.75" customHeight="1">
      <c r="A1800" s="5" t="s">
        <v>6039</v>
      </c>
      <c r="B1800" s="5" t="s">
        <v>6041</v>
      </c>
      <c r="D1800" s="5" t="s">
        <v>74</v>
      </c>
      <c r="E1800" s="5" t="s">
        <v>42</v>
      </c>
      <c r="F1800" s="5" t="s">
        <v>435</v>
      </c>
      <c r="H1800" s="5" t="s">
        <v>6025</v>
      </c>
      <c r="J1800" s="10" t="s">
        <v>72</v>
      </c>
    </row>
    <row r="1801" ht="12.75" customHeight="1">
      <c r="A1801" s="5" t="s">
        <v>6025</v>
      </c>
      <c r="B1801" s="5" t="s">
        <v>6042</v>
      </c>
      <c r="D1801" s="5" t="s">
        <v>34</v>
      </c>
      <c r="E1801" s="5" t="s">
        <v>42</v>
      </c>
      <c r="F1801" s="5" t="s">
        <v>228</v>
      </c>
      <c r="H1801" s="5" t="s">
        <v>6017</v>
      </c>
      <c r="J1801" s="10" t="s">
        <v>72</v>
      </c>
      <c r="K1801" s="5" t="s">
        <v>6043</v>
      </c>
    </row>
    <row r="1802" ht="12.75" customHeight="1">
      <c r="A1802" s="5" t="s">
        <v>6044</v>
      </c>
      <c r="B1802" s="10" t="s">
        <v>6045</v>
      </c>
      <c r="D1802" s="5" t="s">
        <v>50</v>
      </c>
      <c r="E1802" s="5" t="s">
        <v>35</v>
      </c>
      <c r="F1802" s="5" t="s">
        <v>172</v>
      </c>
      <c r="H1802" s="5" t="s">
        <v>6048</v>
      </c>
      <c r="J1802" s="10" t="s">
        <v>72</v>
      </c>
    </row>
    <row r="1803" ht="12.75" customHeight="1">
      <c r="A1803" s="5" t="s">
        <v>6049</v>
      </c>
      <c r="B1803" s="10" t="s">
        <v>6050</v>
      </c>
      <c r="D1803" s="5" t="s">
        <v>50</v>
      </c>
      <c r="E1803" s="5" t="s">
        <v>42</v>
      </c>
      <c r="F1803" s="5" t="s">
        <v>720</v>
      </c>
      <c r="H1803" s="5" t="s">
        <v>6048</v>
      </c>
      <c r="J1803" s="10" t="s">
        <v>72</v>
      </c>
    </row>
    <row r="1804" ht="12.75" customHeight="1">
      <c r="A1804" s="5" t="s">
        <v>6051</v>
      </c>
      <c r="B1804" s="10" t="s">
        <v>6052</v>
      </c>
      <c r="D1804" s="5" t="s">
        <v>34</v>
      </c>
      <c r="E1804" s="5" t="s">
        <v>35</v>
      </c>
      <c r="F1804" s="5" t="s">
        <v>189</v>
      </c>
      <c r="H1804" s="5" t="s">
        <v>6048</v>
      </c>
      <c r="J1804" s="10" t="s">
        <v>72</v>
      </c>
    </row>
    <row r="1805" ht="12.75" customHeight="1">
      <c r="A1805" s="5" t="s">
        <v>6053</v>
      </c>
      <c r="B1805" s="10" t="s">
        <v>6054</v>
      </c>
      <c r="D1805" s="5" t="s">
        <v>34</v>
      </c>
      <c r="E1805" s="5" t="s">
        <v>42</v>
      </c>
      <c r="F1805" s="5" t="s">
        <v>113</v>
      </c>
      <c r="H1805" s="5" t="s">
        <v>6048</v>
      </c>
      <c r="J1805" s="10" t="s">
        <v>72</v>
      </c>
    </row>
    <row r="1806" ht="12.75" customHeight="1">
      <c r="A1806" s="5" t="s">
        <v>6056</v>
      </c>
      <c r="B1806" s="5" t="s">
        <v>6057</v>
      </c>
      <c r="D1806" s="5" t="s">
        <v>67</v>
      </c>
      <c r="E1806" s="5" t="s">
        <v>42</v>
      </c>
      <c r="F1806" s="5" t="s">
        <v>1308</v>
      </c>
      <c r="H1806" s="5" t="s">
        <v>6048</v>
      </c>
      <c r="J1806" s="10" t="s">
        <v>72</v>
      </c>
    </row>
    <row r="1807" ht="12.75" customHeight="1">
      <c r="A1807" s="5" t="s">
        <v>6059</v>
      </c>
      <c r="B1807" s="5" t="s">
        <v>6060</v>
      </c>
      <c r="D1807" s="5" t="s">
        <v>74</v>
      </c>
      <c r="E1807" s="5" t="s">
        <v>35</v>
      </c>
      <c r="F1807" s="5" t="s">
        <v>813</v>
      </c>
      <c r="H1807" s="5" t="s">
        <v>6048</v>
      </c>
      <c r="J1807" s="10" t="s">
        <v>72</v>
      </c>
    </row>
    <row r="1808" ht="12.75" customHeight="1">
      <c r="A1808" s="5" t="s">
        <v>6061</v>
      </c>
      <c r="B1808" s="5" t="s">
        <v>6062</v>
      </c>
      <c r="D1808" s="5" t="s">
        <v>74</v>
      </c>
      <c r="E1808" s="5" t="s">
        <v>42</v>
      </c>
      <c r="F1808" s="5" t="s">
        <v>238</v>
      </c>
      <c r="H1808" s="5" t="s">
        <v>6048</v>
      </c>
      <c r="J1808" s="10" t="s">
        <v>72</v>
      </c>
    </row>
    <row r="1809" ht="12.75" customHeight="1">
      <c r="A1809" s="5" t="s">
        <v>6048</v>
      </c>
      <c r="B1809" s="10" t="s">
        <v>6064</v>
      </c>
      <c r="D1809" s="5" t="s">
        <v>34</v>
      </c>
      <c r="E1809" s="5" t="s">
        <v>42</v>
      </c>
      <c r="F1809" s="5" t="s">
        <v>3665</v>
      </c>
      <c r="H1809" s="5" t="s">
        <v>6017</v>
      </c>
      <c r="J1809" s="10" t="s">
        <v>72</v>
      </c>
      <c r="K1809" s="5" t="s">
        <v>6066</v>
      </c>
    </row>
    <row r="1810" ht="12.75" customHeight="1">
      <c r="A1810" s="5" t="s">
        <v>6067</v>
      </c>
      <c r="B1810" s="5" t="s">
        <v>6068</v>
      </c>
      <c r="D1810" s="5" t="s">
        <v>50</v>
      </c>
      <c r="E1810" s="5" t="s">
        <v>35</v>
      </c>
      <c r="F1810" s="5" t="s">
        <v>118</v>
      </c>
      <c r="H1810" s="5" t="s">
        <v>6069</v>
      </c>
      <c r="J1810" s="10" t="s">
        <v>72</v>
      </c>
    </row>
    <row r="1811" ht="12.75" customHeight="1">
      <c r="A1811" s="5" t="s">
        <v>6070</v>
      </c>
      <c r="B1811" s="5" t="s">
        <v>6071</v>
      </c>
      <c r="D1811" s="5" t="s">
        <v>50</v>
      </c>
      <c r="E1811" s="5" t="s">
        <v>42</v>
      </c>
      <c r="F1811" s="5" t="s">
        <v>43</v>
      </c>
      <c r="H1811" s="5" t="s">
        <v>6069</v>
      </c>
      <c r="J1811" s="10" t="s">
        <v>72</v>
      </c>
    </row>
    <row r="1812" ht="12.75" customHeight="1">
      <c r="A1812" s="5" t="s">
        <v>6073</v>
      </c>
      <c r="B1812" s="10" t="s">
        <v>6074</v>
      </c>
      <c r="D1812" s="5" t="s">
        <v>34</v>
      </c>
      <c r="E1812" s="5" t="s">
        <v>35</v>
      </c>
      <c r="F1812" s="5" t="s">
        <v>429</v>
      </c>
      <c r="H1812" s="5" t="s">
        <v>6069</v>
      </c>
      <c r="J1812" s="10" t="s">
        <v>72</v>
      </c>
    </row>
    <row r="1813" ht="12.75" customHeight="1">
      <c r="A1813" s="5" t="s">
        <v>6076</v>
      </c>
      <c r="B1813" s="10" t="s">
        <v>6077</v>
      </c>
      <c r="D1813" s="5" t="s">
        <v>34</v>
      </c>
      <c r="E1813" s="5" t="s">
        <v>42</v>
      </c>
      <c r="F1813" s="5" t="s">
        <v>672</v>
      </c>
      <c r="H1813" s="5" t="s">
        <v>6069</v>
      </c>
      <c r="J1813" s="10" t="s">
        <v>72</v>
      </c>
    </row>
    <row r="1814" ht="12.75" customHeight="1">
      <c r="A1814" s="5" t="s">
        <v>6078</v>
      </c>
      <c r="B1814" s="10" t="s">
        <v>6079</v>
      </c>
      <c r="D1814" s="5" t="s">
        <v>67</v>
      </c>
      <c r="E1814" s="5" t="s">
        <v>42</v>
      </c>
      <c r="F1814" s="5" t="s">
        <v>1308</v>
      </c>
      <c r="H1814" s="5" t="s">
        <v>6069</v>
      </c>
      <c r="J1814" s="10" t="s">
        <v>72</v>
      </c>
    </row>
    <row r="1815" ht="12.75" customHeight="1">
      <c r="A1815" s="5" t="s">
        <v>6080</v>
      </c>
      <c r="B1815" s="10" t="s">
        <v>6081</v>
      </c>
      <c r="D1815" s="5" t="s">
        <v>74</v>
      </c>
      <c r="E1815" s="5" t="s">
        <v>35</v>
      </c>
      <c r="F1815" s="5" t="s">
        <v>267</v>
      </c>
      <c r="H1815" s="5" t="s">
        <v>6069</v>
      </c>
      <c r="J1815" s="10" t="s">
        <v>72</v>
      </c>
    </row>
    <row r="1816" ht="12.75" customHeight="1">
      <c r="A1816" s="5" t="s">
        <v>6084</v>
      </c>
      <c r="B1816" s="10" t="s">
        <v>6085</v>
      </c>
      <c r="D1816" s="5" t="s">
        <v>74</v>
      </c>
      <c r="E1816" s="5" t="s">
        <v>42</v>
      </c>
      <c r="F1816" s="5" t="s">
        <v>238</v>
      </c>
      <c r="H1816" s="5" t="s">
        <v>6069</v>
      </c>
      <c r="J1816" s="10" t="s">
        <v>72</v>
      </c>
    </row>
    <row r="1817" ht="12.75" customHeight="1">
      <c r="A1817" s="5" t="s">
        <v>6069</v>
      </c>
      <c r="B1817" s="10" t="s">
        <v>6086</v>
      </c>
      <c r="D1817" s="5" t="s">
        <v>34</v>
      </c>
      <c r="E1817" s="5" t="s">
        <v>42</v>
      </c>
      <c r="F1817" s="5" t="s">
        <v>610</v>
      </c>
      <c r="H1817" s="5" t="s">
        <v>6017</v>
      </c>
      <c r="J1817" s="10" t="s">
        <v>72</v>
      </c>
      <c r="K1817" s="5" t="s">
        <v>6087</v>
      </c>
    </row>
    <row r="1818" ht="12.75" customHeight="1">
      <c r="A1818" s="5" t="s">
        <v>6088</v>
      </c>
      <c r="B1818" s="10" t="s">
        <v>6089</v>
      </c>
      <c r="D1818" s="5" t="s">
        <v>50</v>
      </c>
      <c r="E1818" s="5" t="s">
        <v>35</v>
      </c>
      <c r="F1818" s="5" t="s">
        <v>90</v>
      </c>
      <c r="H1818" s="5" t="s">
        <v>6090</v>
      </c>
      <c r="J1818" s="10" t="s">
        <v>72</v>
      </c>
    </row>
    <row r="1819" ht="12.75" customHeight="1">
      <c r="A1819" s="5" t="s">
        <v>6092</v>
      </c>
      <c r="B1819" s="10" t="s">
        <v>6094</v>
      </c>
      <c r="D1819" s="5" t="s">
        <v>50</v>
      </c>
      <c r="E1819" s="5" t="s">
        <v>42</v>
      </c>
      <c r="F1819" s="5" t="s">
        <v>83</v>
      </c>
      <c r="H1819" s="5" t="s">
        <v>6090</v>
      </c>
      <c r="J1819" s="10" t="s">
        <v>72</v>
      </c>
    </row>
    <row r="1820" ht="12.75" customHeight="1">
      <c r="A1820" s="5" t="s">
        <v>6095</v>
      </c>
      <c r="B1820" s="10" t="s">
        <v>6096</v>
      </c>
      <c r="D1820" s="5" t="s">
        <v>34</v>
      </c>
      <c r="E1820" s="5" t="s">
        <v>35</v>
      </c>
      <c r="F1820" s="5" t="s">
        <v>6097</v>
      </c>
      <c r="H1820" s="5" t="s">
        <v>6090</v>
      </c>
      <c r="J1820" s="10" t="s">
        <v>72</v>
      </c>
    </row>
    <row r="1821" ht="12.75" customHeight="1">
      <c r="A1821" s="5" t="s">
        <v>6098</v>
      </c>
      <c r="B1821" s="10" t="s">
        <v>6099</v>
      </c>
      <c r="D1821" s="5" t="s">
        <v>34</v>
      </c>
      <c r="E1821" s="5" t="s">
        <v>42</v>
      </c>
      <c r="F1821" s="5" t="s">
        <v>672</v>
      </c>
      <c r="H1821" s="5" t="s">
        <v>6090</v>
      </c>
      <c r="J1821" s="10" t="s">
        <v>72</v>
      </c>
    </row>
    <row r="1822" ht="12.75" customHeight="1">
      <c r="A1822" s="5" t="s">
        <v>6101</v>
      </c>
      <c r="B1822" s="5" t="s">
        <v>6102</v>
      </c>
      <c r="D1822" s="5" t="s">
        <v>67</v>
      </c>
      <c r="E1822" s="5" t="s">
        <v>42</v>
      </c>
      <c r="F1822" s="5" t="s">
        <v>6104</v>
      </c>
      <c r="H1822" s="5" t="s">
        <v>6090</v>
      </c>
      <c r="J1822" s="10" t="s">
        <v>72</v>
      </c>
    </row>
    <row r="1823" ht="12.75" customHeight="1">
      <c r="A1823" s="5" t="s">
        <v>6105</v>
      </c>
      <c r="B1823" s="5" t="s">
        <v>6106</v>
      </c>
      <c r="D1823" s="5" t="s">
        <v>74</v>
      </c>
      <c r="E1823" s="5" t="s">
        <v>35</v>
      </c>
      <c r="F1823" s="5" t="s">
        <v>616</v>
      </c>
      <c r="H1823" s="5" t="s">
        <v>6090</v>
      </c>
      <c r="J1823" s="10" t="s">
        <v>72</v>
      </c>
    </row>
    <row r="1824" ht="12.75" customHeight="1">
      <c r="A1824" s="5" t="s">
        <v>6107</v>
      </c>
      <c r="B1824" s="5" t="s">
        <v>6108</v>
      </c>
      <c r="D1824" s="5" t="s">
        <v>74</v>
      </c>
      <c r="E1824" s="5" t="s">
        <v>42</v>
      </c>
      <c r="F1824" s="5" t="s">
        <v>1044</v>
      </c>
      <c r="H1824" s="5" t="s">
        <v>6090</v>
      </c>
      <c r="J1824" s="10" t="s">
        <v>72</v>
      </c>
    </row>
    <row r="1825" ht="12.75" customHeight="1">
      <c r="A1825" s="5" t="s">
        <v>6090</v>
      </c>
      <c r="B1825" s="10" t="s">
        <v>6110</v>
      </c>
      <c r="D1825" s="5" t="s">
        <v>34</v>
      </c>
      <c r="E1825" s="5" t="s">
        <v>42</v>
      </c>
      <c r="F1825" s="5" t="s">
        <v>445</v>
      </c>
      <c r="H1825" s="5" t="s">
        <v>6017</v>
      </c>
      <c r="J1825" s="10" t="s">
        <v>72</v>
      </c>
      <c r="K1825" s="5" t="s">
        <v>6112</v>
      </c>
    </row>
    <row r="1826" ht="12.75" customHeight="1">
      <c r="A1826" s="5" t="s">
        <v>6113</v>
      </c>
      <c r="B1826" s="5" t="s">
        <v>6114</v>
      </c>
      <c r="D1826" s="5" t="s">
        <v>50</v>
      </c>
      <c r="E1826" s="5" t="s">
        <v>35</v>
      </c>
      <c r="F1826" s="5" t="s">
        <v>710</v>
      </c>
      <c r="H1826" s="5" t="s">
        <v>6115</v>
      </c>
      <c r="J1826" s="10" t="s">
        <v>72</v>
      </c>
    </row>
    <row r="1827" ht="12.75" customHeight="1">
      <c r="A1827" s="5" t="s">
        <v>6116</v>
      </c>
      <c r="B1827" s="5" t="s">
        <v>6117</v>
      </c>
      <c r="D1827" s="5" t="s">
        <v>50</v>
      </c>
      <c r="E1827" s="5" t="s">
        <v>42</v>
      </c>
      <c r="F1827" s="5" t="s">
        <v>83</v>
      </c>
      <c r="H1827" s="5" t="s">
        <v>6115</v>
      </c>
      <c r="J1827" s="10" t="s">
        <v>72</v>
      </c>
    </row>
    <row r="1828" ht="12.75" customHeight="1">
      <c r="A1828" s="5" t="s">
        <v>6119</v>
      </c>
      <c r="B1828" s="10" t="s">
        <v>6121</v>
      </c>
      <c r="D1828" s="5" t="s">
        <v>34</v>
      </c>
      <c r="E1828" s="5" t="s">
        <v>35</v>
      </c>
      <c r="F1828" s="5" t="s">
        <v>619</v>
      </c>
      <c r="H1828" s="5" t="s">
        <v>6115</v>
      </c>
      <c r="J1828" s="10" t="s">
        <v>72</v>
      </c>
    </row>
    <row r="1829" ht="12.75" customHeight="1">
      <c r="A1829" s="5" t="s">
        <v>6122</v>
      </c>
      <c r="B1829" s="10" t="s">
        <v>6123</v>
      </c>
      <c r="D1829" s="5" t="s">
        <v>34</v>
      </c>
      <c r="E1829" s="5" t="s">
        <v>42</v>
      </c>
      <c r="F1829" s="5" t="s">
        <v>720</v>
      </c>
      <c r="H1829" s="5" t="s">
        <v>6115</v>
      </c>
      <c r="J1829" s="10" t="s">
        <v>72</v>
      </c>
    </row>
    <row r="1830" ht="12.75" customHeight="1">
      <c r="A1830" s="5" t="s">
        <v>6124</v>
      </c>
      <c r="B1830" s="10" t="s">
        <v>6125</v>
      </c>
      <c r="D1830" s="5" t="s">
        <v>67</v>
      </c>
      <c r="E1830" s="5" t="s">
        <v>42</v>
      </c>
      <c r="F1830" s="5" t="s">
        <v>5421</v>
      </c>
      <c r="H1830" s="5" t="s">
        <v>6115</v>
      </c>
      <c r="J1830" s="10" t="s">
        <v>72</v>
      </c>
    </row>
    <row r="1831" ht="12.75" customHeight="1">
      <c r="A1831" s="5" t="s">
        <v>6127</v>
      </c>
      <c r="B1831" s="10" t="s">
        <v>6128</v>
      </c>
      <c r="D1831" s="5" t="s">
        <v>74</v>
      </c>
      <c r="E1831" s="5" t="s">
        <v>35</v>
      </c>
      <c r="F1831" s="5" t="s">
        <v>4630</v>
      </c>
      <c r="H1831" s="5" t="s">
        <v>6115</v>
      </c>
      <c r="J1831" s="10" t="s">
        <v>72</v>
      </c>
    </row>
    <row r="1832" ht="12.75" customHeight="1">
      <c r="A1832" s="5" t="s">
        <v>6130</v>
      </c>
      <c r="B1832" s="10" t="s">
        <v>6131</v>
      </c>
      <c r="D1832" s="5" t="s">
        <v>74</v>
      </c>
      <c r="E1832" s="5" t="s">
        <v>42</v>
      </c>
      <c r="F1832" s="5" t="s">
        <v>228</v>
      </c>
      <c r="H1832" s="5" t="s">
        <v>6115</v>
      </c>
      <c r="J1832" s="10" t="s">
        <v>72</v>
      </c>
    </row>
    <row r="1833" ht="12.75" customHeight="1">
      <c r="A1833" s="5" t="s">
        <v>6115</v>
      </c>
      <c r="B1833" s="10" t="s">
        <v>6132</v>
      </c>
      <c r="D1833" s="5" t="s">
        <v>34</v>
      </c>
      <c r="E1833" s="5" t="s">
        <v>42</v>
      </c>
      <c r="F1833" s="5" t="s">
        <v>575</v>
      </c>
      <c r="H1833" s="5" t="s">
        <v>6017</v>
      </c>
      <c r="J1833" s="10" t="s">
        <v>72</v>
      </c>
      <c r="K1833" s="5" t="s">
        <v>6133</v>
      </c>
    </row>
    <row r="1834" ht="12.75" customHeight="1">
      <c r="A1834" s="5" t="s">
        <v>6135</v>
      </c>
      <c r="B1834" s="10" t="s">
        <v>6136</v>
      </c>
      <c r="D1834" s="5" t="s">
        <v>50</v>
      </c>
      <c r="E1834" s="5" t="s">
        <v>35</v>
      </c>
      <c r="F1834" s="5" t="s">
        <v>1776</v>
      </c>
      <c r="H1834" s="5" t="s">
        <v>6138</v>
      </c>
      <c r="J1834" s="10" t="s">
        <v>72</v>
      </c>
    </row>
    <row r="1835" ht="12.75" customHeight="1">
      <c r="A1835" s="5" t="s">
        <v>6139</v>
      </c>
      <c r="B1835" s="10" t="s">
        <v>6140</v>
      </c>
      <c r="D1835" s="5" t="s">
        <v>50</v>
      </c>
      <c r="E1835" s="5" t="s">
        <v>42</v>
      </c>
      <c r="F1835" s="5" t="s">
        <v>1991</v>
      </c>
      <c r="H1835" s="5" t="s">
        <v>6138</v>
      </c>
      <c r="J1835" s="10" t="s">
        <v>72</v>
      </c>
    </row>
    <row r="1836" ht="12.75" customHeight="1">
      <c r="A1836" s="5" t="s">
        <v>6141</v>
      </c>
      <c r="B1836" s="10" t="s">
        <v>6142</v>
      </c>
      <c r="D1836" s="5" t="s">
        <v>34</v>
      </c>
      <c r="E1836" s="5" t="s">
        <v>35</v>
      </c>
      <c r="F1836" s="5" t="s">
        <v>110</v>
      </c>
      <c r="H1836" s="5" t="s">
        <v>6138</v>
      </c>
      <c r="J1836" s="10" t="s">
        <v>72</v>
      </c>
    </row>
    <row r="1837" ht="12.75" customHeight="1">
      <c r="A1837" s="5" t="s">
        <v>6144</v>
      </c>
      <c r="B1837" s="10" t="s">
        <v>6145</v>
      </c>
      <c r="D1837" s="5" t="s">
        <v>34</v>
      </c>
      <c r="E1837" s="5" t="s">
        <v>42</v>
      </c>
      <c r="F1837" s="5" t="s">
        <v>720</v>
      </c>
      <c r="H1837" s="5" t="s">
        <v>6138</v>
      </c>
      <c r="J1837" s="10" t="s">
        <v>72</v>
      </c>
    </row>
    <row r="1838" ht="12.75" customHeight="1">
      <c r="A1838" s="5" t="s">
        <v>6147</v>
      </c>
      <c r="B1838" s="5" t="s">
        <v>6148</v>
      </c>
      <c r="D1838" s="5" t="s">
        <v>67</v>
      </c>
      <c r="E1838" s="5" t="s">
        <v>42</v>
      </c>
      <c r="F1838" s="5" t="s">
        <v>1033</v>
      </c>
      <c r="H1838" s="5" t="s">
        <v>6138</v>
      </c>
      <c r="J1838" s="10" t="s">
        <v>72</v>
      </c>
    </row>
    <row r="1839" ht="12.75" customHeight="1">
      <c r="A1839" s="5" t="s">
        <v>6149</v>
      </c>
      <c r="B1839" s="5" t="s">
        <v>6150</v>
      </c>
      <c r="D1839" s="5" t="s">
        <v>74</v>
      </c>
      <c r="E1839" s="5" t="s">
        <v>35</v>
      </c>
      <c r="F1839" s="5" t="s">
        <v>710</v>
      </c>
      <c r="H1839" s="5" t="s">
        <v>6138</v>
      </c>
      <c r="J1839" s="10" t="s">
        <v>72</v>
      </c>
    </row>
    <row r="1840" ht="12.75" customHeight="1">
      <c r="A1840" s="5" t="s">
        <v>6151</v>
      </c>
      <c r="B1840" s="5" t="s">
        <v>6152</v>
      </c>
      <c r="D1840" s="5" t="s">
        <v>74</v>
      </c>
      <c r="E1840" s="5" t="s">
        <v>42</v>
      </c>
      <c r="F1840" s="5" t="s">
        <v>435</v>
      </c>
      <c r="H1840" s="5" t="s">
        <v>6138</v>
      </c>
      <c r="J1840" s="10" t="s">
        <v>72</v>
      </c>
    </row>
    <row r="1841" ht="12.75" customHeight="1">
      <c r="A1841" s="5" t="s">
        <v>6138</v>
      </c>
      <c r="B1841" s="10" t="s">
        <v>6153</v>
      </c>
      <c r="D1841" s="5" t="s">
        <v>34</v>
      </c>
      <c r="E1841" s="5" t="s">
        <v>42</v>
      </c>
      <c r="F1841" s="5" t="s">
        <v>199</v>
      </c>
      <c r="H1841" s="5" t="s">
        <v>6017</v>
      </c>
      <c r="J1841" s="10" t="s">
        <v>72</v>
      </c>
      <c r="K1841" s="5" t="s">
        <v>6155</v>
      </c>
    </row>
    <row r="1842" ht="12.75" customHeight="1">
      <c r="A1842" s="5" t="s">
        <v>6157</v>
      </c>
      <c r="B1842" s="5" t="s">
        <v>6158</v>
      </c>
      <c r="C1842" s="5" t="s">
        <v>6159</v>
      </c>
      <c r="D1842" s="5" t="s">
        <v>1314</v>
      </c>
      <c r="E1842" s="5" t="s">
        <v>42</v>
      </c>
      <c r="F1842" s="5" t="s">
        <v>6160</v>
      </c>
      <c r="J1842" s="10" t="s">
        <v>72</v>
      </c>
    </row>
    <row r="1843" ht="12.75" customHeight="1">
      <c r="A1843" s="5" t="s">
        <v>6161</v>
      </c>
      <c r="B1843" s="5" t="s">
        <v>6162</v>
      </c>
      <c r="C1843" s="5" t="s">
        <v>6163</v>
      </c>
      <c r="D1843" s="5" t="s">
        <v>1314</v>
      </c>
      <c r="E1843" s="5" t="s">
        <v>42</v>
      </c>
      <c r="F1843" s="5" t="s">
        <v>6160</v>
      </c>
      <c r="J1843" s="10" t="s">
        <v>72</v>
      </c>
    </row>
    <row r="1844" ht="12.75" customHeight="1">
      <c r="A1844" s="5" t="s">
        <v>6164</v>
      </c>
      <c r="B1844" s="5" t="s">
        <v>6165</v>
      </c>
      <c r="C1844" s="5" t="s">
        <v>6166</v>
      </c>
      <c r="D1844" s="5" t="s">
        <v>1314</v>
      </c>
      <c r="E1844" s="5" t="s">
        <v>42</v>
      </c>
      <c r="F1844" s="5" t="s">
        <v>6160</v>
      </c>
      <c r="J1844" s="10" t="s">
        <v>72</v>
      </c>
    </row>
    <row r="1845" ht="12.75" customHeight="1">
      <c r="A1845" s="5" t="s">
        <v>6167</v>
      </c>
      <c r="B1845" s="5" t="s">
        <v>6169</v>
      </c>
      <c r="C1845" s="5" t="s">
        <v>6170</v>
      </c>
      <c r="D1845" s="5" t="s">
        <v>1314</v>
      </c>
      <c r="E1845" s="5" t="s">
        <v>42</v>
      </c>
      <c r="F1845" s="5" t="s">
        <v>6160</v>
      </c>
      <c r="J1845" s="10" t="s">
        <v>72</v>
      </c>
    </row>
    <row r="1846" ht="12.75" customHeight="1">
      <c r="A1846" s="5" t="s">
        <v>6172</v>
      </c>
      <c r="B1846" s="5" t="s">
        <v>6173</v>
      </c>
      <c r="C1846" s="5" t="s">
        <v>6174</v>
      </c>
      <c r="D1846" s="5" t="s">
        <v>1314</v>
      </c>
      <c r="E1846" s="5" t="s">
        <v>42</v>
      </c>
      <c r="F1846" s="5" t="s">
        <v>6160</v>
      </c>
      <c r="J1846" s="10" t="s">
        <v>72</v>
      </c>
    </row>
    <row r="1847" ht="12.75" customHeight="1">
      <c r="A1847" s="5" t="s">
        <v>6175</v>
      </c>
      <c r="B1847" s="5" t="s">
        <v>6176</v>
      </c>
      <c r="C1847" s="5" t="s">
        <v>6177</v>
      </c>
      <c r="D1847" s="5" t="s">
        <v>1314</v>
      </c>
      <c r="E1847" s="5" t="s">
        <v>42</v>
      </c>
      <c r="F1847" s="5" t="s">
        <v>6160</v>
      </c>
      <c r="J1847" s="10" t="s">
        <v>72</v>
      </c>
      <c r="L1847" s="5" t="s">
        <v>6178</v>
      </c>
    </row>
    <row r="1848" ht="12.75" customHeight="1">
      <c r="A1848" s="5" t="s">
        <v>6179</v>
      </c>
      <c r="B1848" s="5" t="s">
        <v>6181</v>
      </c>
      <c r="C1848" s="5" t="s">
        <v>6159</v>
      </c>
      <c r="D1848" s="5" t="s">
        <v>1314</v>
      </c>
      <c r="E1848" s="5" t="s">
        <v>42</v>
      </c>
      <c r="F1848" s="5" t="s">
        <v>454</v>
      </c>
      <c r="J1848" s="10" t="s">
        <v>72</v>
      </c>
    </row>
    <row r="1849" ht="12.75" customHeight="1">
      <c r="A1849" s="5" t="s">
        <v>6183</v>
      </c>
      <c r="B1849" s="5" t="s">
        <v>6184</v>
      </c>
      <c r="C1849" s="5" t="s">
        <v>6163</v>
      </c>
      <c r="D1849" s="5" t="s">
        <v>1314</v>
      </c>
      <c r="E1849" s="5" t="s">
        <v>42</v>
      </c>
      <c r="F1849" s="5" t="s">
        <v>454</v>
      </c>
      <c r="J1849" s="10" t="s">
        <v>72</v>
      </c>
    </row>
    <row r="1850" ht="12.75" customHeight="1">
      <c r="A1850" s="5" t="s">
        <v>6185</v>
      </c>
      <c r="B1850" s="5" t="s">
        <v>6186</v>
      </c>
      <c r="C1850" s="5" t="s">
        <v>6166</v>
      </c>
      <c r="D1850" s="5" t="s">
        <v>1314</v>
      </c>
      <c r="E1850" s="5" t="s">
        <v>42</v>
      </c>
      <c r="F1850" s="5" t="s">
        <v>454</v>
      </c>
      <c r="J1850" s="10" t="s">
        <v>72</v>
      </c>
    </row>
    <row r="1851" ht="12.75" customHeight="1">
      <c r="A1851" s="5" t="s">
        <v>6187</v>
      </c>
      <c r="B1851" s="5" t="s">
        <v>6189</v>
      </c>
      <c r="C1851" s="5" t="s">
        <v>6170</v>
      </c>
      <c r="D1851" s="5" t="s">
        <v>1314</v>
      </c>
      <c r="E1851" s="5" t="s">
        <v>42</v>
      </c>
      <c r="F1851" s="5" t="s">
        <v>454</v>
      </c>
      <c r="J1851" s="10" t="s">
        <v>72</v>
      </c>
    </row>
    <row r="1852" ht="12.75" customHeight="1">
      <c r="A1852" s="5" t="s">
        <v>6191</v>
      </c>
      <c r="B1852" s="5" t="s">
        <v>6192</v>
      </c>
      <c r="C1852" s="5" t="s">
        <v>6174</v>
      </c>
      <c r="D1852" s="5" t="s">
        <v>1314</v>
      </c>
      <c r="E1852" s="5" t="s">
        <v>42</v>
      </c>
      <c r="F1852" s="5" t="s">
        <v>454</v>
      </c>
      <c r="J1852" s="10" t="s">
        <v>72</v>
      </c>
    </row>
    <row r="1853" ht="12.75" customHeight="1">
      <c r="A1853" s="5" t="s">
        <v>6193</v>
      </c>
      <c r="B1853" s="5" t="s">
        <v>6194</v>
      </c>
      <c r="C1853" s="5" t="s">
        <v>6195</v>
      </c>
      <c r="D1853" s="5" t="s">
        <v>1314</v>
      </c>
      <c r="E1853" s="5" t="s">
        <v>42</v>
      </c>
      <c r="F1853" s="5" t="s">
        <v>454</v>
      </c>
      <c r="J1853" s="10" t="s">
        <v>72</v>
      </c>
    </row>
    <row r="1854" ht="12.75" customHeight="1">
      <c r="A1854" s="5" t="s">
        <v>6196</v>
      </c>
      <c r="B1854" s="5" t="s">
        <v>6197</v>
      </c>
      <c r="C1854" s="5" t="s">
        <v>6159</v>
      </c>
      <c r="D1854" s="5" t="s">
        <v>1314</v>
      </c>
      <c r="E1854" s="5" t="s">
        <v>42</v>
      </c>
      <c r="F1854" s="5" t="s">
        <v>6199</v>
      </c>
      <c r="J1854" s="10" t="s">
        <v>72</v>
      </c>
    </row>
    <row r="1855" ht="12.75" customHeight="1">
      <c r="A1855" s="5" t="s">
        <v>6201</v>
      </c>
      <c r="B1855" s="5" t="s">
        <v>6202</v>
      </c>
      <c r="C1855" s="5" t="s">
        <v>6163</v>
      </c>
      <c r="D1855" s="5" t="s">
        <v>1314</v>
      </c>
      <c r="E1855" s="5" t="s">
        <v>42</v>
      </c>
      <c r="F1855" s="5" t="s">
        <v>6199</v>
      </c>
      <c r="J1855" s="10" t="s">
        <v>72</v>
      </c>
    </row>
    <row r="1856" ht="12.75" customHeight="1">
      <c r="A1856" s="5" t="s">
        <v>6203</v>
      </c>
      <c r="B1856" s="5" t="s">
        <v>6204</v>
      </c>
      <c r="C1856" s="5" t="s">
        <v>6166</v>
      </c>
      <c r="D1856" s="5" t="s">
        <v>1314</v>
      </c>
      <c r="E1856" s="5" t="s">
        <v>42</v>
      </c>
      <c r="F1856" s="5" t="s">
        <v>6199</v>
      </c>
      <c r="J1856" s="10" t="s">
        <v>72</v>
      </c>
    </row>
    <row r="1857" ht="12.75" customHeight="1">
      <c r="A1857" s="5" t="s">
        <v>6205</v>
      </c>
      <c r="B1857" s="5" t="s">
        <v>6206</v>
      </c>
      <c r="C1857" s="5" t="s">
        <v>6170</v>
      </c>
      <c r="D1857" s="5" t="s">
        <v>1314</v>
      </c>
      <c r="E1857" s="5" t="s">
        <v>42</v>
      </c>
      <c r="F1857" s="5" t="s">
        <v>6199</v>
      </c>
      <c r="J1857" s="10" t="s">
        <v>72</v>
      </c>
    </row>
    <row r="1858" ht="12.75" customHeight="1">
      <c r="A1858" s="5" t="s">
        <v>6209</v>
      </c>
      <c r="B1858" s="5" t="s">
        <v>6210</v>
      </c>
      <c r="C1858" s="5" t="s">
        <v>6174</v>
      </c>
      <c r="D1858" s="5" t="s">
        <v>1314</v>
      </c>
      <c r="E1858" s="5" t="s">
        <v>42</v>
      </c>
      <c r="F1858" s="5" t="s">
        <v>6199</v>
      </c>
      <c r="J1858" s="10" t="s">
        <v>72</v>
      </c>
    </row>
    <row r="1859" ht="12.75" customHeight="1">
      <c r="A1859" s="5" t="s">
        <v>6211</v>
      </c>
      <c r="B1859" s="5" t="s">
        <v>6212</v>
      </c>
      <c r="C1859" s="5" t="s">
        <v>6195</v>
      </c>
      <c r="D1859" s="5" t="s">
        <v>1314</v>
      </c>
      <c r="E1859" s="5" t="s">
        <v>42</v>
      </c>
      <c r="F1859" s="5" t="s">
        <v>6199</v>
      </c>
      <c r="J1859" s="10" t="s">
        <v>72</v>
      </c>
    </row>
    <row r="1860" ht="12.75" customHeight="1">
      <c r="A1860" s="5" t="s">
        <v>6213</v>
      </c>
      <c r="B1860" s="5" t="s">
        <v>6214</v>
      </c>
      <c r="C1860" s="5" t="s">
        <v>6215</v>
      </c>
      <c r="D1860" s="5" t="s">
        <v>22</v>
      </c>
      <c r="E1860" s="5" t="s">
        <v>42</v>
      </c>
      <c r="F1860" s="5" t="s">
        <v>720</v>
      </c>
      <c r="J1860" s="10" t="s">
        <v>72</v>
      </c>
      <c r="K1860" s="5" t="s">
        <v>6218</v>
      </c>
      <c r="L1860" s="5" t="s">
        <v>6219</v>
      </c>
    </row>
    <row r="1861" ht="12.75" customHeight="1">
      <c r="A1861" s="5" t="s">
        <v>6220</v>
      </c>
      <c r="B1861" s="5" t="s">
        <v>6221</v>
      </c>
      <c r="D1861" s="5" t="s">
        <v>22</v>
      </c>
      <c r="E1861" s="5" t="s">
        <v>35</v>
      </c>
      <c r="F1861" s="5" t="s">
        <v>104</v>
      </c>
      <c r="H1861" s="5" t="s">
        <v>6222</v>
      </c>
      <c r="J1861" s="10" t="s">
        <v>72</v>
      </c>
      <c r="L1861" s="5" t="s">
        <v>6224</v>
      </c>
    </row>
    <row r="1862" ht="12.75" customHeight="1">
      <c r="A1862" s="5" t="s">
        <v>6226</v>
      </c>
      <c r="B1862" s="5" t="s">
        <v>6227</v>
      </c>
      <c r="D1862" s="5" t="s">
        <v>22</v>
      </c>
      <c r="E1862" s="5" t="s">
        <v>35</v>
      </c>
      <c r="F1862" s="5" t="s">
        <v>813</v>
      </c>
      <c r="H1862" s="5" t="s">
        <v>6222</v>
      </c>
      <c r="J1862" s="10" t="s">
        <v>72</v>
      </c>
    </row>
    <row r="1863" ht="12.75" customHeight="1">
      <c r="A1863" s="5" t="s">
        <v>6228</v>
      </c>
      <c r="B1863" s="5" t="s">
        <v>6229</v>
      </c>
      <c r="D1863" s="5" t="s">
        <v>22</v>
      </c>
      <c r="E1863" s="5" t="s">
        <v>35</v>
      </c>
      <c r="F1863" s="5" t="s">
        <v>605</v>
      </c>
      <c r="H1863" s="5" t="s">
        <v>6222</v>
      </c>
      <c r="J1863" s="10" t="s">
        <v>72</v>
      </c>
    </row>
    <row r="1864" ht="12.75" customHeight="1">
      <c r="A1864" s="5" t="s">
        <v>6230</v>
      </c>
      <c r="B1864" s="5" t="s">
        <v>6231</v>
      </c>
      <c r="D1864" s="5" t="s">
        <v>22</v>
      </c>
      <c r="E1864" s="5" t="s">
        <v>42</v>
      </c>
      <c r="F1864" s="5" t="s">
        <v>720</v>
      </c>
      <c r="H1864" s="5" t="s">
        <v>6233</v>
      </c>
      <c r="J1864" s="10" t="s">
        <v>72</v>
      </c>
    </row>
    <row r="1865" ht="12.75" customHeight="1">
      <c r="A1865" s="5" t="s">
        <v>6235</v>
      </c>
      <c r="B1865" s="5" t="s">
        <v>6236</v>
      </c>
      <c r="D1865" s="5" t="s">
        <v>22</v>
      </c>
      <c r="E1865" s="5" t="s">
        <v>35</v>
      </c>
      <c r="F1865" s="5" t="s">
        <v>104</v>
      </c>
      <c r="H1865" s="5" t="s">
        <v>6233</v>
      </c>
      <c r="J1865" s="10" t="s">
        <v>72</v>
      </c>
    </row>
    <row r="1866" ht="12.75" customHeight="1">
      <c r="A1866" s="5" t="s">
        <v>6237</v>
      </c>
      <c r="B1866" s="5" t="s">
        <v>6238</v>
      </c>
      <c r="D1866" s="5" t="s">
        <v>22</v>
      </c>
      <c r="E1866" s="5" t="s">
        <v>35</v>
      </c>
      <c r="F1866" s="5" t="s">
        <v>4630</v>
      </c>
      <c r="H1866" s="5" t="s">
        <v>6233</v>
      </c>
      <c r="J1866" s="10" t="s">
        <v>72</v>
      </c>
    </row>
    <row r="1867" ht="12.75" customHeight="1">
      <c r="A1867" s="5" t="s">
        <v>6239</v>
      </c>
      <c r="B1867" s="5" t="s">
        <v>6240</v>
      </c>
      <c r="D1867" s="5" t="s">
        <v>22</v>
      </c>
      <c r="E1867" s="5" t="s">
        <v>35</v>
      </c>
      <c r="F1867" s="5" t="s">
        <v>605</v>
      </c>
      <c r="H1867" s="5" t="s">
        <v>6233</v>
      </c>
      <c r="J1867" s="10" t="s">
        <v>72</v>
      </c>
    </row>
    <row r="1868" ht="12.75" customHeight="1">
      <c r="A1868" s="5" t="s">
        <v>6243</v>
      </c>
      <c r="B1868" s="5" t="s">
        <v>6244</v>
      </c>
      <c r="D1868" s="5" t="s">
        <v>22</v>
      </c>
      <c r="E1868" s="5" t="s">
        <v>42</v>
      </c>
      <c r="F1868" s="5" t="s">
        <v>228</v>
      </c>
      <c r="H1868" s="5" t="s">
        <v>6233</v>
      </c>
      <c r="J1868" s="10" t="s">
        <v>72</v>
      </c>
      <c r="L1868" s="5" t="s">
        <v>6245</v>
      </c>
    </row>
    <row r="1869" ht="12.75" customHeight="1">
      <c r="A1869" s="5" t="s">
        <v>6246</v>
      </c>
      <c r="B1869" s="5" t="s">
        <v>6247</v>
      </c>
      <c r="D1869" s="5" t="s">
        <v>22</v>
      </c>
      <c r="E1869" s="5" t="s">
        <v>42</v>
      </c>
      <c r="F1869" s="5" t="s">
        <v>3665</v>
      </c>
      <c r="H1869" s="5" t="s">
        <v>6233</v>
      </c>
      <c r="J1869" s="10" t="s">
        <v>72</v>
      </c>
    </row>
    <row r="1870" ht="12.75" customHeight="1">
      <c r="A1870" s="5" t="s">
        <v>6248</v>
      </c>
      <c r="B1870" s="5" t="s">
        <v>6250</v>
      </c>
      <c r="D1870" s="5" t="s">
        <v>22</v>
      </c>
      <c r="E1870" s="5" t="s">
        <v>42</v>
      </c>
      <c r="F1870" s="5" t="s">
        <v>199</v>
      </c>
      <c r="H1870" s="5" t="s">
        <v>6233</v>
      </c>
      <c r="J1870" s="10" t="s">
        <v>72</v>
      </c>
    </row>
    <row r="1871" ht="12.75" customHeight="1">
      <c r="A1871" s="5" t="s">
        <v>6252</v>
      </c>
      <c r="B1871" s="5" t="s">
        <v>6253</v>
      </c>
      <c r="D1871" s="5" t="s">
        <v>22</v>
      </c>
      <c r="E1871" s="5" t="s">
        <v>42</v>
      </c>
      <c r="F1871" s="5" t="s">
        <v>445</v>
      </c>
      <c r="H1871" s="5" t="s">
        <v>6233</v>
      </c>
      <c r="J1871" s="10" t="s">
        <v>72</v>
      </c>
    </row>
    <row r="1872" ht="12.75" customHeight="1">
      <c r="A1872" s="5" t="s">
        <v>6254</v>
      </c>
      <c r="B1872" s="5" t="s">
        <v>6255</v>
      </c>
      <c r="D1872" s="5" t="s">
        <v>22</v>
      </c>
      <c r="E1872" s="5" t="s">
        <v>35</v>
      </c>
      <c r="F1872" s="5" t="s">
        <v>278</v>
      </c>
      <c r="H1872" s="5" t="s">
        <v>6256</v>
      </c>
      <c r="J1872" s="10" t="s">
        <v>72</v>
      </c>
    </row>
    <row r="1873" ht="12.75" customHeight="1">
      <c r="A1873" s="5" t="s">
        <v>6257</v>
      </c>
      <c r="B1873" s="5" t="s">
        <v>6259</v>
      </c>
      <c r="D1873" s="5" t="s">
        <v>22</v>
      </c>
      <c r="E1873" s="5" t="s">
        <v>35</v>
      </c>
      <c r="F1873" s="5" t="s">
        <v>172</v>
      </c>
      <c r="H1873" s="5" t="s">
        <v>6256</v>
      </c>
      <c r="J1873" s="10" t="s">
        <v>72</v>
      </c>
    </row>
    <row r="1874" ht="12.75" customHeight="1">
      <c r="A1874" s="5" t="s">
        <v>6261</v>
      </c>
      <c r="B1874" s="5" t="s">
        <v>6262</v>
      </c>
      <c r="D1874" s="5" t="s">
        <v>22</v>
      </c>
      <c r="E1874" s="5" t="s">
        <v>35</v>
      </c>
      <c r="F1874" s="5" t="s">
        <v>172</v>
      </c>
      <c r="H1874" s="5" t="s">
        <v>6256</v>
      </c>
      <c r="J1874" s="10" t="s">
        <v>72</v>
      </c>
    </row>
    <row r="1875" ht="12.75" customHeight="1">
      <c r="A1875" s="5" t="s">
        <v>6263</v>
      </c>
      <c r="B1875" s="5" t="s">
        <v>6264</v>
      </c>
      <c r="D1875" s="5" t="s">
        <v>22</v>
      </c>
      <c r="E1875" s="5" t="s">
        <v>42</v>
      </c>
      <c r="F1875" s="5" t="s">
        <v>575</v>
      </c>
      <c r="H1875" s="5" t="s">
        <v>6256</v>
      </c>
      <c r="J1875" s="10" t="s">
        <v>72</v>
      </c>
    </row>
    <row r="1876" ht="12.75" customHeight="1">
      <c r="A1876" s="5" t="s">
        <v>6265</v>
      </c>
      <c r="B1876" s="5" t="s">
        <v>6267</v>
      </c>
      <c r="D1876" s="5" t="s">
        <v>22</v>
      </c>
      <c r="E1876" s="5" t="s">
        <v>42</v>
      </c>
      <c r="F1876" s="5" t="s">
        <v>556</v>
      </c>
      <c r="H1876" s="5" t="s">
        <v>6256</v>
      </c>
      <c r="J1876" s="10" t="s">
        <v>72</v>
      </c>
    </row>
    <row r="1877" ht="12.75" customHeight="1">
      <c r="A1877" s="5" t="s">
        <v>6270</v>
      </c>
      <c r="B1877" s="5" t="s">
        <v>6271</v>
      </c>
      <c r="D1877" s="5" t="s">
        <v>22</v>
      </c>
      <c r="E1877" s="5" t="s">
        <v>42</v>
      </c>
      <c r="F1877" s="5" t="s">
        <v>162</v>
      </c>
      <c r="H1877" s="5" t="s">
        <v>6256</v>
      </c>
      <c r="J1877" s="10" t="s">
        <v>72</v>
      </c>
    </row>
    <row r="1878" ht="12.75" customHeight="1">
      <c r="A1878" s="5" t="s">
        <v>6272</v>
      </c>
      <c r="B1878" s="5" t="s">
        <v>6273</v>
      </c>
      <c r="D1878" s="5" t="s">
        <v>22</v>
      </c>
      <c r="E1878" s="5" t="s">
        <v>42</v>
      </c>
      <c r="F1878" s="5" t="s">
        <v>65</v>
      </c>
      <c r="H1878" s="5" t="s">
        <v>6256</v>
      </c>
      <c r="J1878" s="10" t="s">
        <v>72</v>
      </c>
    </row>
    <row r="1879" ht="12.75" customHeight="1">
      <c r="A1879" s="5" t="s">
        <v>6222</v>
      </c>
      <c r="B1879" s="5" t="s">
        <v>6275</v>
      </c>
      <c r="C1879" s="5" t="s">
        <v>6276</v>
      </c>
      <c r="D1879" s="5" t="s">
        <v>22</v>
      </c>
      <c r="E1879" s="5" t="s">
        <v>35</v>
      </c>
      <c r="F1879" s="5" t="s">
        <v>619</v>
      </c>
      <c r="H1879" s="5" t="s">
        <v>6213</v>
      </c>
      <c r="J1879" s="10" t="s">
        <v>72</v>
      </c>
      <c r="K1879" s="5" t="s">
        <v>6278</v>
      </c>
    </row>
    <row r="1880" ht="12.75" customHeight="1">
      <c r="A1880" s="5" t="s">
        <v>6233</v>
      </c>
      <c r="B1880" s="5" t="s">
        <v>6280</v>
      </c>
      <c r="D1880" s="5" t="s">
        <v>22</v>
      </c>
      <c r="E1880" s="5" t="s">
        <v>42</v>
      </c>
      <c r="F1880" s="5" t="s">
        <v>720</v>
      </c>
      <c r="H1880" s="5" t="s">
        <v>6213</v>
      </c>
      <c r="I1880" s="10" t="s">
        <v>72</v>
      </c>
      <c r="J1880" s="10" t="s">
        <v>72</v>
      </c>
      <c r="K1880" s="5" t="s">
        <v>6281</v>
      </c>
    </row>
    <row r="1881" ht="12.75" customHeight="1">
      <c r="A1881" s="5" t="s">
        <v>6256</v>
      </c>
      <c r="B1881" s="5" t="s">
        <v>6282</v>
      </c>
      <c r="D1881" s="5" t="s">
        <v>22</v>
      </c>
      <c r="E1881" s="5" t="s">
        <v>42</v>
      </c>
      <c r="F1881" s="5" t="s">
        <v>720</v>
      </c>
      <c r="H1881" s="5" t="s">
        <v>6213</v>
      </c>
      <c r="I1881" s="10" t="s">
        <v>72</v>
      </c>
      <c r="J1881" s="10" t="s">
        <v>72</v>
      </c>
      <c r="K1881" s="5" t="s">
        <v>6283</v>
      </c>
    </row>
    <row r="1882" ht="12.75" customHeight="1">
      <c r="A1882" s="5" t="s">
        <v>6284</v>
      </c>
      <c r="B1882" s="5" t="s">
        <v>6285</v>
      </c>
      <c r="D1882" s="5" t="s">
        <v>22</v>
      </c>
      <c r="E1882" s="5" t="s">
        <v>42</v>
      </c>
      <c r="F1882" s="5" t="s">
        <v>672</v>
      </c>
      <c r="H1882" s="5" t="s">
        <v>6288</v>
      </c>
      <c r="J1882" s="10" t="s">
        <v>72</v>
      </c>
    </row>
    <row r="1883" ht="12.75" customHeight="1">
      <c r="A1883" s="5" t="s">
        <v>6289</v>
      </c>
      <c r="B1883" s="5" t="s">
        <v>6290</v>
      </c>
      <c r="D1883" s="5" t="s">
        <v>22</v>
      </c>
      <c r="E1883" s="5" t="s">
        <v>42</v>
      </c>
      <c r="F1883" s="5" t="s">
        <v>672</v>
      </c>
      <c r="H1883" s="5" t="s">
        <v>6288</v>
      </c>
      <c r="J1883" s="10" t="s">
        <v>72</v>
      </c>
    </row>
    <row r="1884" ht="12.75" customHeight="1">
      <c r="A1884" s="5" t="s">
        <v>6291</v>
      </c>
      <c r="B1884" s="5" t="s">
        <v>6292</v>
      </c>
      <c r="D1884" s="5" t="s">
        <v>22</v>
      </c>
      <c r="E1884" s="5" t="s">
        <v>42</v>
      </c>
      <c r="F1884" s="5" t="s">
        <v>228</v>
      </c>
      <c r="H1884" s="5" t="s">
        <v>6288</v>
      </c>
      <c r="J1884" s="10" t="s">
        <v>72</v>
      </c>
    </row>
    <row r="1885" ht="12.75" customHeight="1">
      <c r="A1885" s="5" t="s">
        <v>2319</v>
      </c>
      <c r="B1885" s="5" t="s">
        <v>6293</v>
      </c>
      <c r="D1885" s="5" t="s">
        <v>22</v>
      </c>
      <c r="E1885" s="5" t="s">
        <v>42</v>
      </c>
      <c r="F1885" s="5" t="s">
        <v>1753</v>
      </c>
      <c r="H1885" s="5" t="s">
        <v>6295</v>
      </c>
      <c r="J1885" s="10" t="s">
        <v>72</v>
      </c>
      <c r="K1885" s="5" t="s">
        <v>2315</v>
      </c>
    </row>
    <row r="1886" ht="12.75" customHeight="1">
      <c r="A1886" s="5" t="s">
        <v>6297</v>
      </c>
      <c r="B1886" s="5" t="s">
        <v>6298</v>
      </c>
      <c r="D1886" s="5" t="s">
        <v>22</v>
      </c>
      <c r="E1886" s="5" t="s">
        <v>42</v>
      </c>
      <c r="F1886" s="5" t="s">
        <v>3665</v>
      </c>
      <c r="H1886" s="5" t="s">
        <v>6295</v>
      </c>
      <c r="J1886" s="10" t="s">
        <v>72</v>
      </c>
    </row>
    <row r="1887" ht="12.75" customHeight="1">
      <c r="A1887" s="5" t="s">
        <v>6299</v>
      </c>
      <c r="B1887" s="5" t="s">
        <v>6300</v>
      </c>
      <c r="D1887" s="5" t="s">
        <v>22</v>
      </c>
      <c r="E1887" s="5" t="s">
        <v>42</v>
      </c>
      <c r="F1887" s="5" t="s">
        <v>228</v>
      </c>
      <c r="H1887" s="5" t="s">
        <v>6295</v>
      </c>
      <c r="J1887" s="10" t="s">
        <v>72</v>
      </c>
    </row>
    <row r="1888" ht="12.75" customHeight="1">
      <c r="A1888" s="5" t="s">
        <v>6301</v>
      </c>
      <c r="B1888" s="5" t="s">
        <v>6302</v>
      </c>
      <c r="D1888" s="5" t="s">
        <v>22</v>
      </c>
      <c r="E1888" s="5" t="s">
        <v>35</v>
      </c>
      <c r="F1888" s="5" t="s">
        <v>4630</v>
      </c>
      <c r="H1888" s="5" t="s">
        <v>6305</v>
      </c>
      <c r="J1888" s="10" t="s">
        <v>72</v>
      </c>
    </row>
    <row r="1889" ht="12.75" customHeight="1">
      <c r="A1889" s="5" t="s">
        <v>6306</v>
      </c>
      <c r="B1889" s="5" t="s">
        <v>6307</v>
      </c>
      <c r="D1889" s="5" t="s">
        <v>22</v>
      </c>
      <c r="E1889" s="5" t="s">
        <v>35</v>
      </c>
      <c r="F1889" s="5" t="s">
        <v>189</v>
      </c>
      <c r="H1889" s="5" t="s">
        <v>6305</v>
      </c>
      <c r="J1889" s="10" t="s">
        <v>72</v>
      </c>
    </row>
    <row r="1890" ht="12.75" customHeight="1">
      <c r="A1890" s="5" t="s">
        <v>6308</v>
      </c>
      <c r="B1890" s="5" t="s">
        <v>6309</v>
      </c>
      <c r="D1890" s="5" t="s">
        <v>22</v>
      </c>
      <c r="E1890" s="5" t="s">
        <v>35</v>
      </c>
      <c r="F1890" s="5" t="s">
        <v>104</v>
      </c>
      <c r="H1890" s="5" t="s">
        <v>6305</v>
      </c>
      <c r="J1890" s="10" t="s">
        <v>72</v>
      </c>
    </row>
    <row r="1891" ht="12.75" customHeight="1">
      <c r="A1891" s="5" t="s">
        <v>6310</v>
      </c>
      <c r="B1891" s="5" t="s">
        <v>6311</v>
      </c>
      <c r="D1891" s="5" t="s">
        <v>22</v>
      </c>
      <c r="E1891" s="5" t="s">
        <v>42</v>
      </c>
      <c r="F1891" s="5" t="s">
        <v>720</v>
      </c>
      <c r="H1891" s="5" t="s">
        <v>6313</v>
      </c>
      <c r="J1891" s="10" t="s">
        <v>72</v>
      </c>
    </row>
    <row r="1892" ht="12.75" customHeight="1">
      <c r="A1892" s="5" t="s">
        <v>6315</v>
      </c>
      <c r="B1892" s="10" t="s">
        <v>6316</v>
      </c>
      <c r="D1892" s="5" t="s">
        <v>22</v>
      </c>
      <c r="E1892" s="5" t="s">
        <v>35</v>
      </c>
      <c r="F1892" s="5" t="s">
        <v>813</v>
      </c>
      <c r="H1892" s="5" t="s">
        <v>6313</v>
      </c>
      <c r="J1892" s="10" t="s">
        <v>72</v>
      </c>
    </row>
    <row r="1893" ht="12.75" customHeight="1">
      <c r="A1893" s="5" t="s">
        <v>6317</v>
      </c>
      <c r="B1893" s="10" t="s">
        <v>6318</v>
      </c>
      <c r="D1893" s="5" t="s">
        <v>22</v>
      </c>
      <c r="E1893" s="5" t="s">
        <v>35</v>
      </c>
      <c r="F1893" s="5" t="s">
        <v>104</v>
      </c>
      <c r="H1893" s="5" t="s">
        <v>6313</v>
      </c>
      <c r="J1893" s="10" t="s">
        <v>72</v>
      </c>
    </row>
    <row r="1894" ht="12.75" customHeight="1">
      <c r="A1894" s="5" t="s">
        <v>6319</v>
      </c>
      <c r="B1894" s="10" t="s">
        <v>6320</v>
      </c>
      <c r="D1894" s="5" t="s">
        <v>22</v>
      </c>
      <c r="E1894" s="5" t="s">
        <v>35</v>
      </c>
      <c r="F1894" s="5" t="s">
        <v>619</v>
      </c>
      <c r="H1894" s="5" t="s">
        <v>6313</v>
      </c>
      <c r="J1894" s="10" t="s">
        <v>72</v>
      </c>
    </row>
    <row r="1895" ht="12.75" customHeight="1">
      <c r="A1895" s="5" t="s">
        <v>6322</v>
      </c>
      <c r="B1895" s="10" t="s">
        <v>6323</v>
      </c>
      <c r="D1895" s="5" t="s">
        <v>22</v>
      </c>
      <c r="E1895" s="5" t="s">
        <v>42</v>
      </c>
      <c r="F1895" s="5" t="s">
        <v>228</v>
      </c>
      <c r="H1895" s="5" t="s">
        <v>6313</v>
      </c>
      <c r="J1895" s="10" t="s">
        <v>72</v>
      </c>
    </row>
    <row r="1896" ht="12.75" customHeight="1">
      <c r="A1896" s="5" t="s">
        <v>6325</v>
      </c>
      <c r="B1896" s="5" t="s">
        <v>6326</v>
      </c>
      <c r="D1896" s="5" t="s">
        <v>22</v>
      </c>
      <c r="E1896" s="5" t="s">
        <v>42</v>
      </c>
      <c r="F1896" s="5" t="s">
        <v>445</v>
      </c>
      <c r="H1896" s="5" t="s">
        <v>6313</v>
      </c>
      <c r="J1896" s="10" t="s">
        <v>72</v>
      </c>
    </row>
    <row r="1897" ht="12.75" customHeight="1">
      <c r="A1897" s="5" t="s">
        <v>6327</v>
      </c>
      <c r="B1897" s="5" t="s">
        <v>6328</v>
      </c>
      <c r="D1897" s="5" t="s">
        <v>22</v>
      </c>
      <c r="E1897" s="5" t="s">
        <v>42</v>
      </c>
      <c r="F1897" s="5" t="s">
        <v>167</v>
      </c>
      <c r="H1897" s="5" t="s">
        <v>6313</v>
      </c>
      <c r="J1897" s="10" t="s">
        <v>72</v>
      </c>
    </row>
    <row r="1898" ht="12.75" customHeight="1">
      <c r="A1898" s="5" t="s">
        <v>6329</v>
      </c>
      <c r="B1898" s="5" t="s">
        <v>6331</v>
      </c>
      <c r="D1898" s="5" t="s">
        <v>22</v>
      </c>
      <c r="E1898" s="5" t="s">
        <v>42</v>
      </c>
      <c r="F1898" s="5" t="s">
        <v>637</v>
      </c>
      <c r="H1898" s="5" t="s">
        <v>6313</v>
      </c>
      <c r="J1898" s="10" t="s">
        <v>72</v>
      </c>
    </row>
    <row r="1899" ht="12.75" customHeight="1">
      <c r="A1899" s="5" t="s">
        <v>6333</v>
      </c>
      <c r="B1899" s="5" t="s">
        <v>6334</v>
      </c>
      <c r="D1899" s="5" t="s">
        <v>22</v>
      </c>
      <c r="E1899" s="5" t="s">
        <v>35</v>
      </c>
      <c r="F1899" s="5" t="s">
        <v>118</v>
      </c>
      <c r="H1899" s="5" t="s">
        <v>6335</v>
      </c>
      <c r="J1899" s="10" t="s">
        <v>72</v>
      </c>
    </row>
    <row r="1900" ht="12.75" customHeight="1">
      <c r="A1900" s="5" t="s">
        <v>6336</v>
      </c>
      <c r="B1900" s="5" t="s">
        <v>6337</v>
      </c>
      <c r="D1900" s="5" t="s">
        <v>22</v>
      </c>
      <c r="E1900" s="5" t="s">
        <v>35</v>
      </c>
      <c r="F1900" s="5" t="s">
        <v>172</v>
      </c>
      <c r="H1900" s="5" t="s">
        <v>6335</v>
      </c>
      <c r="J1900" s="10" t="s">
        <v>72</v>
      </c>
    </row>
    <row r="1901" ht="12.75" customHeight="1">
      <c r="A1901" s="5" t="s">
        <v>6338</v>
      </c>
      <c r="B1901" s="5" t="s">
        <v>6339</v>
      </c>
      <c r="D1901" s="5" t="s">
        <v>22</v>
      </c>
      <c r="E1901" s="5" t="s">
        <v>35</v>
      </c>
      <c r="F1901" s="5" t="s">
        <v>104</v>
      </c>
      <c r="H1901" s="5" t="s">
        <v>6335</v>
      </c>
      <c r="J1901" s="10" t="s">
        <v>72</v>
      </c>
    </row>
    <row r="1902" ht="12.75" customHeight="1">
      <c r="A1902" s="5" t="s">
        <v>6342</v>
      </c>
      <c r="B1902" s="5" t="s">
        <v>6343</v>
      </c>
      <c r="D1902" s="5" t="s">
        <v>22</v>
      </c>
      <c r="E1902" s="5" t="s">
        <v>42</v>
      </c>
      <c r="F1902" s="5" t="s">
        <v>54</v>
      </c>
      <c r="H1902" s="5" t="s">
        <v>6335</v>
      </c>
      <c r="J1902" s="10" t="s">
        <v>72</v>
      </c>
    </row>
    <row r="1903" ht="12.75" customHeight="1">
      <c r="A1903" s="5" t="s">
        <v>6344</v>
      </c>
      <c r="B1903" s="10" t="s">
        <v>6345</v>
      </c>
      <c r="D1903" s="5" t="s">
        <v>22</v>
      </c>
      <c r="E1903" s="5" t="s">
        <v>42</v>
      </c>
      <c r="F1903" s="5" t="s">
        <v>445</v>
      </c>
      <c r="H1903" s="5" t="s">
        <v>6335</v>
      </c>
      <c r="J1903" s="10" t="s">
        <v>72</v>
      </c>
    </row>
    <row r="1904" ht="12.75" customHeight="1">
      <c r="A1904" s="5" t="s">
        <v>6346</v>
      </c>
      <c r="B1904" s="10" t="s">
        <v>6347</v>
      </c>
      <c r="D1904" s="5" t="s">
        <v>22</v>
      </c>
      <c r="E1904" s="5" t="s">
        <v>42</v>
      </c>
      <c r="F1904" s="5" t="s">
        <v>1753</v>
      </c>
      <c r="H1904" s="5" t="s">
        <v>6335</v>
      </c>
      <c r="J1904" s="10" t="s">
        <v>72</v>
      </c>
    </row>
    <row r="1905" ht="12.75" customHeight="1">
      <c r="A1905" s="5" t="s">
        <v>6350</v>
      </c>
      <c r="B1905" s="5" t="s">
        <v>6351</v>
      </c>
      <c r="D1905" s="5" t="s">
        <v>22</v>
      </c>
      <c r="E1905" s="5" t="s">
        <v>42</v>
      </c>
      <c r="F1905" s="5" t="s">
        <v>65</v>
      </c>
      <c r="H1905" s="5" t="s">
        <v>6335</v>
      </c>
      <c r="J1905" s="10" t="s">
        <v>72</v>
      </c>
    </row>
    <row r="1906" ht="12.75" customHeight="1">
      <c r="A1906" s="5" t="s">
        <v>6288</v>
      </c>
      <c r="B1906" s="5" t="s">
        <v>6352</v>
      </c>
      <c r="C1906" s="5" t="s">
        <v>6353</v>
      </c>
      <c r="D1906" s="5" t="s">
        <v>22</v>
      </c>
      <c r="E1906" s="5" t="s">
        <v>42</v>
      </c>
      <c r="F1906" s="5" t="s">
        <v>610</v>
      </c>
      <c r="H1906" s="5" t="s">
        <v>6305</v>
      </c>
      <c r="I1906" s="10" t="s">
        <v>72</v>
      </c>
      <c r="J1906" s="10" t="s">
        <v>72</v>
      </c>
      <c r="K1906" s="5" t="s">
        <v>6354</v>
      </c>
    </row>
    <row r="1907" ht="12.75" customHeight="1">
      <c r="A1907" s="5" t="s">
        <v>6295</v>
      </c>
      <c r="B1907" s="5" t="s">
        <v>6356</v>
      </c>
      <c r="C1907" s="5" t="s">
        <v>6353</v>
      </c>
      <c r="D1907" s="5" t="s">
        <v>22</v>
      </c>
      <c r="E1907" s="5" t="s">
        <v>42</v>
      </c>
      <c r="F1907" s="5" t="s">
        <v>445</v>
      </c>
      <c r="H1907" s="5" t="s">
        <v>6313</v>
      </c>
      <c r="J1907" s="10" t="s">
        <v>72</v>
      </c>
      <c r="K1907" s="5" t="s">
        <v>6358</v>
      </c>
    </row>
    <row r="1908" ht="12.75" customHeight="1">
      <c r="A1908" s="5" t="s">
        <v>6305</v>
      </c>
      <c r="B1908" s="5" t="s">
        <v>6359</v>
      </c>
      <c r="C1908" s="5" t="s">
        <v>6360</v>
      </c>
      <c r="D1908" s="5" t="s">
        <v>22</v>
      </c>
      <c r="E1908" s="5" t="s">
        <v>42</v>
      </c>
      <c r="F1908" s="5" t="s">
        <v>610</v>
      </c>
      <c r="H1908" s="5" t="s">
        <v>6213</v>
      </c>
      <c r="J1908" s="10" t="s">
        <v>72</v>
      </c>
      <c r="K1908" s="5" t="s">
        <v>6361</v>
      </c>
      <c r="L1908" s="5" t="s">
        <v>6288</v>
      </c>
    </row>
    <row r="1909" ht="12.75" customHeight="1">
      <c r="A1909" s="5" t="s">
        <v>6313</v>
      </c>
      <c r="B1909" s="5" t="s">
        <v>6362</v>
      </c>
      <c r="C1909" s="5" t="s">
        <v>6360</v>
      </c>
      <c r="D1909" s="5" t="s">
        <v>22</v>
      </c>
      <c r="E1909" s="5" t="s">
        <v>42</v>
      </c>
      <c r="F1909" s="5" t="s">
        <v>720</v>
      </c>
      <c r="H1909" s="5" t="s">
        <v>6213</v>
      </c>
      <c r="I1909" s="10" t="s">
        <v>72</v>
      </c>
      <c r="J1909" s="10" t="s">
        <v>72</v>
      </c>
      <c r="K1909" s="5" t="s">
        <v>6365</v>
      </c>
    </row>
    <row r="1910" ht="12.75" customHeight="1">
      <c r="A1910" s="5" t="s">
        <v>6335</v>
      </c>
      <c r="B1910" s="5" t="s">
        <v>6366</v>
      </c>
      <c r="C1910" s="5" t="s">
        <v>6360</v>
      </c>
      <c r="D1910" s="5" t="s">
        <v>22</v>
      </c>
      <c r="E1910" s="5" t="s">
        <v>42</v>
      </c>
      <c r="F1910" s="5" t="s">
        <v>720</v>
      </c>
      <c r="H1910" s="5" t="s">
        <v>6213</v>
      </c>
      <c r="I1910" s="10" t="s">
        <v>72</v>
      </c>
      <c r="J1910" s="10" t="s">
        <v>72</v>
      </c>
      <c r="K1910" s="5" t="s">
        <v>6367</v>
      </c>
    </row>
    <row r="1911" ht="12.75" customHeight="1">
      <c r="A1911" s="5" t="s">
        <v>6368</v>
      </c>
      <c r="B1911" s="5" t="s">
        <v>6369</v>
      </c>
      <c r="D1911" s="5" t="s">
        <v>22</v>
      </c>
      <c r="E1911" s="5" t="s">
        <v>42</v>
      </c>
      <c r="F1911" s="5" t="s">
        <v>162</v>
      </c>
      <c r="H1911" s="5" t="s">
        <v>6370</v>
      </c>
      <c r="J1911" s="10" t="s">
        <v>72</v>
      </c>
    </row>
    <row r="1912" ht="12.75" customHeight="1">
      <c r="A1912" s="5" t="s">
        <v>6371</v>
      </c>
      <c r="B1912" s="5" t="s">
        <v>6373</v>
      </c>
      <c r="D1912" s="5" t="s">
        <v>22</v>
      </c>
      <c r="E1912" s="5" t="s">
        <v>42</v>
      </c>
      <c r="F1912" s="5" t="s">
        <v>228</v>
      </c>
      <c r="H1912" s="5" t="s">
        <v>6370</v>
      </c>
      <c r="J1912" s="10" t="s">
        <v>72</v>
      </c>
    </row>
    <row r="1913" ht="12.75" customHeight="1">
      <c r="A1913" s="5" t="s">
        <v>6375</v>
      </c>
      <c r="B1913" s="5" t="s">
        <v>6376</v>
      </c>
      <c r="D1913" s="5" t="s">
        <v>22</v>
      </c>
      <c r="E1913" s="5" t="s">
        <v>42</v>
      </c>
      <c r="F1913" s="5" t="s">
        <v>445</v>
      </c>
      <c r="H1913" s="5" t="s">
        <v>6370</v>
      </c>
      <c r="J1913" s="10" t="s">
        <v>72</v>
      </c>
    </row>
    <row r="1914" ht="12.75" customHeight="1">
      <c r="A1914" s="5" t="s">
        <v>6377</v>
      </c>
      <c r="B1914" s="5" t="s">
        <v>6378</v>
      </c>
      <c r="D1914" s="5" t="s">
        <v>22</v>
      </c>
      <c r="E1914" s="5" t="s">
        <v>42</v>
      </c>
      <c r="F1914" s="5" t="s">
        <v>228</v>
      </c>
      <c r="H1914" s="5" t="s">
        <v>6379</v>
      </c>
      <c r="J1914" s="10" t="s">
        <v>72</v>
      </c>
    </row>
    <row r="1915" ht="12.75" customHeight="1">
      <c r="A1915" s="5" t="s">
        <v>6381</v>
      </c>
      <c r="B1915" s="5" t="s">
        <v>6382</v>
      </c>
      <c r="D1915" s="5" t="s">
        <v>22</v>
      </c>
      <c r="E1915" s="5" t="s">
        <v>42</v>
      </c>
      <c r="F1915" s="5" t="s">
        <v>445</v>
      </c>
      <c r="H1915" s="5" t="s">
        <v>6379</v>
      </c>
      <c r="J1915" s="10" t="s">
        <v>72</v>
      </c>
    </row>
    <row r="1916" ht="12.75" customHeight="1">
      <c r="A1916" s="5" t="s">
        <v>6384</v>
      </c>
      <c r="B1916" s="5" t="s">
        <v>6385</v>
      </c>
      <c r="D1916" s="5" t="s">
        <v>22</v>
      </c>
      <c r="E1916" s="5" t="s">
        <v>42</v>
      </c>
      <c r="F1916" s="5" t="s">
        <v>445</v>
      </c>
      <c r="H1916" s="5" t="s">
        <v>6379</v>
      </c>
      <c r="J1916" s="10" t="s">
        <v>72</v>
      </c>
    </row>
    <row r="1917" ht="12.75" customHeight="1">
      <c r="A1917" s="5" t="s">
        <v>6386</v>
      </c>
      <c r="B1917" s="10" t="s">
        <v>6387</v>
      </c>
      <c r="D1917" s="5" t="s">
        <v>22</v>
      </c>
      <c r="E1917" s="5" t="s">
        <v>35</v>
      </c>
      <c r="F1917" s="5" t="s">
        <v>110</v>
      </c>
      <c r="H1917" s="5" t="s">
        <v>6390</v>
      </c>
      <c r="J1917" s="10" t="s">
        <v>72</v>
      </c>
    </row>
    <row r="1918" ht="12.75" customHeight="1">
      <c r="A1918" s="5" t="s">
        <v>6391</v>
      </c>
      <c r="B1918" s="10" t="s">
        <v>6392</v>
      </c>
      <c r="D1918" s="5" t="s">
        <v>22</v>
      </c>
      <c r="E1918" s="5" t="s">
        <v>35</v>
      </c>
      <c r="F1918" s="5" t="s">
        <v>813</v>
      </c>
      <c r="H1918" s="5" t="s">
        <v>6390</v>
      </c>
      <c r="J1918" s="10" t="s">
        <v>72</v>
      </c>
    </row>
    <row r="1919" ht="12.75" customHeight="1">
      <c r="A1919" s="5" t="s">
        <v>6393</v>
      </c>
      <c r="B1919" s="10" t="s">
        <v>6394</v>
      </c>
      <c r="D1919" s="5" t="s">
        <v>22</v>
      </c>
      <c r="E1919" s="5" t="s">
        <v>35</v>
      </c>
      <c r="F1919" s="5" t="s">
        <v>1776</v>
      </c>
      <c r="H1919" s="5" t="s">
        <v>6390</v>
      </c>
      <c r="J1919" s="10" t="s">
        <v>72</v>
      </c>
    </row>
    <row r="1920" ht="12.75" customHeight="1">
      <c r="A1920" s="5" t="s">
        <v>6397</v>
      </c>
      <c r="B1920" s="5" t="s">
        <v>6398</v>
      </c>
      <c r="D1920" s="5" t="s">
        <v>22</v>
      </c>
      <c r="E1920" s="5" t="s">
        <v>42</v>
      </c>
      <c r="F1920" s="5" t="s">
        <v>720</v>
      </c>
      <c r="H1920" s="5" t="s">
        <v>6399</v>
      </c>
      <c r="J1920" s="10" t="s">
        <v>72</v>
      </c>
    </row>
    <row r="1921" ht="12.75" customHeight="1">
      <c r="A1921" s="5" t="s">
        <v>6400</v>
      </c>
      <c r="B1921" s="10" t="s">
        <v>6401</v>
      </c>
      <c r="D1921" s="5" t="s">
        <v>22</v>
      </c>
      <c r="E1921" s="5" t="s">
        <v>35</v>
      </c>
      <c r="F1921" s="5" t="s">
        <v>605</v>
      </c>
      <c r="H1921" s="5" t="s">
        <v>6399</v>
      </c>
      <c r="J1921" s="10" t="s">
        <v>72</v>
      </c>
    </row>
    <row r="1922" ht="12.75" customHeight="1">
      <c r="A1922" s="5" t="s">
        <v>6402</v>
      </c>
      <c r="B1922" s="10" t="s">
        <v>6404</v>
      </c>
      <c r="D1922" s="5" t="s">
        <v>22</v>
      </c>
      <c r="E1922" s="5" t="s">
        <v>35</v>
      </c>
      <c r="F1922" s="5" t="s">
        <v>77</v>
      </c>
      <c r="H1922" s="5" t="s">
        <v>6399</v>
      </c>
      <c r="J1922" s="10" t="s">
        <v>72</v>
      </c>
    </row>
    <row r="1923" ht="12.75" customHeight="1">
      <c r="A1923" s="5" t="s">
        <v>6406</v>
      </c>
      <c r="B1923" s="5" t="s">
        <v>6407</v>
      </c>
      <c r="D1923" s="5" t="s">
        <v>22</v>
      </c>
      <c r="E1923" s="5" t="s">
        <v>35</v>
      </c>
      <c r="F1923" s="5" t="s">
        <v>619</v>
      </c>
      <c r="H1923" s="5" t="s">
        <v>6399</v>
      </c>
      <c r="J1923" s="10" t="s">
        <v>72</v>
      </c>
    </row>
    <row r="1924" ht="12.75" customHeight="1">
      <c r="A1924" s="5" t="s">
        <v>6408</v>
      </c>
      <c r="B1924" s="5" t="s">
        <v>6409</v>
      </c>
      <c r="D1924" s="5" t="s">
        <v>22</v>
      </c>
      <c r="E1924" s="5" t="s">
        <v>42</v>
      </c>
      <c r="F1924" s="5" t="s">
        <v>445</v>
      </c>
      <c r="H1924" s="5" t="s">
        <v>6399</v>
      </c>
      <c r="J1924" s="10" t="s">
        <v>72</v>
      </c>
    </row>
    <row r="1925" ht="12.75" customHeight="1">
      <c r="A1925" s="5" t="s">
        <v>6412</v>
      </c>
      <c r="B1925" s="5" t="s">
        <v>6413</v>
      </c>
      <c r="D1925" s="5" t="s">
        <v>22</v>
      </c>
      <c r="E1925" s="5" t="s">
        <v>42</v>
      </c>
      <c r="F1925" s="5" t="s">
        <v>43</v>
      </c>
      <c r="H1925" s="5" t="s">
        <v>6399</v>
      </c>
      <c r="J1925" s="10" t="s">
        <v>72</v>
      </c>
    </row>
    <row r="1926" ht="12.75" customHeight="1">
      <c r="A1926" s="5" t="s">
        <v>6414</v>
      </c>
      <c r="B1926" s="5" t="s">
        <v>6415</v>
      </c>
      <c r="D1926" s="5" t="s">
        <v>22</v>
      </c>
      <c r="E1926" s="5" t="s">
        <v>42</v>
      </c>
      <c r="F1926" s="5" t="s">
        <v>556</v>
      </c>
      <c r="H1926" s="5" t="s">
        <v>6399</v>
      </c>
      <c r="J1926" s="10" t="s">
        <v>72</v>
      </c>
    </row>
    <row r="1927" ht="12.75" customHeight="1">
      <c r="A1927" s="5" t="s">
        <v>6417</v>
      </c>
      <c r="B1927" s="5" t="s">
        <v>6419</v>
      </c>
      <c r="D1927" s="5" t="s">
        <v>22</v>
      </c>
      <c r="E1927" s="5" t="s">
        <v>42</v>
      </c>
      <c r="F1927" s="5" t="s">
        <v>199</v>
      </c>
      <c r="H1927" s="5" t="s">
        <v>6399</v>
      </c>
      <c r="J1927" s="10" t="s">
        <v>72</v>
      </c>
    </row>
    <row r="1928" ht="12.75" customHeight="1">
      <c r="A1928" s="5" t="s">
        <v>6420</v>
      </c>
      <c r="B1928" s="5" t="s">
        <v>6421</v>
      </c>
      <c r="D1928" s="5" t="s">
        <v>22</v>
      </c>
      <c r="E1928" s="5" t="s">
        <v>35</v>
      </c>
      <c r="F1928" s="5" t="s">
        <v>695</v>
      </c>
      <c r="H1928" s="5" t="s">
        <v>6422</v>
      </c>
      <c r="J1928" s="10" t="s">
        <v>72</v>
      </c>
    </row>
    <row r="1929" ht="12.75" customHeight="1">
      <c r="A1929" s="5" t="s">
        <v>6423</v>
      </c>
      <c r="B1929" s="5" t="s">
        <v>6424</v>
      </c>
      <c r="D1929" s="5" t="s">
        <v>22</v>
      </c>
      <c r="E1929" s="5" t="s">
        <v>35</v>
      </c>
      <c r="F1929" s="5" t="s">
        <v>710</v>
      </c>
      <c r="H1929" s="5" t="s">
        <v>6422</v>
      </c>
      <c r="J1929" s="10" t="s">
        <v>72</v>
      </c>
    </row>
    <row r="1930" ht="12.75" customHeight="1">
      <c r="A1930" s="5" t="s">
        <v>6427</v>
      </c>
      <c r="B1930" s="10" t="s">
        <v>6428</v>
      </c>
      <c r="D1930" s="5" t="s">
        <v>22</v>
      </c>
      <c r="E1930" s="5" t="s">
        <v>35</v>
      </c>
      <c r="F1930" s="5" t="s">
        <v>619</v>
      </c>
      <c r="H1930" s="5" t="s">
        <v>6422</v>
      </c>
      <c r="J1930" s="10" t="s">
        <v>72</v>
      </c>
    </row>
    <row r="1931" ht="12.75" customHeight="1">
      <c r="A1931" s="5" t="s">
        <v>6429</v>
      </c>
      <c r="B1931" s="10" t="s">
        <v>6430</v>
      </c>
      <c r="D1931" s="5" t="s">
        <v>22</v>
      </c>
      <c r="E1931" s="5" t="s">
        <v>42</v>
      </c>
      <c r="F1931" s="5" t="s">
        <v>575</v>
      </c>
      <c r="H1931" s="5" t="s">
        <v>6422</v>
      </c>
      <c r="J1931" s="10" t="s">
        <v>72</v>
      </c>
    </row>
    <row r="1932" ht="12.75" customHeight="1">
      <c r="A1932" s="5" t="s">
        <v>6431</v>
      </c>
      <c r="B1932" s="10" t="s">
        <v>6433</v>
      </c>
      <c r="D1932" s="5" t="s">
        <v>22</v>
      </c>
      <c r="E1932" s="5" t="s">
        <v>42</v>
      </c>
      <c r="F1932" s="5" t="s">
        <v>65</v>
      </c>
      <c r="H1932" s="5" t="s">
        <v>6422</v>
      </c>
      <c r="J1932" s="10" t="s">
        <v>72</v>
      </c>
    </row>
    <row r="1933" ht="12.75" customHeight="1">
      <c r="A1933" s="5" t="s">
        <v>6435</v>
      </c>
      <c r="B1933" s="10" t="s">
        <v>6436</v>
      </c>
      <c r="D1933" s="5" t="s">
        <v>22</v>
      </c>
      <c r="E1933" s="5" t="s">
        <v>42</v>
      </c>
      <c r="F1933" s="5" t="s">
        <v>720</v>
      </c>
      <c r="H1933" s="5" t="s">
        <v>6422</v>
      </c>
      <c r="J1933" s="10" t="s">
        <v>72</v>
      </c>
    </row>
    <row r="1934" ht="12.75" customHeight="1">
      <c r="A1934" s="5" t="s">
        <v>6437</v>
      </c>
      <c r="B1934" s="5" t="s">
        <v>6438</v>
      </c>
      <c r="D1934" s="5" t="s">
        <v>22</v>
      </c>
      <c r="E1934" s="5" t="s">
        <v>42</v>
      </c>
      <c r="F1934" s="5" t="s">
        <v>54</v>
      </c>
      <c r="H1934" s="5" t="s">
        <v>6422</v>
      </c>
      <c r="J1934" s="10" t="s">
        <v>72</v>
      </c>
    </row>
    <row r="1935" ht="12.75" customHeight="1">
      <c r="A1935" s="5" t="s">
        <v>6370</v>
      </c>
      <c r="B1935" s="5" t="s">
        <v>6441</v>
      </c>
      <c r="C1935" s="5" t="s">
        <v>6353</v>
      </c>
      <c r="D1935" s="5" t="s">
        <v>22</v>
      </c>
      <c r="E1935" s="5" t="s">
        <v>42</v>
      </c>
      <c r="F1935" s="5" t="s">
        <v>672</v>
      </c>
      <c r="H1935" s="5" t="s">
        <v>6390</v>
      </c>
      <c r="I1935" s="10" t="s">
        <v>72</v>
      </c>
      <c r="J1935" s="10" t="s">
        <v>72</v>
      </c>
      <c r="K1935" s="5" t="s">
        <v>6442</v>
      </c>
    </row>
    <row r="1936" ht="12.75" customHeight="1">
      <c r="A1936" s="5" t="s">
        <v>6379</v>
      </c>
      <c r="B1936" s="5" t="s">
        <v>6443</v>
      </c>
      <c r="C1936" s="5" t="s">
        <v>6353</v>
      </c>
      <c r="D1936" s="5" t="s">
        <v>22</v>
      </c>
      <c r="E1936" s="5" t="s">
        <v>42</v>
      </c>
      <c r="F1936" s="5" t="s">
        <v>228</v>
      </c>
      <c r="H1936" s="5" t="s">
        <v>6399</v>
      </c>
      <c r="J1936" s="10" t="s">
        <v>72</v>
      </c>
      <c r="K1936" s="5" t="s">
        <v>6446</v>
      </c>
    </row>
    <row r="1937" ht="12.75" customHeight="1">
      <c r="A1937" s="5" t="s">
        <v>6390</v>
      </c>
      <c r="B1937" s="10" t="s">
        <v>6447</v>
      </c>
      <c r="C1937" s="5" t="s">
        <v>6448</v>
      </c>
      <c r="D1937" s="5" t="s">
        <v>22</v>
      </c>
      <c r="E1937" s="5" t="s">
        <v>42</v>
      </c>
      <c r="F1937" s="5" t="s">
        <v>672</v>
      </c>
      <c r="H1937" s="5" t="s">
        <v>6213</v>
      </c>
      <c r="J1937" s="10" t="s">
        <v>72</v>
      </c>
      <c r="K1937" s="5" t="s">
        <v>6449</v>
      </c>
      <c r="L1937" s="5" t="s">
        <v>6370</v>
      </c>
    </row>
    <row r="1938" ht="12.75" customHeight="1">
      <c r="A1938" s="5" t="s">
        <v>6399</v>
      </c>
      <c r="B1938" s="10" t="s">
        <v>6451</v>
      </c>
      <c r="C1938" s="5" t="s">
        <v>6448</v>
      </c>
      <c r="D1938" s="5" t="s">
        <v>22</v>
      </c>
      <c r="E1938" s="5" t="s">
        <v>42</v>
      </c>
      <c r="F1938" s="5" t="s">
        <v>720</v>
      </c>
      <c r="H1938" s="5" t="s">
        <v>6213</v>
      </c>
      <c r="I1938" s="10" t="s">
        <v>72</v>
      </c>
      <c r="J1938" s="10" t="s">
        <v>72</v>
      </c>
      <c r="K1938" s="5" t="s">
        <v>6453</v>
      </c>
    </row>
    <row r="1939" ht="12.75" customHeight="1">
      <c r="A1939" s="5" t="s">
        <v>6422</v>
      </c>
      <c r="B1939" s="10" t="s">
        <v>6454</v>
      </c>
      <c r="C1939" s="5" t="s">
        <v>6448</v>
      </c>
      <c r="D1939" s="5" t="s">
        <v>22</v>
      </c>
      <c r="E1939" s="5" t="s">
        <v>42</v>
      </c>
      <c r="F1939" s="5" t="s">
        <v>720</v>
      </c>
      <c r="H1939" s="5" t="s">
        <v>6213</v>
      </c>
      <c r="I1939" s="10" t="s">
        <v>72</v>
      </c>
      <c r="J1939" s="10" t="s">
        <v>72</v>
      </c>
      <c r="K1939" s="5" t="s">
        <v>6456</v>
      </c>
    </row>
    <row r="1940" ht="12.75" customHeight="1">
      <c r="A1940" s="5" t="s">
        <v>6458</v>
      </c>
      <c r="B1940" s="10" t="s">
        <v>6459</v>
      </c>
      <c r="D1940" s="5" t="s">
        <v>22</v>
      </c>
      <c r="E1940" s="5" t="s">
        <v>42</v>
      </c>
      <c r="F1940" s="5" t="s">
        <v>400</v>
      </c>
      <c r="H1940" s="5" t="s">
        <v>6460</v>
      </c>
      <c r="J1940" s="10" t="s">
        <v>72</v>
      </c>
    </row>
    <row r="1941" ht="12.75" customHeight="1">
      <c r="A1941" s="5" t="s">
        <v>6461</v>
      </c>
      <c r="B1941" s="10" t="s">
        <v>6462</v>
      </c>
      <c r="D1941" s="5" t="s">
        <v>22</v>
      </c>
      <c r="E1941" s="5" t="s">
        <v>42</v>
      </c>
      <c r="F1941" s="5" t="s">
        <v>556</v>
      </c>
      <c r="H1941" s="5" t="s">
        <v>6460</v>
      </c>
      <c r="J1941" s="10" t="s">
        <v>72</v>
      </c>
    </row>
    <row r="1942" ht="12.75" customHeight="1">
      <c r="A1942" s="5" t="s">
        <v>6465</v>
      </c>
      <c r="B1942" s="5" t="s">
        <v>6466</v>
      </c>
      <c r="D1942" s="5" t="s">
        <v>22</v>
      </c>
      <c r="E1942" s="5" t="s">
        <v>42</v>
      </c>
      <c r="F1942" s="5" t="s">
        <v>672</v>
      </c>
      <c r="H1942" s="5" t="s">
        <v>6460</v>
      </c>
      <c r="J1942" s="10" t="s">
        <v>72</v>
      </c>
    </row>
    <row r="1943" ht="12.75" customHeight="1">
      <c r="A1943" s="5" t="s">
        <v>6467</v>
      </c>
      <c r="B1943" s="10" t="s">
        <v>6468</v>
      </c>
      <c r="D1943" s="5" t="s">
        <v>22</v>
      </c>
      <c r="E1943" s="5" t="s">
        <v>42</v>
      </c>
      <c r="F1943" s="5" t="s">
        <v>1991</v>
      </c>
      <c r="H1943" s="5" t="s">
        <v>6469</v>
      </c>
      <c r="J1943" s="10" t="s">
        <v>72</v>
      </c>
    </row>
    <row r="1944" ht="12.75" customHeight="1">
      <c r="A1944" s="5" t="s">
        <v>6470</v>
      </c>
      <c r="B1944" s="10" t="s">
        <v>6472</v>
      </c>
      <c r="D1944" s="5" t="s">
        <v>22</v>
      </c>
      <c r="E1944" s="5" t="s">
        <v>42</v>
      </c>
      <c r="F1944" s="5" t="s">
        <v>445</v>
      </c>
      <c r="H1944" s="5" t="s">
        <v>6469</v>
      </c>
      <c r="J1944" s="10" t="s">
        <v>72</v>
      </c>
    </row>
    <row r="1945" ht="12.75" customHeight="1">
      <c r="A1945" s="5" t="s">
        <v>6474</v>
      </c>
      <c r="B1945" s="10" t="s">
        <v>6475</v>
      </c>
      <c r="D1945" s="5" t="s">
        <v>22</v>
      </c>
      <c r="E1945" s="5" t="s">
        <v>42</v>
      </c>
      <c r="F1945" s="5" t="s">
        <v>228</v>
      </c>
      <c r="H1945" s="5" t="s">
        <v>6469</v>
      </c>
      <c r="J1945" s="10" t="s">
        <v>72</v>
      </c>
    </row>
    <row r="1946" ht="12.75" customHeight="1">
      <c r="A1946" s="5" t="s">
        <v>6476</v>
      </c>
      <c r="B1946" s="10" t="s">
        <v>6477</v>
      </c>
      <c r="D1946" s="5" t="s">
        <v>22</v>
      </c>
      <c r="E1946" s="5" t="s">
        <v>35</v>
      </c>
      <c r="F1946" s="5" t="s">
        <v>616</v>
      </c>
      <c r="H1946" s="5" t="s">
        <v>6479</v>
      </c>
      <c r="J1946" s="10" t="s">
        <v>72</v>
      </c>
    </row>
    <row r="1947" ht="12.75" customHeight="1">
      <c r="A1947" s="5" t="s">
        <v>6481</v>
      </c>
      <c r="B1947" s="10" t="s">
        <v>6482</v>
      </c>
      <c r="D1947" s="5" t="s">
        <v>22</v>
      </c>
      <c r="E1947" s="5" t="s">
        <v>35</v>
      </c>
      <c r="F1947" s="5" t="s">
        <v>172</v>
      </c>
      <c r="H1947" s="5" t="s">
        <v>6479</v>
      </c>
      <c r="J1947" s="10" t="s">
        <v>72</v>
      </c>
    </row>
    <row r="1948" ht="12.75" customHeight="1">
      <c r="A1948" s="5" t="s">
        <v>6483</v>
      </c>
      <c r="B1948" s="10" t="s">
        <v>6484</v>
      </c>
      <c r="D1948" s="5" t="s">
        <v>22</v>
      </c>
      <c r="E1948" s="5" t="s">
        <v>35</v>
      </c>
      <c r="F1948" s="5" t="s">
        <v>605</v>
      </c>
      <c r="H1948" s="5" t="s">
        <v>6479</v>
      </c>
      <c r="J1948" s="10" t="s">
        <v>72</v>
      </c>
    </row>
    <row r="1949" ht="12.75" customHeight="1">
      <c r="A1949" s="5" t="s">
        <v>6486</v>
      </c>
      <c r="B1949" s="5" t="s">
        <v>6488</v>
      </c>
      <c r="D1949" s="5" t="s">
        <v>22</v>
      </c>
      <c r="E1949" s="5" t="s">
        <v>42</v>
      </c>
      <c r="F1949" s="5" t="s">
        <v>720</v>
      </c>
      <c r="H1949" s="5" t="s">
        <v>6489</v>
      </c>
      <c r="J1949" s="10" t="s">
        <v>72</v>
      </c>
    </row>
    <row r="1950" ht="12.75" customHeight="1">
      <c r="A1950" s="5" t="s">
        <v>6490</v>
      </c>
      <c r="B1950" s="5" t="s">
        <v>6491</v>
      </c>
      <c r="D1950" s="5" t="s">
        <v>22</v>
      </c>
      <c r="E1950" s="5" t="s">
        <v>35</v>
      </c>
      <c r="F1950" s="5" t="s">
        <v>619</v>
      </c>
      <c r="H1950" s="5" t="s">
        <v>6489</v>
      </c>
      <c r="J1950" s="10" t="s">
        <v>72</v>
      </c>
    </row>
    <row r="1951" ht="12.75" customHeight="1">
      <c r="A1951" s="5" t="s">
        <v>6492</v>
      </c>
      <c r="B1951" s="5" t="s">
        <v>6494</v>
      </c>
      <c r="D1951" s="5" t="s">
        <v>22</v>
      </c>
      <c r="E1951" s="5" t="s">
        <v>35</v>
      </c>
      <c r="F1951" s="5" t="s">
        <v>77</v>
      </c>
      <c r="H1951" s="5" t="s">
        <v>6489</v>
      </c>
      <c r="J1951" s="10" t="s">
        <v>72</v>
      </c>
    </row>
    <row r="1952" ht="12.75" customHeight="1">
      <c r="A1952" s="5" t="s">
        <v>6496</v>
      </c>
      <c r="B1952" s="5" t="s">
        <v>6497</v>
      </c>
      <c r="D1952" s="5" t="s">
        <v>22</v>
      </c>
      <c r="E1952" s="5" t="s">
        <v>35</v>
      </c>
      <c r="F1952" s="5" t="s">
        <v>36</v>
      </c>
      <c r="H1952" s="5" t="s">
        <v>6489</v>
      </c>
      <c r="J1952" s="10" t="s">
        <v>72</v>
      </c>
    </row>
    <row r="1953" ht="12.75" customHeight="1">
      <c r="A1953" s="5" t="s">
        <v>6498</v>
      </c>
      <c r="B1953" s="5" t="s">
        <v>6499</v>
      </c>
      <c r="D1953" s="5" t="s">
        <v>22</v>
      </c>
      <c r="E1953" s="5" t="s">
        <v>42</v>
      </c>
      <c r="F1953" s="5" t="s">
        <v>228</v>
      </c>
      <c r="H1953" s="5" t="s">
        <v>6489</v>
      </c>
      <c r="J1953" s="10" t="s">
        <v>72</v>
      </c>
    </row>
    <row r="1954" ht="12.75" customHeight="1">
      <c r="A1954" s="5" t="s">
        <v>6502</v>
      </c>
      <c r="B1954" s="5" t="s">
        <v>6503</v>
      </c>
      <c r="D1954" s="5" t="s">
        <v>22</v>
      </c>
      <c r="E1954" s="5" t="s">
        <v>42</v>
      </c>
      <c r="F1954" s="5" t="s">
        <v>1753</v>
      </c>
      <c r="H1954" s="5" t="s">
        <v>6489</v>
      </c>
      <c r="J1954" s="10" t="s">
        <v>72</v>
      </c>
    </row>
    <row r="1955" ht="12.75" customHeight="1">
      <c r="A1955" s="5" t="s">
        <v>6504</v>
      </c>
      <c r="B1955" s="5" t="s">
        <v>6505</v>
      </c>
      <c r="D1955" s="5" t="s">
        <v>22</v>
      </c>
      <c r="E1955" s="5" t="s">
        <v>42</v>
      </c>
      <c r="F1955" s="5" t="s">
        <v>637</v>
      </c>
      <c r="H1955" s="5" t="s">
        <v>6489</v>
      </c>
      <c r="J1955" s="10" t="s">
        <v>72</v>
      </c>
    </row>
    <row r="1956" ht="12.75" customHeight="1">
      <c r="A1956" s="5" t="s">
        <v>6507</v>
      </c>
      <c r="B1956" s="5" t="s">
        <v>6508</v>
      </c>
      <c r="D1956" s="5" t="s">
        <v>22</v>
      </c>
      <c r="E1956" s="5" t="s">
        <v>42</v>
      </c>
      <c r="F1956" s="5" t="s">
        <v>43</v>
      </c>
      <c r="H1956" s="5" t="s">
        <v>6489</v>
      </c>
      <c r="J1956" s="10" t="s">
        <v>72</v>
      </c>
    </row>
    <row r="1957" ht="12.75" customHeight="1">
      <c r="A1957" s="5" t="s">
        <v>6510</v>
      </c>
      <c r="B1957" s="10" t="s">
        <v>6511</v>
      </c>
      <c r="D1957" s="5" t="s">
        <v>22</v>
      </c>
      <c r="E1957" s="5" t="s">
        <v>35</v>
      </c>
      <c r="F1957" s="5" t="s">
        <v>868</v>
      </c>
      <c r="H1957" s="5" t="s">
        <v>6512</v>
      </c>
      <c r="J1957" s="10" t="s">
        <v>72</v>
      </c>
    </row>
    <row r="1958" ht="12.75" customHeight="1">
      <c r="A1958" s="5" t="s">
        <v>6513</v>
      </c>
      <c r="B1958" s="10" t="s">
        <v>6515</v>
      </c>
      <c r="D1958" s="5" t="s">
        <v>22</v>
      </c>
      <c r="E1958" s="5" t="s">
        <v>35</v>
      </c>
      <c r="F1958" s="5" t="s">
        <v>619</v>
      </c>
      <c r="H1958" s="5" t="s">
        <v>6512</v>
      </c>
      <c r="J1958" s="10" t="s">
        <v>72</v>
      </c>
    </row>
    <row r="1959" ht="12.75" customHeight="1">
      <c r="A1959" s="5" t="s">
        <v>6517</v>
      </c>
      <c r="B1959" s="10" t="s">
        <v>6518</v>
      </c>
      <c r="D1959" s="5" t="s">
        <v>22</v>
      </c>
      <c r="E1959" s="5" t="s">
        <v>35</v>
      </c>
      <c r="F1959" s="5" t="s">
        <v>813</v>
      </c>
      <c r="H1959" s="5" t="s">
        <v>6512</v>
      </c>
      <c r="J1959" s="10" t="s">
        <v>72</v>
      </c>
    </row>
    <row r="1960" ht="12.75" customHeight="1">
      <c r="A1960" s="5" t="s">
        <v>6519</v>
      </c>
      <c r="B1960" s="10" t="s">
        <v>6520</v>
      </c>
      <c r="D1960" s="5" t="s">
        <v>22</v>
      </c>
      <c r="E1960" s="5" t="s">
        <v>42</v>
      </c>
      <c r="F1960" s="5" t="s">
        <v>634</v>
      </c>
      <c r="H1960" s="5" t="s">
        <v>6512</v>
      </c>
      <c r="J1960" s="10" t="s">
        <v>72</v>
      </c>
    </row>
    <row r="1961" ht="12.75" customHeight="1">
      <c r="A1961" s="5" t="s">
        <v>6523</v>
      </c>
      <c r="B1961" s="10" t="s">
        <v>6524</v>
      </c>
      <c r="D1961" s="5" t="s">
        <v>22</v>
      </c>
      <c r="E1961" s="5" t="s">
        <v>42</v>
      </c>
      <c r="F1961" s="5" t="s">
        <v>756</v>
      </c>
      <c r="H1961" s="5" t="s">
        <v>6512</v>
      </c>
      <c r="J1961" s="10" t="s">
        <v>72</v>
      </c>
    </row>
    <row r="1962" ht="12.75" customHeight="1">
      <c r="A1962" s="5" t="s">
        <v>6525</v>
      </c>
      <c r="B1962" s="10" t="s">
        <v>6526</v>
      </c>
      <c r="D1962" s="5" t="s">
        <v>22</v>
      </c>
      <c r="E1962" s="5" t="s">
        <v>42</v>
      </c>
      <c r="F1962" s="5" t="s">
        <v>720</v>
      </c>
      <c r="H1962" s="5" t="s">
        <v>6512</v>
      </c>
      <c r="J1962" s="10" t="s">
        <v>72</v>
      </c>
    </row>
    <row r="1963" ht="12.75" customHeight="1">
      <c r="A1963" s="5" t="s">
        <v>6528</v>
      </c>
      <c r="B1963" s="5" t="s">
        <v>6529</v>
      </c>
      <c r="D1963" s="5" t="s">
        <v>22</v>
      </c>
      <c r="E1963" s="5" t="s">
        <v>42</v>
      </c>
      <c r="F1963" s="5" t="s">
        <v>167</v>
      </c>
      <c r="H1963" s="5" t="s">
        <v>6512</v>
      </c>
      <c r="J1963" s="10" t="s">
        <v>72</v>
      </c>
    </row>
    <row r="1964" ht="12.75" customHeight="1">
      <c r="A1964" s="5" t="s">
        <v>6460</v>
      </c>
      <c r="B1964" s="5" t="s">
        <v>6531</v>
      </c>
      <c r="C1964" s="5" t="s">
        <v>6353</v>
      </c>
      <c r="D1964" s="5" t="s">
        <v>22</v>
      </c>
      <c r="E1964" s="5" t="s">
        <v>42</v>
      </c>
      <c r="F1964" s="5" t="s">
        <v>878</v>
      </c>
      <c r="H1964" s="5" t="s">
        <v>6479</v>
      </c>
      <c r="I1964" s="10" t="s">
        <v>72</v>
      </c>
      <c r="J1964" s="10" t="s">
        <v>72</v>
      </c>
      <c r="K1964" s="5" t="s">
        <v>6532</v>
      </c>
    </row>
    <row r="1965" ht="12.75" customHeight="1">
      <c r="A1965" s="5" t="s">
        <v>6469</v>
      </c>
      <c r="B1965" s="5" t="s">
        <v>6534</v>
      </c>
      <c r="C1965" s="5" t="s">
        <v>6353</v>
      </c>
      <c r="D1965" s="5" t="s">
        <v>22</v>
      </c>
      <c r="E1965" s="5" t="s">
        <v>42</v>
      </c>
      <c r="F1965" s="5" t="s">
        <v>113</v>
      </c>
      <c r="H1965" s="5" t="s">
        <v>6489</v>
      </c>
      <c r="J1965" s="10" t="s">
        <v>72</v>
      </c>
      <c r="K1965" s="5" t="s">
        <v>6536</v>
      </c>
    </row>
    <row r="1966" ht="12.75" customHeight="1">
      <c r="A1966" s="5" t="s">
        <v>6479</v>
      </c>
      <c r="B1966" s="10" t="s">
        <v>6539</v>
      </c>
      <c r="C1966" s="5" t="s">
        <v>6540</v>
      </c>
      <c r="D1966" s="5" t="s">
        <v>22</v>
      </c>
      <c r="E1966" s="5" t="s">
        <v>42</v>
      </c>
      <c r="F1966" s="5" t="s">
        <v>878</v>
      </c>
      <c r="H1966" s="5" t="s">
        <v>6213</v>
      </c>
      <c r="J1966" s="10" t="s">
        <v>72</v>
      </c>
      <c r="K1966" s="5" t="s">
        <v>6541</v>
      </c>
      <c r="L1966" s="5" t="s">
        <v>6460</v>
      </c>
    </row>
    <row r="1967" ht="12.75" customHeight="1">
      <c r="A1967" s="5" t="s">
        <v>6489</v>
      </c>
      <c r="B1967" s="10" t="s">
        <v>6542</v>
      </c>
      <c r="C1967" s="5" t="s">
        <v>6540</v>
      </c>
      <c r="D1967" s="5" t="s">
        <v>22</v>
      </c>
      <c r="E1967" s="5" t="s">
        <v>42</v>
      </c>
      <c r="F1967" s="5" t="s">
        <v>720</v>
      </c>
      <c r="H1967" s="5" t="s">
        <v>6213</v>
      </c>
      <c r="I1967" s="10" t="s">
        <v>72</v>
      </c>
      <c r="J1967" s="10" t="s">
        <v>72</v>
      </c>
      <c r="K1967" s="5" t="s">
        <v>6545</v>
      </c>
    </row>
    <row r="1968" ht="12.75" customHeight="1">
      <c r="A1968" s="5" t="s">
        <v>6512</v>
      </c>
      <c r="B1968" s="10" t="s">
        <v>6546</v>
      </c>
      <c r="C1968" s="5" t="s">
        <v>6540</v>
      </c>
      <c r="D1968" s="5" t="s">
        <v>22</v>
      </c>
      <c r="E1968" s="5" t="s">
        <v>42</v>
      </c>
      <c r="F1968" s="5" t="s">
        <v>720</v>
      </c>
      <c r="H1968" s="5" t="s">
        <v>6213</v>
      </c>
      <c r="I1968" s="10" t="s">
        <v>72</v>
      </c>
      <c r="J1968" s="10" t="s">
        <v>72</v>
      </c>
      <c r="K1968" s="5" t="s">
        <v>6547</v>
      </c>
    </row>
    <row r="1969" ht="12.75" customHeight="1">
      <c r="A1969" s="5" t="s">
        <v>6548</v>
      </c>
      <c r="B1969" s="10" t="s">
        <v>6550</v>
      </c>
      <c r="D1969" s="5" t="s">
        <v>22</v>
      </c>
      <c r="E1969" s="5" t="s">
        <v>42</v>
      </c>
      <c r="F1969" s="5" t="s">
        <v>228</v>
      </c>
      <c r="H1969" s="5" t="s">
        <v>6552</v>
      </c>
      <c r="J1969" s="10" t="s">
        <v>72</v>
      </c>
    </row>
    <row r="1970" ht="12.75" customHeight="1">
      <c r="A1970" s="5" t="s">
        <v>6553</v>
      </c>
      <c r="B1970" s="10" t="s">
        <v>6554</v>
      </c>
      <c r="D1970" s="5" t="s">
        <v>22</v>
      </c>
      <c r="E1970" s="5" t="s">
        <v>42</v>
      </c>
      <c r="F1970" s="5" t="s">
        <v>228</v>
      </c>
      <c r="H1970" s="5" t="s">
        <v>6552</v>
      </c>
      <c r="J1970" s="10" t="s">
        <v>72</v>
      </c>
    </row>
    <row r="1971" ht="12.75" customHeight="1">
      <c r="A1971" s="5" t="s">
        <v>6555</v>
      </c>
      <c r="B1971" s="10" t="s">
        <v>6556</v>
      </c>
      <c r="D1971" s="5" t="s">
        <v>22</v>
      </c>
      <c r="E1971" s="5" t="s">
        <v>42</v>
      </c>
      <c r="F1971" s="5" t="s">
        <v>43</v>
      </c>
      <c r="H1971" s="5" t="s">
        <v>6559</v>
      </c>
      <c r="J1971" s="10" t="s">
        <v>72</v>
      </c>
    </row>
    <row r="1972" ht="12.75" customHeight="1">
      <c r="A1972" s="5" t="s">
        <v>6560</v>
      </c>
      <c r="B1972" s="5" t="s">
        <v>6561</v>
      </c>
      <c r="D1972" s="5" t="s">
        <v>22</v>
      </c>
      <c r="E1972" s="5" t="s">
        <v>42</v>
      </c>
      <c r="F1972" s="5" t="s">
        <v>556</v>
      </c>
      <c r="H1972" s="5" t="s">
        <v>6559</v>
      </c>
      <c r="J1972" s="10" t="s">
        <v>72</v>
      </c>
    </row>
    <row r="1973" ht="12.75" customHeight="1">
      <c r="A1973" s="5" t="s">
        <v>6562</v>
      </c>
      <c r="B1973" s="5" t="s">
        <v>6563</v>
      </c>
      <c r="D1973" s="5" t="s">
        <v>22</v>
      </c>
      <c r="E1973" s="5" t="s">
        <v>42</v>
      </c>
      <c r="F1973" s="5" t="s">
        <v>228</v>
      </c>
      <c r="H1973" s="5" t="s">
        <v>6559</v>
      </c>
      <c r="J1973" s="10" t="s">
        <v>72</v>
      </c>
    </row>
    <row r="1974" ht="12.75" customHeight="1">
      <c r="A1974" s="5" t="s">
        <v>6566</v>
      </c>
      <c r="B1974" s="10" t="s">
        <v>6567</v>
      </c>
      <c r="D1974" s="5" t="s">
        <v>22</v>
      </c>
      <c r="E1974" s="5" t="s">
        <v>35</v>
      </c>
      <c r="F1974" s="5" t="s">
        <v>172</v>
      </c>
      <c r="H1974" s="5" t="s">
        <v>6568</v>
      </c>
      <c r="J1974" s="10" t="s">
        <v>72</v>
      </c>
    </row>
    <row r="1975" ht="12.75" customHeight="1">
      <c r="A1975" s="5" t="s">
        <v>6569</v>
      </c>
      <c r="B1975" s="5" t="s">
        <v>6570</v>
      </c>
      <c r="D1975" s="5" t="s">
        <v>22</v>
      </c>
      <c r="E1975" s="5" t="s">
        <v>35</v>
      </c>
      <c r="F1975" s="5" t="s">
        <v>605</v>
      </c>
      <c r="H1975" s="5" t="s">
        <v>6568</v>
      </c>
      <c r="J1975" s="10" t="s">
        <v>72</v>
      </c>
    </row>
    <row r="1976" ht="12.75" customHeight="1">
      <c r="A1976" s="5" t="s">
        <v>6571</v>
      </c>
      <c r="B1976" s="5" t="s">
        <v>6573</v>
      </c>
      <c r="D1976" s="5" t="s">
        <v>22</v>
      </c>
      <c r="E1976" s="5" t="s">
        <v>35</v>
      </c>
      <c r="F1976" s="5" t="s">
        <v>868</v>
      </c>
      <c r="H1976" s="5" t="s">
        <v>6568</v>
      </c>
      <c r="J1976" s="10" t="s">
        <v>72</v>
      </c>
    </row>
    <row r="1977" ht="12.75" customHeight="1">
      <c r="A1977" s="5" t="s">
        <v>6575</v>
      </c>
      <c r="B1977" s="5" t="s">
        <v>6576</v>
      </c>
      <c r="D1977" s="5" t="s">
        <v>22</v>
      </c>
      <c r="E1977" s="5" t="s">
        <v>42</v>
      </c>
      <c r="F1977" s="5" t="s">
        <v>720</v>
      </c>
      <c r="H1977" s="5" t="s">
        <v>6577</v>
      </c>
      <c r="J1977" s="10" t="s">
        <v>72</v>
      </c>
    </row>
    <row r="1978" ht="12.75" customHeight="1">
      <c r="A1978" s="5" t="s">
        <v>6578</v>
      </c>
      <c r="B1978" s="5" t="s">
        <v>6579</v>
      </c>
      <c r="D1978" s="5" t="s">
        <v>22</v>
      </c>
      <c r="E1978" s="5" t="s">
        <v>35</v>
      </c>
      <c r="F1978" s="5" t="s">
        <v>813</v>
      </c>
      <c r="H1978" s="5" t="s">
        <v>6577</v>
      </c>
      <c r="J1978" s="10" t="s">
        <v>72</v>
      </c>
    </row>
    <row r="1979" ht="12.75" customHeight="1">
      <c r="A1979" s="5" t="s">
        <v>6582</v>
      </c>
      <c r="B1979" s="5" t="s">
        <v>6583</v>
      </c>
      <c r="D1979" s="5" t="s">
        <v>22</v>
      </c>
      <c r="E1979" s="5" t="s">
        <v>35</v>
      </c>
      <c r="F1979" s="5" t="s">
        <v>4630</v>
      </c>
      <c r="H1979" s="5" t="s">
        <v>6577</v>
      </c>
      <c r="J1979" s="10" t="s">
        <v>72</v>
      </c>
    </row>
    <row r="1980" ht="12.75" customHeight="1">
      <c r="A1980" s="5" t="s">
        <v>6584</v>
      </c>
      <c r="B1980" s="5" t="s">
        <v>6585</v>
      </c>
      <c r="D1980" s="5" t="s">
        <v>22</v>
      </c>
      <c r="E1980" s="5" t="s">
        <v>35</v>
      </c>
      <c r="F1980" s="5" t="s">
        <v>702</v>
      </c>
      <c r="H1980" s="5" t="s">
        <v>6577</v>
      </c>
      <c r="J1980" s="10" t="s">
        <v>72</v>
      </c>
    </row>
    <row r="1981" ht="12.75" customHeight="1">
      <c r="A1981" s="5" t="s">
        <v>6586</v>
      </c>
      <c r="B1981" s="5" t="s">
        <v>6588</v>
      </c>
      <c r="D1981" s="5" t="s">
        <v>22</v>
      </c>
      <c r="E1981" s="5" t="s">
        <v>42</v>
      </c>
      <c r="F1981" s="5" t="s">
        <v>445</v>
      </c>
      <c r="H1981" s="5" t="s">
        <v>6577</v>
      </c>
      <c r="J1981" s="10" t="s">
        <v>72</v>
      </c>
    </row>
    <row r="1982" ht="12.75" customHeight="1">
      <c r="A1982" s="5" t="s">
        <v>6590</v>
      </c>
      <c r="B1982" s="10" t="s">
        <v>6591</v>
      </c>
      <c r="D1982" s="5" t="s">
        <v>22</v>
      </c>
      <c r="E1982" s="5" t="s">
        <v>42</v>
      </c>
      <c r="F1982" s="5" t="s">
        <v>199</v>
      </c>
      <c r="H1982" s="5" t="s">
        <v>6577</v>
      </c>
      <c r="J1982" s="10" t="s">
        <v>72</v>
      </c>
    </row>
    <row r="1983" ht="12.75" customHeight="1">
      <c r="A1983" s="5" t="s">
        <v>6592</v>
      </c>
      <c r="B1983" s="10" t="s">
        <v>6593</v>
      </c>
      <c r="D1983" s="5" t="s">
        <v>22</v>
      </c>
      <c r="E1983" s="5" t="s">
        <v>42</v>
      </c>
      <c r="F1983" s="5" t="s">
        <v>54</v>
      </c>
      <c r="H1983" s="5" t="s">
        <v>6577</v>
      </c>
      <c r="J1983" s="10" t="s">
        <v>72</v>
      </c>
    </row>
    <row r="1984" ht="12.75" customHeight="1">
      <c r="A1984" s="5" t="s">
        <v>6595</v>
      </c>
      <c r="B1984" s="5" t="s">
        <v>6596</v>
      </c>
      <c r="D1984" s="5" t="s">
        <v>22</v>
      </c>
      <c r="E1984" s="5" t="s">
        <v>42</v>
      </c>
      <c r="F1984" s="5" t="s">
        <v>657</v>
      </c>
      <c r="H1984" s="5" t="s">
        <v>6577</v>
      </c>
      <c r="J1984" s="10" t="s">
        <v>72</v>
      </c>
    </row>
    <row r="1985" ht="12.75" customHeight="1">
      <c r="A1985" s="5" t="s">
        <v>6598</v>
      </c>
      <c r="B1985" s="10" t="s">
        <v>6599</v>
      </c>
      <c r="D1985" s="5" t="s">
        <v>22</v>
      </c>
      <c r="E1985" s="5" t="s">
        <v>35</v>
      </c>
      <c r="F1985" s="5" t="s">
        <v>104</v>
      </c>
      <c r="H1985" s="5" t="s">
        <v>6600</v>
      </c>
      <c r="J1985" s="10" t="s">
        <v>72</v>
      </c>
    </row>
    <row r="1986" ht="12.75" customHeight="1">
      <c r="A1986" s="5" t="s">
        <v>6601</v>
      </c>
      <c r="B1986" s="10" t="s">
        <v>6602</v>
      </c>
      <c r="D1986" s="5" t="s">
        <v>22</v>
      </c>
      <c r="E1986" s="5" t="s">
        <v>35</v>
      </c>
      <c r="F1986" s="5" t="s">
        <v>189</v>
      </c>
      <c r="H1986" s="5" t="s">
        <v>6600</v>
      </c>
      <c r="J1986" s="10" t="s">
        <v>72</v>
      </c>
    </row>
    <row r="1987" ht="12.75" customHeight="1">
      <c r="A1987" s="5" t="s">
        <v>6604</v>
      </c>
      <c r="B1987" s="10" t="s">
        <v>6606</v>
      </c>
      <c r="D1987" s="5" t="s">
        <v>22</v>
      </c>
      <c r="E1987" s="5" t="s">
        <v>35</v>
      </c>
      <c r="F1987" s="5" t="s">
        <v>4630</v>
      </c>
      <c r="H1987" s="5" t="s">
        <v>6600</v>
      </c>
      <c r="J1987" s="10" t="s">
        <v>72</v>
      </c>
    </row>
    <row r="1988" ht="12.75" customHeight="1">
      <c r="A1988" s="5" t="s">
        <v>6607</v>
      </c>
      <c r="B1988" s="10" t="s">
        <v>6608</v>
      </c>
      <c r="D1988" s="5" t="s">
        <v>22</v>
      </c>
      <c r="E1988" s="5" t="s">
        <v>42</v>
      </c>
      <c r="F1988" s="5" t="s">
        <v>113</v>
      </c>
      <c r="H1988" s="5" t="s">
        <v>6600</v>
      </c>
      <c r="J1988" s="10" t="s">
        <v>72</v>
      </c>
    </row>
    <row r="1989" ht="12.75" customHeight="1">
      <c r="A1989" s="5" t="s">
        <v>6609</v>
      </c>
      <c r="B1989" s="10" t="s">
        <v>6610</v>
      </c>
      <c r="D1989" s="5" t="s">
        <v>22</v>
      </c>
      <c r="E1989" s="5" t="s">
        <v>42</v>
      </c>
      <c r="F1989" s="5" t="s">
        <v>400</v>
      </c>
      <c r="H1989" s="5" t="s">
        <v>6600</v>
      </c>
      <c r="J1989" s="10" t="s">
        <v>72</v>
      </c>
    </row>
    <row r="1990" ht="12.75" customHeight="1">
      <c r="A1990" s="5" t="s">
        <v>6611</v>
      </c>
      <c r="B1990" s="10" t="s">
        <v>6612</v>
      </c>
      <c r="D1990" s="5" t="s">
        <v>22</v>
      </c>
      <c r="E1990" s="5" t="s">
        <v>42</v>
      </c>
      <c r="F1990" s="5" t="s">
        <v>556</v>
      </c>
      <c r="H1990" s="5" t="s">
        <v>6600</v>
      </c>
      <c r="J1990" s="10" t="s">
        <v>72</v>
      </c>
    </row>
    <row r="1991" ht="12.75" customHeight="1">
      <c r="A1991" s="5" t="s">
        <v>6614</v>
      </c>
      <c r="B1991" s="5" t="s">
        <v>6615</v>
      </c>
      <c r="D1991" s="5" t="s">
        <v>22</v>
      </c>
      <c r="E1991" s="5" t="s">
        <v>42</v>
      </c>
      <c r="F1991" s="5" t="s">
        <v>1753</v>
      </c>
      <c r="H1991" s="5" t="s">
        <v>6600</v>
      </c>
      <c r="J1991" s="10" t="s">
        <v>72</v>
      </c>
    </row>
    <row r="1992" ht="12.75" customHeight="1">
      <c r="A1992" s="5" t="s">
        <v>6552</v>
      </c>
      <c r="B1992" s="10" t="s">
        <v>6617</v>
      </c>
      <c r="C1992" s="5" t="s">
        <v>6353</v>
      </c>
      <c r="D1992" s="5" t="s">
        <v>22</v>
      </c>
      <c r="E1992" s="5" t="s">
        <v>42</v>
      </c>
      <c r="F1992" s="5" t="s">
        <v>189</v>
      </c>
      <c r="H1992" s="5" t="s">
        <v>6568</v>
      </c>
      <c r="J1992" s="10" t="s">
        <v>72</v>
      </c>
      <c r="K1992" s="5" t="s">
        <v>6618</v>
      </c>
    </row>
    <row r="1993" ht="12.75" customHeight="1">
      <c r="A1993" s="5" t="s">
        <v>6559</v>
      </c>
      <c r="B1993" s="10" t="s">
        <v>6619</v>
      </c>
      <c r="C1993" s="5" t="s">
        <v>6353</v>
      </c>
      <c r="D1993" s="5" t="s">
        <v>22</v>
      </c>
      <c r="E1993" s="5" t="s">
        <v>42</v>
      </c>
      <c r="F1993" s="5" t="s">
        <v>637</v>
      </c>
      <c r="H1993" s="5" t="s">
        <v>6577</v>
      </c>
      <c r="J1993" s="10" t="s">
        <v>72</v>
      </c>
      <c r="K1993" s="5" t="s">
        <v>6620</v>
      </c>
    </row>
    <row r="1994" ht="12.75" customHeight="1">
      <c r="A1994" s="5" t="s">
        <v>6568</v>
      </c>
      <c r="B1994" s="10" t="s">
        <v>6622</v>
      </c>
      <c r="C1994" s="5" t="s">
        <v>6623</v>
      </c>
      <c r="D1994" s="5" t="s">
        <v>22</v>
      </c>
      <c r="E1994" s="5" t="s">
        <v>35</v>
      </c>
      <c r="F1994" s="5" t="s">
        <v>189</v>
      </c>
      <c r="H1994" s="5" t="s">
        <v>6213</v>
      </c>
      <c r="J1994" s="10" t="s">
        <v>72</v>
      </c>
      <c r="K1994" s="5" t="s">
        <v>6625</v>
      </c>
    </row>
    <row r="1995" ht="12.75" customHeight="1">
      <c r="A1995" s="5" t="s">
        <v>6577</v>
      </c>
      <c r="B1995" s="10" t="s">
        <v>6626</v>
      </c>
      <c r="C1995" s="5" t="s">
        <v>6623</v>
      </c>
      <c r="D1995" s="5" t="s">
        <v>22</v>
      </c>
      <c r="E1995" s="5" t="s">
        <v>42</v>
      </c>
      <c r="F1995" s="5" t="s">
        <v>720</v>
      </c>
      <c r="H1995" s="5" t="s">
        <v>6213</v>
      </c>
      <c r="I1995" s="10" t="s">
        <v>72</v>
      </c>
      <c r="J1995" s="10" t="s">
        <v>72</v>
      </c>
      <c r="K1995" s="5" t="s">
        <v>6627</v>
      </c>
    </row>
    <row r="1996" ht="12.75" customHeight="1">
      <c r="A1996" s="5" t="s">
        <v>6600</v>
      </c>
      <c r="B1996" s="10" t="s">
        <v>6628</v>
      </c>
      <c r="C1996" s="5" t="s">
        <v>6623</v>
      </c>
      <c r="D1996" s="5" t="s">
        <v>22</v>
      </c>
      <c r="E1996" s="5" t="s">
        <v>42</v>
      </c>
      <c r="F1996" s="5" t="s">
        <v>720</v>
      </c>
      <c r="H1996" s="5" t="s">
        <v>6213</v>
      </c>
      <c r="I1996" s="10" t="s">
        <v>72</v>
      </c>
      <c r="J1996" s="10" t="s">
        <v>72</v>
      </c>
      <c r="K1996" s="5" t="s">
        <v>6631</v>
      </c>
    </row>
    <row r="1997" ht="12.75" customHeight="1">
      <c r="A1997" s="5" t="s">
        <v>6632</v>
      </c>
      <c r="B1997" s="5" t="s">
        <v>6633</v>
      </c>
      <c r="D1997" s="5" t="s">
        <v>22</v>
      </c>
      <c r="E1997" s="5" t="s">
        <v>42</v>
      </c>
      <c r="F1997" s="5" t="s">
        <v>162</v>
      </c>
      <c r="H1997" s="5" t="s">
        <v>6634</v>
      </c>
      <c r="J1997" s="10" t="s">
        <v>72</v>
      </c>
    </row>
    <row r="1998" ht="12.75" customHeight="1">
      <c r="A1998" s="5" t="s">
        <v>6635</v>
      </c>
      <c r="B1998" s="5" t="s">
        <v>6636</v>
      </c>
      <c r="D1998" s="5" t="s">
        <v>22</v>
      </c>
      <c r="E1998" s="5" t="s">
        <v>42</v>
      </c>
      <c r="F1998" s="5" t="s">
        <v>575</v>
      </c>
      <c r="H1998" s="5" t="s">
        <v>6634</v>
      </c>
      <c r="J1998" s="10" t="s">
        <v>72</v>
      </c>
    </row>
    <row r="1999" ht="12.75" customHeight="1">
      <c r="A1999" s="5" t="s">
        <v>6637</v>
      </c>
      <c r="B1999" s="5" t="s">
        <v>6638</v>
      </c>
      <c r="D1999" s="5" t="s">
        <v>22</v>
      </c>
      <c r="E1999" s="5" t="s">
        <v>42</v>
      </c>
      <c r="F1999" s="5" t="s">
        <v>162</v>
      </c>
      <c r="H1999" s="5" t="s">
        <v>6634</v>
      </c>
      <c r="J1999" s="10" t="s">
        <v>72</v>
      </c>
    </row>
    <row r="2000" ht="12.75" customHeight="1">
      <c r="A2000" s="5" t="s">
        <v>6641</v>
      </c>
      <c r="B2000" s="5" t="s">
        <v>6642</v>
      </c>
      <c r="D2000" s="5" t="s">
        <v>22</v>
      </c>
      <c r="E2000" s="5" t="s">
        <v>42</v>
      </c>
      <c r="F2000" s="5" t="s">
        <v>228</v>
      </c>
      <c r="H2000" s="5" t="s">
        <v>6643</v>
      </c>
      <c r="J2000" s="10" t="s">
        <v>72</v>
      </c>
    </row>
    <row r="2001" ht="12.75" customHeight="1">
      <c r="A2001" s="5" t="s">
        <v>6644</v>
      </c>
      <c r="B2001" s="5" t="s">
        <v>6645</v>
      </c>
      <c r="D2001" s="5" t="s">
        <v>22</v>
      </c>
      <c r="E2001" s="5" t="s">
        <v>42</v>
      </c>
      <c r="F2001" s="5" t="s">
        <v>228</v>
      </c>
      <c r="H2001" s="5" t="s">
        <v>6643</v>
      </c>
      <c r="J2001" s="10" t="s">
        <v>72</v>
      </c>
    </row>
    <row r="2002" ht="12.75" customHeight="1">
      <c r="A2002" s="5" t="s">
        <v>6646</v>
      </c>
      <c r="B2002" s="5" t="s">
        <v>6647</v>
      </c>
      <c r="D2002" s="5" t="s">
        <v>22</v>
      </c>
      <c r="E2002" s="5" t="s">
        <v>42</v>
      </c>
      <c r="F2002" s="5" t="s">
        <v>3665</v>
      </c>
      <c r="H2002" s="5" t="s">
        <v>6643</v>
      </c>
      <c r="J2002" s="10" t="s">
        <v>72</v>
      </c>
    </row>
    <row r="2003" ht="12.75" customHeight="1">
      <c r="A2003" s="5" t="s">
        <v>6648</v>
      </c>
      <c r="B2003" s="5" t="s">
        <v>6650</v>
      </c>
      <c r="D2003" s="5" t="s">
        <v>22</v>
      </c>
      <c r="E2003" s="5" t="s">
        <v>35</v>
      </c>
      <c r="F2003" s="5" t="s">
        <v>77</v>
      </c>
      <c r="H2003" s="5" t="s">
        <v>6652</v>
      </c>
      <c r="J2003" s="10" t="s">
        <v>72</v>
      </c>
    </row>
    <row r="2004" ht="12.75" customHeight="1">
      <c r="A2004" s="5" t="s">
        <v>6653</v>
      </c>
      <c r="B2004" s="5" t="s">
        <v>6654</v>
      </c>
      <c r="D2004" s="5" t="s">
        <v>22</v>
      </c>
      <c r="E2004" s="5" t="s">
        <v>35</v>
      </c>
      <c r="F2004" s="5" t="s">
        <v>77</v>
      </c>
      <c r="H2004" s="5" t="s">
        <v>6652</v>
      </c>
      <c r="J2004" s="10" t="s">
        <v>72</v>
      </c>
    </row>
    <row r="2005" ht="12.75" customHeight="1">
      <c r="A2005" s="5" t="s">
        <v>6655</v>
      </c>
      <c r="B2005" s="5" t="s">
        <v>6656</v>
      </c>
      <c r="D2005" s="5" t="s">
        <v>22</v>
      </c>
      <c r="E2005" s="5" t="s">
        <v>35</v>
      </c>
      <c r="F2005" s="5" t="s">
        <v>77</v>
      </c>
      <c r="H2005" s="5" t="s">
        <v>6652</v>
      </c>
      <c r="J2005" s="10" t="s">
        <v>72</v>
      </c>
    </row>
    <row r="2006" ht="12.75" customHeight="1">
      <c r="A2006" s="5" t="s">
        <v>6657</v>
      </c>
      <c r="B2006" s="5" t="s">
        <v>6658</v>
      </c>
      <c r="D2006" s="5" t="s">
        <v>22</v>
      </c>
      <c r="E2006" s="5" t="s">
        <v>42</v>
      </c>
      <c r="F2006" s="5" t="s">
        <v>720</v>
      </c>
      <c r="H2006" s="5" t="s">
        <v>6659</v>
      </c>
      <c r="J2006" s="10" t="s">
        <v>72</v>
      </c>
    </row>
    <row r="2007" ht="12.75" customHeight="1">
      <c r="A2007" s="5" t="s">
        <v>6661</v>
      </c>
      <c r="B2007" s="5" t="s">
        <v>6663</v>
      </c>
      <c r="D2007" s="5" t="s">
        <v>22</v>
      </c>
      <c r="E2007" s="5" t="s">
        <v>35</v>
      </c>
      <c r="F2007" s="5" t="s">
        <v>868</v>
      </c>
      <c r="H2007" s="5" t="s">
        <v>6659</v>
      </c>
      <c r="J2007" s="10" t="s">
        <v>72</v>
      </c>
    </row>
    <row r="2008" ht="12.75" customHeight="1">
      <c r="A2008" s="5" t="s">
        <v>6664</v>
      </c>
      <c r="B2008" s="5" t="s">
        <v>6665</v>
      </c>
      <c r="D2008" s="5" t="s">
        <v>22</v>
      </c>
      <c r="E2008" s="5" t="s">
        <v>35</v>
      </c>
      <c r="F2008" s="5" t="s">
        <v>4630</v>
      </c>
      <c r="H2008" s="5" t="s">
        <v>6659</v>
      </c>
      <c r="J2008" s="10" t="s">
        <v>72</v>
      </c>
    </row>
    <row r="2009" ht="12.75" customHeight="1">
      <c r="A2009" s="5" t="s">
        <v>6666</v>
      </c>
      <c r="B2009" s="5" t="s">
        <v>6667</v>
      </c>
      <c r="D2009" s="5" t="s">
        <v>22</v>
      </c>
      <c r="E2009" s="5" t="s">
        <v>35</v>
      </c>
      <c r="F2009" s="5" t="s">
        <v>104</v>
      </c>
      <c r="H2009" s="5" t="s">
        <v>6659</v>
      </c>
      <c r="J2009" s="10" t="s">
        <v>72</v>
      </c>
    </row>
    <row r="2010" ht="12.75" customHeight="1">
      <c r="A2010" s="5" t="s">
        <v>6668</v>
      </c>
      <c r="B2010" s="5" t="s">
        <v>6669</v>
      </c>
      <c r="D2010" s="5" t="s">
        <v>22</v>
      </c>
      <c r="E2010" s="5" t="s">
        <v>42</v>
      </c>
      <c r="F2010" s="5" t="s">
        <v>65</v>
      </c>
      <c r="H2010" s="5" t="s">
        <v>6659</v>
      </c>
      <c r="J2010" s="10" t="s">
        <v>72</v>
      </c>
    </row>
    <row r="2011" ht="12.75" customHeight="1">
      <c r="A2011" s="5" t="s">
        <v>6672</v>
      </c>
      <c r="B2011" s="5" t="s">
        <v>6673</v>
      </c>
      <c r="D2011" s="5" t="s">
        <v>22</v>
      </c>
      <c r="E2011" s="5" t="s">
        <v>42</v>
      </c>
      <c r="F2011" s="5" t="s">
        <v>54</v>
      </c>
      <c r="H2011" s="5" t="s">
        <v>6659</v>
      </c>
      <c r="J2011" s="10" t="s">
        <v>72</v>
      </c>
    </row>
    <row r="2012" ht="12.75" customHeight="1">
      <c r="A2012" s="5" t="s">
        <v>6674</v>
      </c>
      <c r="B2012" s="5" t="s">
        <v>6675</v>
      </c>
      <c r="D2012" s="5" t="s">
        <v>22</v>
      </c>
      <c r="E2012" s="5" t="s">
        <v>42</v>
      </c>
      <c r="F2012" s="5" t="s">
        <v>238</v>
      </c>
      <c r="H2012" s="5" t="s">
        <v>6659</v>
      </c>
      <c r="J2012" s="10" t="s">
        <v>72</v>
      </c>
    </row>
    <row r="2013" ht="12.75" customHeight="1">
      <c r="A2013" s="5" t="s">
        <v>6676</v>
      </c>
      <c r="B2013" s="5" t="s">
        <v>6677</v>
      </c>
      <c r="D2013" s="5" t="s">
        <v>22</v>
      </c>
      <c r="E2013" s="5" t="s">
        <v>42</v>
      </c>
      <c r="F2013" s="5" t="s">
        <v>167</v>
      </c>
      <c r="H2013" s="5" t="s">
        <v>6659</v>
      </c>
      <c r="J2013" s="10" t="s">
        <v>72</v>
      </c>
    </row>
    <row r="2014" ht="12.75" customHeight="1">
      <c r="A2014" s="5" t="s">
        <v>6680</v>
      </c>
      <c r="B2014" s="5" t="s">
        <v>6681</v>
      </c>
      <c r="D2014" s="5" t="s">
        <v>22</v>
      </c>
      <c r="E2014" s="5" t="s">
        <v>35</v>
      </c>
      <c r="F2014" s="5" t="s">
        <v>104</v>
      </c>
      <c r="H2014" s="5" t="s">
        <v>6682</v>
      </c>
      <c r="J2014" s="10" t="s">
        <v>72</v>
      </c>
    </row>
    <row r="2015" ht="12.75" customHeight="1">
      <c r="A2015" s="5" t="s">
        <v>6683</v>
      </c>
      <c r="B2015" s="5" t="s">
        <v>6684</v>
      </c>
      <c r="D2015" s="5" t="s">
        <v>22</v>
      </c>
      <c r="E2015" s="5" t="s">
        <v>35</v>
      </c>
      <c r="F2015" s="5" t="s">
        <v>90</v>
      </c>
      <c r="H2015" s="5" t="s">
        <v>6682</v>
      </c>
      <c r="J2015" s="10" t="s">
        <v>72</v>
      </c>
    </row>
    <row r="2016" ht="12.75" customHeight="1">
      <c r="A2016" s="5" t="s">
        <v>6685</v>
      </c>
      <c r="B2016" s="5" t="s">
        <v>6686</v>
      </c>
      <c r="D2016" s="5" t="s">
        <v>22</v>
      </c>
      <c r="E2016" s="5" t="s">
        <v>35</v>
      </c>
      <c r="F2016" s="5" t="s">
        <v>619</v>
      </c>
      <c r="H2016" s="5" t="s">
        <v>6682</v>
      </c>
      <c r="J2016" s="10" t="s">
        <v>72</v>
      </c>
    </row>
    <row r="2017" ht="12.75" customHeight="1">
      <c r="A2017" s="5" t="s">
        <v>6687</v>
      </c>
      <c r="B2017" s="5" t="s">
        <v>6688</v>
      </c>
      <c r="D2017" s="5" t="s">
        <v>22</v>
      </c>
      <c r="E2017" s="5" t="s">
        <v>42</v>
      </c>
      <c r="F2017" s="5" t="s">
        <v>54</v>
      </c>
      <c r="H2017" s="5" t="s">
        <v>6682</v>
      </c>
      <c r="J2017" s="10" t="s">
        <v>72</v>
      </c>
    </row>
    <row r="2018" ht="12.75" customHeight="1">
      <c r="A2018" s="5" t="s">
        <v>6690</v>
      </c>
      <c r="B2018" s="5" t="s">
        <v>6691</v>
      </c>
      <c r="D2018" s="5" t="s">
        <v>22</v>
      </c>
      <c r="E2018" s="5" t="s">
        <v>42</v>
      </c>
      <c r="F2018" s="5" t="s">
        <v>599</v>
      </c>
      <c r="H2018" s="5" t="s">
        <v>6682</v>
      </c>
      <c r="J2018" s="10" t="s">
        <v>72</v>
      </c>
    </row>
    <row r="2019" ht="12.75" customHeight="1">
      <c r="A2019" s="5" t="s">
        <v>6693</v>
      </c>
      <c r="B2019" s="5" t="s">
        <v>6694</v>
      </c>
      <c r="D2019" s="5" t="s">
        <v>22</v>
      </c>
      <c r="E2019" s="5" t="s">
        <v>42</v>
      </c>
      <c r="F2019" s="5" t="s">
        <v>228</v>
      </c>
      <c r="H2019" s="5" t="s">
        <v>6682</v>
      </c>
      <c r="J2019" s="10" t="s">
        <v>72</v>
      </c>
    </row>
    <row r="2020" ht="12.75" customHeight="1">
      <c r="A2020" s="5" t="s">
        <v>6695</v>
      </c>
      <c r="B2020" s="5" t="s">
        <v>6696</v>
      </c>
      <c r="D2020" s="5" t="s">
        <v>22</v>
      </c>
      <c r="E2020" s="5" t="s">
        <v>42</v>
      </c>
      <c r="F2020" s="5" t="s">
        <v>228</v>
      </c>
      <c r="H2020" s="5" t="s">
        <v>6682</v>
      </c>
      <c r="J2020" s="10" t="s">
        <v>72</v>
      </c>
    </row>
    <row r="2021" ht="12.75" customHeight="1">
      <c r="A2021" s="5" t="s">
        <v>6634</v>
      </c>
      <c r="B2021" s="10" t="s">
        <v>6697</v>
      </c>
      <c r="C2021" s="5" t="s">
        <v>6353</v>
      </c>
      <c r="D2021" s="5" t="s">
        <v>22</v>
      </c>
      <c r="E2021" s="5" t="s">
        <v>42</v>
      </c>
      <c r="F2021" s="5" t="s">
        <v>228</v>
      </c>
      <c r="H2021" s="5" t="s">
        <v>6652</v>
      </c>
      <c r="I2021" s="10" t="s">
        <v>72</v>
      </c>
      <c r="J2021" s="10" t="s">
        <v>72</v>
      </c>
      <c r="K2021" s="5" t="s">
        <v>6700</v>
      </c>
    </row>
    <row r="2022" ht="12.75" customHeight="1">
      <c r="A2022" s="5" t="s">
        <v>6643</v>
      </c>
      <c r="B2022" s="10" t="s">
        <v>6701</v>
      </c>
      <c r="C2022" s="5" t="s">
        <v>6353</v>
      </c>
      <c r="D2022" s="5" t="s">
        <v>22</v>
      </c>
      <c r="E2022" s="5" t="s">
        <v>42</v>
      </c>
      <c r="F2022" s="5" t="s">
        <v>43</v>
      </c>
      <c r="H2022" s="5" t="s">
        <v>6659</v>
      </c>
      <c r="J2022" s="10" t="s">
        <v>72</v>
      </c>
      <c r="K2022" s="5" t="s">
        <v>6702</v>
      </c>
    </row>
    <row r="2023" ht="12.75" customHeight="1">
      <c r="A2023" s="5" t="s">
        <v>6652</v>
      </c>
      <c r="B2023" s="10" t="s">
        <v>6703</v>
      </c>
      <c r="C2023" s="5" t="s">
        <v>6704</v>
      </c>
      <c r="D2023" s="5" t="s">
        <v>22</v>
      </c>
      <c r="E2023" s="5" t="s">
        <v>42</v>
      </c>
      <c r="F2023" s="5" t="s">
        <v>228</v>
      </c>
      <c r="H2023" s="5" t="s">
        <v>6213</v>
      </c>
      <c r="J2023" s="10" t="s">
        <v>72</v>
      </c>
      <c r="K2023" s="5" t="s">
        <v>6705</v>
      </c>
      <c r="L2023" s="5" t="s">
        <v>6634</v>
      </c>
    </row>
    <row r="2024" ht="12.75" customHeight="1">
      <c r="A2024" s="5" t="s">
        <v>6659</v>
      </c>
      <c r="B2024" s="10" t="s">
        <v>6707</v>
      </c>
      <c r="C2024" s="5" t="s">
        <v>6704</v>
      </c>
      <c r="D2024" s="5" t="s">
        <v>22</v>
      </c>
      <c r="E2024" s="5" t="s">
        <v>42</v>
      </c>
      <c r="F2024" s="5" t="s">
        <v>720</v>
      </c>
      <c r="H2024" s="5" t="s">
        <v>6213</v>
      </c>
      <c r="I2024" s="10" t="s">
        <v>72</v>
      </c>
      <c r="J2024" s="10" t="s">
        <v>72</v>
      </c>
      <c r="K2024" s="5" t="s">
        <v>6709</v>
      </c>
    </row>
    <row r="2025" ht="12.75" customHeight="1">
      <c r="A2025" s="5" t="s">
        <v>6682</v>
      </c>
      <c r="B2025" s="5" t="s">
        <v>6710</v>
      </c>
      <c r="C2025" s="5" t="s">
        <v>6704</v>
      </c>
      <c r="D2025" s="5" t="s">
        <v>22</v>
      </c>
      <c r="E2025" s="5" t="s">
        <v>42</v>
      </c>
      <c r="F2025" s="5" t="s">
        <v>720</v>
      </c>
      <c r="H2025" s="5" t="s">
        <v>6213</v>
      </c>
      <c r="I2025" s="10" t="s">
        <v>72</v>
      </c>
      <c r="J2025" s="10" t="s">
        <v>72</v>
      </c>
      <c r="K2025" s="5" t="s">
        <v>6711</v>
      </c>
    </row>
    <row r="2026" ht="12.75" customHeight="1">
      <c r="A2026" s="5" t="s">
        <v>5227</v>
      </c>
      <c r="B2026" s="5" t="s">
        <v>6713</v>
      </c>
      <c r="C2026" s="5" t="s">
        <v>4774</v>
      </c>
      <c r="D2026" s="5" t="s">
        <v>34</v>
      </c>
      <c r="E2026" s="5" t="s">
        <v>42</v>
      </c>
      <c r="F2026" s="5" t="s">
        <v>162</v>
      </c>
      <c r="H2026" s="5" t="s">
        <v>4600</v>
      </c>
      <c r="I2026" s="10" t="s">
        <v>72</v>
      </c>
      <c r="J2026" s="10" t="s">
        <v>72</v>
      </c>
    </row>
    <row r="2027" ht="12.75" customHeight="1">
      <c r="A2027" s="5" t="s">
        <v>5384</v>
      </c>
      <c r="B2027" s="5" t="s">
        <v>6715</v>
      </c>
      <c r="C2027" s="5" t="s">
        <v>4774</v>
      </c>
      <c r="D2027" s="5" t="s">
        <v>34</v>
      </c>
      <c r="E2027" s="5" t="s">
        <v>42</v>
      </c>
      <c r="F2027" s="5" t="s">
        <v>575</v>
      </c>
      <c r="H2027" s="5" t="s">
        <v>5269</v>
      </c>
      <c r="I2027" s="10" t="s">
        <v>72</v>
      </c>
      <c r="J2027" s="10" t="s">
        <v>72</v>
      </c>
    </row>
    <row r="2028" ht="12.75" customHeight="1">
      <c r="A2028" s="5" t="s">
        <v>5541</v>
      </c>
      <c r="B2028" s="5" t="s">
        <v>6716</v>
      </c>
      <c r="C2028" s="5" t="s">
        <v>4774</v>
      </c>
      <c r="D2028" s="5" t="s">
        <v>34</v>
      </c>
      <c r="E2028" s="5" t="s">
        <v>42</v>
      </c>
      <c r="F2028" s="5" t="s">
        <v>228</v>
      </c>
      <c r="H2028" s="5" t="s">
        <v>5428</v>
      </c>
      <c r="I2028" s="10" t="s">
        <v>72</v>
      </c>
      <c r="J2028" s="10" t="s">
        <v>72</v>
      </c>
    </row>
    <row r="2029" ht="12.75" customHeight="1">
      <c r="A2029" s="5" t="s">
        <v>5695</v>
      </c>
      <c r="B2029" s="5" t="s">
        <v>6719</v>
      </c>
      <c r="C2029" s="5" t="s">
        <v>4774</v>
      </c>
      <c r="D2029" s="5" t="s">
        <v>34</v>
      </c>
      <c r="E2029" s="5" t="s">
        <v>42</v>
      </c>
      <c r="F2029" s="5" t="s">
        <v>637</v>
      </c>
      <c r="H2029" s="5" t="s">
        <v>5582</v>
      </c>
      <c r="I2029" s="10" t="s">
        <v>72</v>
      </c>
      <c r="J2029" s="10" t="s">
        <v>72</v>
      </c>
    </row>
    <row r="2030" ht="12.75" customHeight="1">
      <c r="A2030" s="5" t="s">
        <v>5853</v>
      </c>
      <c r="B2030" s="5" t="s">
        <v>6720</v>
      </c>
      <c r="C2030" s="5" t="s">
        <v>4774</v>
      </c>
      <c r="D2030" s="5" t="s">
        <v>34</v>
      </c>
      <c r="E2030" s="5" t="s">
        <v>42</v>
      </c>
      <c r="F2030" s="5" t="s">
        <v>575</v>
      </c>
      <c r="H2030" s="5" t="s">
        <v>5737</v>
      </c>
      <c r="I2030" s="10" t="s">
        <v>72</v>
      </c>
      <c r="J2030" s="10" t="s">
        <v>72</v>
      </c>
    </row>
    <row r="2031" ht="12.75" customHeight="1">
      <c r="A2031" s="5" t="s">
        <v>6010</v>
      </c>
      <c r="B2031" s="5" t="s">
        <v>6722</v>
      </c>
      <c r="C2031" s="5" t="s">
        <v>4774</v>
      </c>
      <c r="D2031" s="5" t="s">
        <v>34</v>
      </c>
      <c r="E2031" s="5" t="s">
        <v>42</v>
      </c>
      <c r="F2031" s="5" t="s">
        <v>199</v>
      </c>
      <c r="H2031" s="5" t="s">
        <v>5895</v>
      </c>
      <c r="I2031" s="10" t="s">
        <v>72</v>
      </c>
      <c r="J2031" s="10" t="s">
        <v>72</v>
      </c>
    </row>
    <row r="2032" ht="12.75" customHeight="1">
      <c r="A2032" s="5" t="s">
        <v>6724</v>
      </c>
      <c r="B2032" s="5" t="s">
        <v>6725</v>
      </c>
      <c r="C2032" s="5" t="s">
        <v>4220</v>
      </c>
      <c r="D2032" s="5" t="s">
        <v>34</v>
      </c>
      <c r="E2032" s="5" t="s">
        <v>42</v>
      </c>
      <c r="F2032" s="5" t="s">
        <v>228</v>
      </c>
      <c r="G2032" s="10" t="s">
        <v>72</v>
      </c>
      <c r="H2032" s="5" t="s">
        <v>6726</v>
      </c>
      <c r="J2032" s="10" t="s">
        <v>72</v>
      </c>
    </row>
    <row r="2033" ht="12.75" customHeight="1">
      <c r="A2033" s="5" t="s">
        <v>6727</v>
      </c>
      <c r="B2033" s="5" t="s">
        <v>6728</v>
      </c>
      <c r="C2033" s="5" t="s">
        <v>4220</v>
      </c>
      <c r="D2033" s="5" t="s">
        <v>34</v>
      </c>
      <c r="E2033" s="5" t="s">
        <v>42</v>
      </c>
      <c r="F2033" s="5" t="s">
        <v>720</v>
      </c>
      <c r="G2033" s="10" t="s">
        <v>72</v>
      </c>
      <c r="H2033" s="5" t="s">
        <v>6726</v>
      </c>
      <c r="J2033" s="10" t="s">
        <v>72</v>
      </c>
    </row>
    <row r="2034" ht="12.75" customHeight="1">
      <c r="A2034" s="5" t="s">
        <v>6731</v>
      </c>
      <c r="B2034" s="5" t="s">
        <v>6732</v>
      </c>
      <c r="C2034" s="5" t="s">
        <v>4220</v>
      </c>
      <c r="D2034" s="5" t="s">
        <v>34</v>
      </c>
      <c r="E2034" s="5" t="s">
        <v>42</v>
      </c>
      <c r="F2034" s="5" t="s">
        <v>65</v>
      </c>
      <c r="G2034" s="10" t="s">
        <v>72</v>
      </c>
      <c r="H2034" s="5" t="s">
        <v>6726</v>
      </c>
      <c r="J2034" s="10" t="s">
        <v>72</v>
      </c>
      <c r="L2034" s="5" t="s">
        <v>6733</v>
      </c>
      <c r="M2034" s="5" t="s">
        <v>6733</v>
      </c>
    </row>
    <row r="2035" ht="12.75" customHeight="1">
      <c r="A2035" s="5" t="s">
        <v>6734</v>
      </c>
      <c r="B2035" s="5" t="s">
        <v>6735</v>
      </c>
      <c r="C2035" s="5" t="s">
        <v>4220</v>
      </c>
      <c r="D2035" s="5" t="s">
        <v>34</v>
      </c>
      <c r="E2035" s="5" t="s">
        <v>42</v>
      </c>
      <c r="F2035" s="5" t="s">
        <v>199</v>
      </c>
      <c r="G2035" s="10" t="s">
        <v>72</v>
      </c>
      <c r="H2035" s="5" t="s">
        <v>6726</v>
      </c>
      <c r="J2035" s="10" t="s">
        <v>72</v>
      </c>
      <c r="L2035" s="5" t="s">
        <v>6738</v>
      </c>
      <c r="M2035" s="5" t="s">
        <v>6738</v>
      </c>
    </row>
    <row r="2036" ht="12.75" customHeight="1">
      <c r="A2036" s="5" t="s">
        <v>6739</v>
      </c>
      <c r="B2036" s="5" t="s">
        <v>6740</v>
      </c>
      <c r="C2036" s="5" t="s">
        <v>4220</v>
      </c>
      <c r="D2036" s="5" t="s">
        <v>34</v>
      </c>
      <c r="E2036" s="5" t="s">
        <v>42</v>
      </c>
      <c r="F2036" s="5" t="s">
        <v>756</v>
      </c>
      <c r="G2036" s="10" t="s">
        <v>72</v>
      </c>
      <c r="H2036" s="5" t="s">
        <v>6726</v>
      </c>
      <c r="J2036" s="10" t="s">
        <v>72</v>
      </c>
    </row>
    <row r="2037" ht="12.75" customHeight="1">
      <c r="A2037" s="5" t="s">
        <v>6741</v>
      </c>
      <c r="B2037" s="5" t="s">
        <v>6742</v>
      </c>
      <c r="C2037" s="5" t="s">
        <v>4220</v>
      </c>
      <c r="D2037" s="5" t="s">
        <v>34</v>
      </c>
      <c r="E2037" s="5" t="s">
        <v>42</v>
      </c>
      <c r="F2037" s="5" t="s">
        <v>445</v>
      </c>
      <c r="G2037" s="10" t="s">
        <v>72</v>
      </c>
      <c r="H2037" s="5" t="s">
        <v>6726</v>
      </c>
      <c r="J2037" s="10" t="s">
        <v>72</v>
      </c>
    </row>
    <row r="2038" ht="12.75" customHeight="1">
      <c r="A2038" s="5" t="s">
        <v>6744</v>
      </c>
      <c r="B2038" s="5" t="s">
        <v>6745</v>
      </c>
      <c r="C2038" s="5" t="s">
        <v>4220</v>
      </c>
      <c r="D2038" s="5" t="s">
        <v>34</v>
      </c>
      <c r="E2038" s="5" t="s">
        <v>42</v>
      </c>
      <c r="F2038" s="5" t="s">
        <v>199</v>
      </c>
      <c r="G2038" s="10" t="s">
        <v>72</v>
      </c>
      <c r="H2038" s="5" t="s">
        <v>6726</v>
      </c>
      <c r="J2038" s="10" t="s">
        <v>72</v>
      </c>
    </row>
    <row r="2039" ht="12.75" customHeight="1">
      <c r="A2039" s="5" t="s">
        <v>6747</v>
      </c>
      <c r="B2039" s="5" t="s">
        <v>6748</v>
      </c>
      <c r="C2039" s="5" t="s">
        <v>4220</v>
      </c>
      <c r="D2039" s="5" t="s">
        <v>34</v>
      </c>
      <c r="E2039" s="5" t="s">
        <v>42</v>
      </c>
      <c r="F2039" s="5" t="s">
        <v>162</v>
      </c>
      <c r="G2039" s="10" t="s">
        <v>72</v>
      </c>
      <c r="H2039" s="5" t="s">
        <v>6726</v>
      </c>
      <c r="J2039" s="10" t="s">
        <v>72</v>
      </c>
      <c r="L2039" s="5" t="s">
        <v>6749</v>
      </c>
      <c r="M2039" s="5" t="s">
        <v>6749</v>
      </c>
    </row>
    <row r="2040" ht="12.75" customHeight="1">
      <c r="A2040" s="5" t="s">
        <v>6750</v>
      </c>
      <c r="B2040" s="5" t="s">
        <v>6751</v>
      </c>
      <c r="C2040" s="5" t="s">
        <v>4220</v>
      </c>
      <c r="D2040" s="5" t="s">
        <v>34</v>
      </c>
      <c r="E2040" s="5" t="s">
        <v>42</v>
      </c>
      <c r="F2040" s="5" t="s">
        <v>720</v>
      </c>
      <c r="G2040" s="10" t="s">
        <v>72</v>
      </c>
      <c r="H2040" s="5" t="s">
        <v>6726</v>
      </c>
      <c r="J2040" s="10" t="s">
        <v>72</v>
      </c>
      <c r="L2040" s="5" t="s">
        <v>6752</v>
      </c>
      <c r="M2040" s="5" t="s">
        <v>6752</v>
      </c>
    </row>
    <row r="2041" ht="12.75" customHeight="1">
      <c r="A2041" s="5" t="s">
        <v>6726</v>
      </c>
      <c r="B2041" s="5" t="s">
        <v>6754</v>
      </c>
      <c r="D2041" s="5" t="s">
        <v>50</v>
      </c>
      <c r="E2041" s="5" t="s">
        <v>42</v>
      </c>
      <c r="F2041" s="5" t="s">
        <v>720</v>
      </c>
      <c r="G2041" s="10" t="s">
        <v>72</v>
      </c>
      <c r="H2041" s="5" t="s">
        <v>4183</v>
      </c>
      <c r="I2041" s="10" t="s">
        <v>72</v>
      </c>
      <c r="J2041" s="10" t="s">
        <v>72</v>
      </c>
      <c r="K2041" s="5" t="s">
        <v>6756</v>
      </c>
    </row>
    <row r="2042" ht="12.75" customHeight="1">
      <c r="A2042" s="5" t="s">
        <v>6757</v>
      </c>
      <c r="B2042" s="5" t="s">
        <v>6758</v>
      </c>
      <c r="C2042" s="5" t="s">
        <v>4272</v>
      </c>
      <c r="D2042" s="5" t="s">
        <v>34</v>
      </c>
      <c r="E2042" s="5" t="s">
        <v>35</v>
      </c>
      <c r="F2042" s="5" t="s">
        <v>868</v>
      </c>
      <c r="G2042" s="10" t="s">
        <v>72</v>
      </c>
      <c r="H2042" s="5" t="s">
        <v>6759</v>
      </c>
      <c r="J2042" s="10" t="s">
        <v>72</v>
      </c>
      <c r="L2042" s="5" t="s">
        <v>6760</v>
      </c>
      <c r="M2042" s="5" t="s">
        <v>6760</v>
      </c>
    </row>
    <row r="2043" ht="12.75" customHeight="1">
      <c r="A2043" s="5" t="s">
        <v>6762</v>
      </c>
      <c r="B2043" s="5" t="s">
        <v>6763</v>
      </c>
      <c r="C2043" s="5" t="s">
        <v>4272</v>
      </c>
      <c r="D2043" s="5" t="s">
        <v>34</v>
      </c>
      <c r="E2043" s="5" t="s">
        <v>35</v>
      </c>
      <c r="F2043" s="5" t="s">
        <v>619</v>
      </c>
      <c r="G2043" s="10" t="s">
        <v>72</v>
      </c>
      <c r="H2043" s="5" t="s">
        <v>6759</v>
      </c>
      <c r="J2043" s="10" t="s">
        <v>72</v>
      </c>
    </row>
    <row r="2044" ht="12.75" customHeight="1">
      <c r="A2044" s="5" t="s">
        <v>6765</v>
      </c>
      <c r="B2044" s="5" t="s">
        <v>6766</v>
      </c>
      <c r="C2044" s="5" t="s">
        <v>4272</v>
      </c>
      <c r="D2044" s="5" t="s">
        <v>34</v>
      </c>
      <c r="E2044" s="5" t="s">
        <v>35</v>
      </c>
      <c r="F2044" s="5" t="s">
        <v>695</v>
      </c>
      <c r="G2044" s="10" t="s">
        <v>72</v>
      </c>
      <c r="H2044" s="5" t="s">
        <v>6759</v>
      </c>
      <c r="J2044" s="10" t="s">
        <v>72</v>
      </c>
    </row>
    <row r="2045" ht="12.75" customHeight="1">
      <c r="A2045" s="5" t="s">
        <v>4876</v>
      </c>
      <c r="B2045" s="5" t="s">
        <v>6767</v>
      </c>
      <c r="C2045" s="5" t="s">
        <v>4272</v>
      </c>
      <c r="D2045" s="5" t="s">
        <v>34</v>
      </c>
      <c r="E2045" s="5" t="s">
        <v>42</v>
      </c>
      <c r="F2045" s="5" t="s">
        <v>637</v>
      </c>
      <c r="G2045" s="10" t="s">
        <v>72</v>
      </c>
      <c r="H2045" s="5" t="s">
        <v>6759</v>
      </c>
      <c r="J2045" s="10" t="s">
        <v>72</v>
      </c>
      <c r="K2045" s="5" t="s">
        <v>4877</v>
      </c>
      <c r="L2045" s="5" t="s">
        <v>6770</v>
      </c>
      <c r="M2045" s="5" t="s">
        <v>6771</v>
      </c>
    </row>
    <row r="2046" ht="12.75" customHeight="1">
      <c r="A2046" s="5" t="s">
        <v>6772</v>
      </c>
      <c r="B2046" s="5" t="s">
        <v>6773</v>
      </c>
      <c r="C2046" s="5" t="s">
        <v>4272</v>
      </c>
      <c r="D2046" s="5" t="s">
        <v>34</v>
      </c>
      <c r="E2046" s="5" t="s">
        <v>42</v>
      </c>
      <c r="F2046" s="5" t="s">
        <v>657</v>
      </c>
      <c r="G2046" s="10" t="s">
        <v>72</v>
      </c>
      <c r="H2046" s="5" t="s">
        <v>6759</v>
      </c>
      <c r="J2046" s="10" t="s">
        <v>72</v>
      </c>
    </row>
    <row r="2047" ht="12.75" customHeight="1">
      <c r="A2047" s="5" t="s">
        <v>6774</v>
      </c>
      <c r="B2047" s="5" t="s">
        <v>6775</v>
      </c>
      <c r="C2047" s="5" t="s">
        <v>4272</v>
      </c>
      <c r="D2047" s="5" t="s">
        <v>34</v>
      </c>
      <c r="E2047" s="5" t="s">
        <v>42</v>
      </c>
      <c r="F2047" s="5" t="s">
        <v>634</v>
      </c>
      <c r="G2047" s="10" t="s">
        <v>72</v>
      </c>
      <c r="H2047" s="5" t="s">
        <v>6759</v>
      </c>
      <c r="J2047" s="10" t="s">
        <v>72</v>
      </c>
    </row>
    <row r="2048" ht="12.75" customHeight="1">
      <c r="A2048" s="5" t="s">
        <v>6777</v>
      </c>
      <c r="B2048" s="5" t="s">
        <v>6778</v>
      </c>
      <c r="C2048" s="5" t="s">
        <v>4272</v>
      </c>
      <c r="D2048" s="5" t="s">
        <v>34</v>
      </c>
      <c r="E2048" s="5" t="s">
        <v>42</v>
      </c>
      <c r="F2048" s="5" t="s">
        <v>228</v>
      </c>
      <c r="G2048" s="10" t="s">
        <v>72</v>
      </c>
      <c r="H2048" s="5" t="s">
        <v>6759</v>
      </c>
      <c r="J2048" s="10" t="s">
        <v>72</v>
      </c>
    </row>
    <row r="2049" ht="12.75" customHeight="1">
      <c r="A2049" s="5" t="s">
        <v>6780</v>
      </c>
      <c r="B2049" s="5" t="s">
        <v>6781</v>
      </c>
      <c r="C2049" s="5" t="s">
        <v>4272</v>
      </c>
      <c r="D2049" s="5" t="s">
        <v>34</v>
      </c>
      <c r="E2049" s="5" t="s">
        <v>42</v>
      </c>
      <c r="F2049" s="5" t="s">
        <v>657</v>
      </c>
      <c r="G2049" s="10" t="s">
        <v>72</v>
      </c>
      <c r="H2049" s="5" t="s">
        <v>6759</v>
      </c>
      <c r="J2049" s="10" t="s">
        <v>72</v>
      </c>
    </row>
    <row r="2050" ht="12.75" customHeight="1">
      <c r="A2050" s="5" t="s">
        <v>6782</v>
      </c>
      <c r="B2050" s="5" t="s">
        <v>6783</v>
      </c>
      <c r="C2050" s="5" t="s">
        <v>4272</v>
      </c>
      <c r="D2050" s="5" t="s">
        <v>34</v>
      </c>
      <c r="E2050" s="5" t="s">
        <v>42</v>
      </c>
      <c r="F2050" s="5" t="s">
        <v>637</v>
      </c>
      <c r="G2050" s="10" t="s">
        <v>72</v>
      </c>
      <c r="H2050" s="5" t="s">
        <v>6759</v>
      </c>
      <c r="J2050" s="10" t="s">
        <v>72</v>
      </c>
    </row>
    <row r="2051" ht="12.75" customHeight="1">
      <c r="A2051" s="5" t="s">
        <v>6759</v>
      </c>
      <c r="B2051" s="5" t="s">
        <v>6786</v>
      </c>
      <c r="D2051" s="5" t="s">
        <v>34</v>
      </c>
      <c r="E2051" s="5" t="s">
        <v>42</v>
      </c>
      <c r="F2051" s="5" t="s">
        <v>228</v>
      </c>
      <c r="G2051" s="10" t="s">
        <v>72</v>
      </c>
      <c r="H2051" s="5" t="s">
        <v>4589</v>
      </c>
      <c r="I2051" s="10" t="s">
        <v>72</v>
      </c>
      <c r="J2051" s="10" t="s">
        <v>72</v>
      </c>
      <c r="K2051" s="5" t="s">
        <v>6787</v>
      </c>
    </row>
    <row r="2052" ht="12.75" customHeight="1">
      <c r="A2052" s="5" t="s">
        <v>3610</v>
      </c>
      <c r="B2052" s="5" t="s">
        <v>6788</v>
      </c>
      <c r="C2052" s="5" t="s">
        <v>6789</v>
      </c>
      <c r="D2052" s="5" t="s">
        <v>34</v>
      </c>
      <c r="E2052" s="5" t="s">
        <v>42</v>
      </c>
      <c r="F2052" s="5" t="s">
        <v>199</v>
      </c>
      <c r="G2052" s="10" t="s">
        <v>72</v>
      </c>
      <c r="J2052" s="10" t="s">
        <v>72</v>
      </c>
      <c r="K2052" s="5" t="s">
        <v>6791</v>
      </c>
    </row>
    <row r="2053" ht="12.75" customHeight="1">
      <c r="A2053" s="5" t="s">
        <v>6793</v>
      </c>
      <c r="B2053" s="5" t="s">
        <v>6794</v>
      </c>
      <c r="D2053" s="5" t="s">
        <v>50</v>
      </c>
      <c r="E2053" s="5" t="s">
        <v>35</v>
      </c>
      <c r="F2053" s="5" t="s">
        <v>913</v>
      </c>
      <c r="G2053" s="10" t="s">
        <v>72</v>
      </c>
      <c r="H2053" s="5" t="s">
        <v>3610</v>
      </c>
      <c r="J2053" s="10" t="s">
        <v>72</v>
      </c>
      <c r="K2053" s="5" t="s">
        <v>6795</v>
      </c>
    </row>
    <row r="2054" ht="12.75" customHeight="1">
      <c r="A2054" s="5" t="s">
        <v>6796</v>
      </c>
      <c r="B2054" s="5" t="s">
        <v>6797</v>
      </c>
      <c r="D2054" s="5" t="s">
        <v>50</v>
      </c>
      <c r="E2054" s="5" t="s">
        <v>42</v>
      </c>
      <c r="F2054" s="5" t="s">
        <v>720</v>
      </c>
      <c r="G2054" s="10" t="s">
        <v>72</v>
      </c>
      <c r="H2054" s="5" t="s">
        <v>3610</v>
      </c>
      <c r="J2054" s="10" t="s">
        <v>72</v>
      </c>
      <c r="K2054" s="5" t="s">
        <v>6798</v>
      </c>
    </row>
    <row r="2055" ht="12.75" customHeight="1">
      <c r="A2055" s="5" t="s">
        <v>6799</v>
      </c>
      <c r="B2055" s="5" t="s">
        <v>6801</v>
      </c>
      <c r="D2055" s="5" t="s">
        <v>34</v>
      </c>
      <c r="E2055" s="5" t="s">
        <v>35</v>
      </c>
      <c r="F2055" s="5" t="s">
        <v>71</v>
      </c>
      <c r="G2055" s="10" t="s">
        <v>72</v>
      </c>
      <c r="H2055" s="5" t="s">
        <v>3610</v>
      </c>
      <c r="J2055" s="10" t="s">
        <v>72</v>
      </c>
      <c r="K2055" s="5" t="s">
        <v>6803</v>
      </c>
    </row>
    <row r="2056" ht="12.75" customHeight="1">
      <c r="A2056" s="5" t="s">
        <v>2782</v>
      </c>
      <c r="B2056" s="5" t="s">
        <v>6804</v>
      </c>
      <c r="D2056" s="5" t="s">
        <v>34</v>
      </c>
      <c r="E2056" s="5" t="s">
        <v>42</v>
      </c>
      <c r="F2056" s="5" t="s">
        <v>575</v>
      </c>
      <c r="G2056" s="10" t="s">
        <v>72</v>
      </c>
      <c r="H2056" s="5" t="s">
        <v>3610</v>
      </c>
      <c r="J2056" s="10" t="s">
        <v>72</v>
      </c>
      <c r="K2056" s="5" t="s">
        <v>6805</v>
      </c>
    </row>
    <row r="2057" ht="12.75" customHeight="1">
      <c r="A2057" s="5" t="s">
        <v>6806</v>
      </c>
      <c r="B2057" s="5" t="s">
        <v>6807</v>
      </c>
      <c r="D2057" s="5" t="s">
        <v>74</v>
      </c>
      <c r="E2057" s="5" t="s">
        <v>35</v>
      </c>
      <c r="F2057" s="5" t="s">
        <v>713</v>
      </c>
      <c r="G2057" s="10" t="s">
        <v>72</v>
      </c>
      <c r="H2057" s="5" t="s">
        <v>3610</v>
      </c>
      <c r="J2057" s="10" t="s">
        <v>72</v>
      </c>
      <c r="K2057" s="5" t="s">
        <v>6809</v>
      </c>
    </row>
    <row r="2058" ht="12.75" customHeight="1">
      <c r="A2058" s="5" t="s">
        <v>6811</v>
      </c>
      <c r="B2058" s="5" t="s">
        <v>6812</v>
      </c>
      <c r="D2058" s="5" t="s">
        <v>74</v>
      </c>
      <c r="E2058" s="5" t="s">
        <v>42</v>
      </c>
      <c r="F2058" s="5" t="s">
        <v>445</v>
      </c>
      <c r="G2058" s="10" t="s">
        <v>72</v>
      </c>
      <c r="H2058" s="5" t="s">
        <v>3610</v>
      </c>
      <c r="J2058" s="10" t="s">
        <v>72</v>
      </c>
      <c r="K2058" s="5" t="s">
        <v>6813</v>
      </c>
    </row>
    <row r="2059" ht="12.75" customHeight="1">
      <c r="A2059" s="5" t="s">
        <v>6814</v>
      </c>
      <c r="B2059" s="5" t="s">
        <v>6815</v>
      </c>
      <c r="D2059" s="5" t="s">
        <v>80</v>
      </c>
      <c r="E2059" s="5" t="s">
        <v>35</v>
      </c>
      <c r="F2059" s="5" t="s">
        <v>1868</v>
      </c>
      <c r="G2059" s="10" t="s">
        <v>72</v>
      </c>
      <c r="H2059" s="5" t="s">
        <v>3610</v>
      </c>
      <c r="J2059" s="10" t="s">
        <v>72</v>
      </c>
    </row>
    <row r="2060" ht="12.75" customHeight="1">
      <c r="A2060" s="5" t="s">
        <v>6816</v>
      </c>
      <c r="B2060" s="5" t="s">
        <v>6817</v>
      </c>
      <c r="D2060" s="5" t="s">
        <v>80</v>
      </c>
      <c r="E2060" s="5" t="s">
        <v>42</v>
      </c>
      <c r="F2060" s="5" t="s">
        <v>2420</v>
      </c>
      <c r="G2060" s="10" t="s">
        <v>72</v>
      </c>
      <c r="H2060" s="5" t="s">
        <v>3610</v>
      </c>
      <c r="J2060" s="10" t="s">
        <v>72</v>
      </c>
      <c r="K2060" s="5" t="s">
        <v>6819</v>
      </c>
    </row>
    <row r="2061" ht="12.75" customHeight="1">
      <c r="A2061" s="5" t="s">
        <v>6821</v>
      </c>
      <c r="B2061" s="5" t="s">
        <v>6822</v>
      </c>
      <c r="D2061" s="5" t="s">
        <v>50</v>
      </c>
      <c r="E2061" s="5" t="s">
        <v>35</v>
      </c>
      <c r="F2061" s="5" t="s">
        <v>616</v>
      </c>
      <c r="G2061" s="10" t="s">
        <v>72</v>
      </c>
      <c r="H2061" s="5" t="s">
        <v>6823</v>
      </c>
      <c r="I2061" s="10" t="s">
        <v>72</v>
      </c>
      <c r="J2061" s="10" t="s">
        <v>72</v>
      </c>
    </row>
    <row r="2062" ht="12.75" customHeight="1">
      <c r="A2062" s="5" t="s">
        <v>6824</v>
      </c>
      <c r="B2062" s="5" t="s">
        <v>6825</v>
      </c>
      <c r="D2062" s="5" t="s">
        <v>50</v>
      </c>
      <c r="E2062" s="5" t="s">
        <v>42</v>
      </c>
      <c r="F2062" s="5" t="s">
        <v>43</v>
      </c>
      <c r="G2062" s="10" t="s">
        <v>72</v>
      </c>
      <c r="H2062" s="5" t="s">
        <v>6826</v>
      </c>
      <c r="I2062" s="10" t="s">
        <v>72</v>
      </c>
      <c r="J2062" s="10" t="s">
        <v>72</v>
      </c>
    </row>
    <row r="2063" ht="12.75" customHeight="1">
      <c r="A2063" s="5" t="s">
        <v>6827</v>
      </c>
      <c r="B2063" s="5" t="s">
        <v>6828</v>
      </c>
      <c r="D2063" s="5" t="s">
        <v>50</v>
      </c>
      <c r="E2063" s="5" t="s">
        <v>35</v>
      </c>
      <c r="F2063" s="5" t="s">
        <v>616</v>
      </c>
      <c r="G2063" s="10" t="s">
        <v>72</v>
      </c>
      <c r="H2063" s="5" t="s">
        <v>6823</v>
      </c>
      <c r="I2063" s="10" t="s">
        <v>72</v>
      </c>
      <c r="J2063" s="10" t="s">
        <v>72</v>
      </c>
    </row>
    <row r="2064" ht="12.75" customHeight="1">
      <c r="A2064" s="5" t="s">
        <v>6831</v>
      </c>
      <c r="B2064" s="5" t="s">
        <v>6832</v>
      </c>
      <c r="D2064" s="5" t="s">
        <v>50</v>
      </c>
      <c r="E2064" s="5" t="s">
        <v>42</v>
      </c>
      <c r="F2064" s="5" t="s">
        <v>43</v>
      </c>
      <c r="G2064" s="10" t="s">
        <v>72</v>
      </c>
      <c r="H2064" s="5" t="s">
        <v>6826</v>
      </c>
      <c r="I2064" s="10" t="s">
        <v>72</v>
      </c>
      <c r="J2064" s="10" t="s">
        <v>72</v>
      </c>
    </row>
    <row r="2065" ht="12.75" customHeight="1">
      <c r="A2065" s="5" t="s">
        <v>6823</v>
      </c>
      <c r="B2065" s="5" t="s">
        <v>6833</v>
      </c>
      <c r="C2065" s="5" t="s">
        <v>6834</v>
      </c>
      <c r="D2065" s="5" t="s">
        <v>50</v>
      </c>
      <c r="E2065" s="5" t="s">
        <v>35</v>
      </c>
      <c r="F2065" s="5" t="s">
        <v>616</v>
      </c>
      <c r="G2065" s="10" t="s">
        <v>72</v>
      </c>
      <c r="J2065" s="10" t="s">
        <v>72</v>
      </c>
      <c r="L2065" s="5" t="s">
        <v>6835</v>
      </c>
      <c r="M2065" s="5" t="s">
        <v>6835</v>
      </c>
    </row>
    <row r="2066" ht="12.75" customHeight="1">
      <c r="A2066" s="5" t="s">
        <v>6826</v>
      </c>
      <c r="B2066" s="5" t="s">
        <v>6837</v>
      </c>
      <c r="C2066" s="5" t="s">
        <v>6834</v>
      </c>
      <c r="D2066" s="5" t="s">
        <v>50</v>
      </c>
      <c r="E2066" s="5" t="s">
        <v>42</v>
      </c>
      <c r="F2066" s="5" t="s">
        <v>43</v>
      </c>
      <c r="G2066" s="10" t="s">
        <v>72</v>
      </c>
      <c r="J2066" s="10" t="s">
        <v>72</v>
      </c>
      <c r="L2066" s="5" t="s">
        <v>6839</v>
      </c>
      <c r="M2066" s="5" t="s">
        <v>6839</v>
      </c>
    </row>
    <row r="2067" ht="12.75" customHeight="1">
      <c r="A2067" s="5" t="s">
        <v>6840</v>
      </c>
      <c r="B2067" s="5" t="s">
        <v>6841</v>
      </c>
      <c r="D2067" s="5" t="s">
        <v>67</v>
      </c>
      <c r="E2067" s="5" t="s">
        <v>42</v>
      </c>
      <c r="F2067" s="5" t="s">
        <v>1672</v>
      </c>
      <c r="H2067" s="5" t="s">
        <v>6842</v>
      </c>
      <c r="J2067" s="10" t="s">
        <v>72</v>
      </c>
    </row>
    <row r="2068" ht="12.75" customHeight="1">
      <c r="A2068" s="5" t="s">
        <v>6843</v>
      </c>
      <c r="B2068" s="5" t="s">
        <v>6844</v>
      </c>
      <c r="D2068" s="5" t="s">
        <v>67</v>
      </c>
      <c r="E2068" s="5" t="s">
        <v>42</v>
      </c>
      <c r="F2068" s="5" t="s">
        <v>1308</v>
      </c>
      <c r="H2068" s="5" t="s">
        <v>6842</v>
      </c>
      <c r="J2068" s="10" t="s">
        <v>72</v>
      </c>
    </row>
    <row r="2069" ht="12.75" customHeight="1">
      <c r="A2069" s="5" t="s">
        <v>6846</v>
      </c>
      <c r="B2069" s="5" t="s">
        <v>6847</v>
      </c>
      <c r="D2069" s="5" t="s">
        <v>67</v>
      </c>
      <c r="E2069" s="5" t="s">
        <v>42</v>
      </c>
      <c r="F2069" s="5" t="s">
        <v>1260</v>
      </c>
      <c r="H2069" s="5" t="s">
        <v>6842</v>
      </c>
      <c r="J2069" s="10" t="s">
        <v>72</v>
      </c>
    </row>
    <row r="2070" ht="12.75" customHeight="1">
      <c r="A2070" s="5" t="s">
        <v>6849</v>
      </c>
      <c r="B2070" s="5" t="s">
        <v>6850</v>
      </c>
      <c r="D2070" s="5" t="s">
        <v>67</v>
      </c>
      <c r="E2070" s="5" t="s">
        <v>42</v>
      </c>
      <c r="F2070" s="5" t="s">
        <v>1587</v>
      </c>
      <c r="H2070" s="5" t="s">
        <v>6842</v>
      </c>
      <c r="J2070" s="10" t="s">
        <v>72</v>
      </c>
    </row>
    <row r="2071" ht="12.75" customHeight="1">
      <c r="A2071" s="5" t="s">
        <v>6851</v>
      </c>
      <c r="B2071" s="5" t="s">
        <v>6852</v>
      </c>
      <c r="D2071" s="5" t="s">
        <v>67</v>
      </c>
      <c r="E2071" s="5" t="s">
        <v>42</v>
      </c>
      <c r="F2071" s="5" t="s">
        <v>654</v>
      </c>
      <c r="H2071" s="5" t="s">
        <v>6842</v>
      </c>
      <c r="J2071" s="10" t="s">
        <v>72</v>
      </c>
    </row>
    <row r="2072" ht="12.75" customHeight="1">
      <c r="A2072" s="5" t="s">
        <v>6842</v>
      </c>
      <c r="B2072" s="5" t="s">
        <v>6854</v>
      </c>
      <c r="C2072" s="5" t="s">
        <v>6855</v>
      </c>
      <c r="D2072" s="5" t="s">
        <v>67</v>
      </c>
      <c r="E2072" s="5" t="s">
        <v>42</v>
      </c>
      <c r="F2072" s="5" t="s">
        <v>566</v>
      </c>
      <c r="H2072" s="5" t="s">
        <v>5106</v>
      </c>
      <c r="J2072" s="10" t="s">
        <v>72</v>
      </c>
      <c r="K2072" s="5" t="s">
        <v>6857</v>
      </c>
    </row>
    <row r="2073" ht="12.75" customHeight="1">
      <c r="A2073" s="5" t="s">
        <v>1970</v>
      </c>
      <c r="B2073" s="5" t="s">
        <v>6858</v>
      </c>
      <c r="C2073" s="5" t="s">
        <v>6859</v>
      </c>
      <c r="D2073" s="5" t="s">
        <v>50</v>
      </c>
      <c r="E2073" s="5" t="s">
        <v>42</v>
      </c>
      <c r="F2073" s="5" t="s">
        <v>228</v>
      </c>
      <c r="J2073" s="10" t="s">
        <v>72</v>
      </c>
      <c r="L2073" s="5" t="s">
        <v>6860</v>
      </c>
    </row>
    <row r="2074" ht="12.75" customHeight="1">
      <c r="A2074" s="5" t="s">
        <v>6861</v>
      </c>
      <c r="B2074" s="5" t="s">
        <v>6862</v>
      </c>
      <c r="D2074" s="5" t="s">
        <v>50</v>
      </c>
      <c r="E2074" s="5" t="s">
        <v>42</v>
      </c>
      <c r="F2074" s="5" t="s">
        <v>228</v>
      </c>
      <c r="H2074" s="5" t="s">
        <v>1970</v>
      </c>
      <c r="I2074" s="10" t="s">
        <v>72</v>
      </c>
      <c r="J2074" s="10" t="s">
        <v>72</v>
      </c>
    </row>
    <row r="2075" ht="12.75" customHeight="1">
      <c r="A2075" s="5" t="s">
        <v>6865</v>
      </c>
      <c r="B2075" s="5" t="s">
        <v>6866</v>
      </c>
      <c r="D2075" s="5" t="s">
        <v>50</v>
      </c>
      <c r="E2075" s="5" t="s">
        <v>42</v>
      </c>
      <c r="F2075" s="5" t="s">
        <v>228</v>
      </c>
      <c r="H2075" s="5" t="s">
        <v>1970</v>
      </c>
      <c r="I2075" s="10" t="s">
        <v>72</v>
      </c>
      <c r="J2075" s="10" t="s">
        <v>72</v>
      </c>
    </row>
    <row r="2076" ht="12.75" customHeight="1">
      <c r="A2076" s="5" t="s">
        <v>6867</v>
      </c>
      <c r="B2076" s="5" t="s">
        <v>6868</v>
      </c>
      <c r="D2076" s="5" t="s">
        <v>50</v>
      </c>
      <c r="E2076" s="5" t="s">
        <v>42</v>
      </c>
      <c r="F2076" s="5" t="s">
        <v>228</v>
      </c>
      <c r="H2076" s="5" t="s">
        <v>1970</v>
      </c>
      <c r="I2076" s="10" t="s">
        <v>72</v>
      </c>
      <c r="J2076" s="10" t="s">
        <v>72</v>
      </c>
    </row>
    <row r="2077" ht="12.75" customHeight="1">
      <c r="A2077" s="5" t="s">
        <v>6869</v>
      </c>
      <c r="B2077" s="5" t="s">
        <v>6870</v>
      </c>
      <c r="D2077" s="5" t="s">
        <v>50</v>
      </c>
      <c r="E2077" s="5" t="s">
        <v>42</v>
      </c>
      <c r="F2077" s="5" t="s">
        <v>228</v>
      </c>
      <c r="H2077" s="5" t="s">
        <v>1970</v>
      </c>
      <c r="I2077" s="10" t="s">
        <v>72</v>
      </c>
      <c r="J2077" s="10" t="s">
        <v>72</v>
      </c>
    </row>
    <row r="2078" ht="12.75" customHeight="1">
      <c r="A2078" s="5" t="s">
        <v>6873</v>
      </c>
      <c r="B2078" s="5" t="s">
        <v>6874</v>
      </c>
      <c r="D2078" s="5" t="s">
        <v>50</v>
      </c>
      <c r="E2078" s="5" t="s">
        <v>42</v>
      </c>
      <c r="F2078" s="5" t="s">
        <v>228</v>
      </c>
      <c r="H2078" s="5" t="s">
        <v>1970</v>
      </c>
      <c r="I2078" s="10" t="s">
        <v>72</v>
      </c>
      <c r="J2078" s="10" t="s">
        <v>72</v>
      </c>
    </row>
    <row r="2079" ht="12.75" customHeight="1">
      <c r="A2079" s="5" t="s">
        <v>6875</v>
      </c>
      <c r="B2079" s="5" t="s">
        <v>6876</v>
      </c>
      <c r="D2079" s="5" t="s">
        <v>50</v>
      </c>
      <c r="E2079" s="5" t="s">
        <v>42</v>
      </c>
      <c r="F2079" s="5" t="s">
        <v>228</v>
      </c>
      <c r="H2079" s="5" t="s">
        <v>1970</v>
      </c>
      <c r="I2079" s="10" t="s">
        <v>72</v>
      </c>
      <c r="J2079" s="10" t="s">
        <v>72</v>
      </c>
    </row>
    <row r="2080" ht="12.75" customHeight="1">
      <c r="A2080" s="5" t="s">
        <v>6877</v>
      </c>
      <c r="B2080" s="5" t="s">
        <v>6878</v>
      </c>
      <c r="D2080" s="5" t="s">
        <v>50</v>
      </c>
      <c r="E2080" s="5" t="s">
        <v>42</v>
      </c>
      <c r="F2080" s="5" t="s">
        <v>228</v>
      </c>
      <c r="H2080" s="5" t="s">
        <v>1970</v>
      </c>
      <c r="I2080" s="10" t="s">
        <v>72</v>
      </c>
      <c r="J2080" s="10" t="s">
        <v>72</v>
      </c>
    </row>
    <row r="2081" ht="12.75" customHeight="1">
      <c r="A2081" s="5" t="s">
        <v>6880</v>
      </c>
      <c r="B2081" s="5" t="s">
        <v>6882</v>
      </c>
      <c r="D2081" s="5" t="s">
        <v>50</v>
      </c>
      <c r="E2081" s="5" t="s">
        <v>42</v>
      </c>
      <c r="F2081" s="5" t="s">
        <v>228</v>
      </c>
      <c r="H2081" s="5" t="s">
        <v>1970</v>
      </c>
      <c r="I2081" s="10" t="s">
        <v>72</v>
      </c>
      <c r="J2081" s="10" t="s">
        <v>72</v>
      </c>
    </row>
    <row r="2082" ht="12.75" customHeight="1">
      <c r="A2082" s="5" t="s">
        <v>6883</v>
      </c>
      <c r="B2082" s="5" t="s">
        <v>6884</v>
      </c>
      <c r="D2082" s="5" t="s">
        <v>50</v>
      </c>
      <c r="E2082" s="5" t="s">
        <v>42</v>
      </c>
      <c r="F2082" s="5" t="s">
        <v>228</v>
      </c>
      <c r="H2082" s="5" t="s">
        <v>1970</v>
      </c>
      <c r="I2082" s="10" t="s">
        <v>72</v>
      </c>
      <c r="J2082" s="10" t="s">
        <v>72</v>
      </c>
    </row>
    <row r="2083" ht="12.75" customHeight="1">
      <c r="A2083" s="5" t="s">
        <v>6885</v>
      </c>
      <c r="B2083" s="5" t="s">
        <v>6886</v>
      </c>
      <c r="D2083" s="5" t="s">
        <v>50</v>
      </c>
      <c r="E2083" s="5" t="s">
        <v>42</v>
      </c>
      <c r="F2083" s="5" t="s">
        <v>228</v>
      </c>
      <c r="H2083" s="5" t="s">
        <v>1970</v>
      </c>
      <c r="I2083" s="10" t="s">
        <v>72</v>
      </c>
      <c r="J2083" s="10" t="s">
        <v>72</v>
      </c>
    </row>
    <row r="2084" ht="12.75" customHeight="1">
      <c r="A2084" s="5" t="s">
        <v>6887</v>
      </c>
      <c r="B2084" s="5" t="s">
        <v>6889</v>
      </c>
      <c r="D2084" s="5" t="s">
        <v>50</v>
      </c>
      <c r="E2084" s="5" t="s">
        <v>42</v>
      </c>
      <c r="F2084" s="5" t="s">
        <v>228</v>
      </c>
      <c r="H2084" s="5" t="s">
        <v>1970</v>
      </c>
      <c r="I2084" s="10" t="s">
        <v>72</v>
      </c>
      <c r="J2084" s="10" t="s">
        <v>72</v>
      </c>
    </row>
    <row r="2085" ht="12.75" customHeight="1">
      <c r="A2085" s="5" t="s">
        <v>6891</v>
      </c>
      <c r="B2085" s="5" t="s">
        <v>6892</v>
      </c>
      <c r="D2085" s="5" t="s">
        <v>50</v>
      </c>
      <c r="E2085" s="5" t="s">
        <v>42</v>
      </c>
      <c r="F2085" s="5" t="s">
        <v>228</v>
      </c>
      <c r="H2085" s="5" t="s">
        <v>1970</v>
      </c>
      <c r="I2085" s="10" t="s">
        <v>72</v>
      </c>
      <c r="J2085" s="10" t="s">
        <v>72</v>
      </c>
    </row>
    <row r="2086" ht="12.75" customHeight="1">
      <c r="A2086" s="5" t="s">
        <v>6893</v>
      </c>
      <c r="B2086" s="5" t="s">
        <v>6894</v>
      </c>
      <c r="C2086" s="5" t="s">
        <v>6895</v>
      </c>
      <c r="D2086" s="5" t="s">
        <v>34</v>
      </c>
      <c r="E2086" s="5" t="s">
        <v>42</v>
      </c>
      <c r="F2086" s="5" t="s">
        <v>238</v>
      </c>
      <c r="J2086" s="10" t="s">
        <v>72</v>
      </c>
      <c r="K2086" s="5" t="s">
        <v>6896</v>
      </c>
    </row>
    <row r="2087" ht="12.75" customHeight="1">
      <c r="A2087" s="5" t="s">
        <v>6898</v>
      </c>
      <c r="B2087" s="5" t="s">
        <v>6899</v>
      </c>
      <c r="D2087" s="5" t="s">
        <v>50</v>
      </c>
      <c r="E2087" s="5" t="s">
        <v>42</v>
      </c>
      <c r="F2087" s="5" t="s">
        <v>1753</v>
      </c>
      <c r="H2087" s="5" t="s">
        <v>6893</v>
      </c>
      <c r="J2087" s="10" t="s">
        <v>72</v>
      </c>
    </row>
    <row r="2088" ht="12.75" customHeight="1">
      <c r="A2088" s="5" t="s">
        <v>6901</v>
      </c>
      <c r="B2088" s="5" t="s">
        <v>6902</v>
      </c>
      <c r="D2088" s="5" t="s">
        <v>34</v>
      </c>
      <c r="E2088" s="5" t="s">
        <v>42</v>
      </c>
      <c r="F2088" s="5" t="s">
        <v>162</v>
      </c>
      <c r="H2088" s="5" t="s">
        <v>6893</v>
      </c>
      <c r="J2088" s="10" t="s">
        <v>72</v>
      </c>
    </row>
    <row r="2089" ht="12.75" customHeight="1">
      <c r="A2089" s="5" t="s">
        <v>6903</v>
      </c>
      <c r="B2089" s="5" t="s">
        <v>6904</v>
      </c>
      <c r="D2089" s="5" t="s">
        <v>74</v>
      </c>
      <c r="E2089" s="5" t="s">
        <v>42</v>
      </c>
      <c r="F2089" s="5" t="s">
        <v>445</v>
      </c>
      <c r="H2089" s="5" t="s">
        <v>6893</v>
      </c>
      <c r="J2089" s="10" t="s">
        <v>72</v>
      </c>
    </row>
    <row r="2090" ht="12.75" customHeight="1">
      <c r="A2090" s="5" t="s">
        <v>1065</v>
      </c>
      <c r="B2090" s="5" t="s">
        <v>6905</v>
      </c>
      <c r="C2090" s="5" t="s">
        <v>6906</v>
      </c>
      <c r="D2090" s="5" t="s">
        <v>50</v>
      </c>
      <c r="E2090" s="5" t="s">
        <v>42</v>
      </c>
      <c r="F2090" s="5" t="s">
        <v>720</v>
      </c>
      <c r="G2090" s="10" t="s">
        <v>72</v>
      </c>
      <c r="L2090" s="5" t="s">
        <v>6909</v>
      </c>
      <c r="M2090" s="5" t="s">
        <v>6909</v>
      </c>
    </row>
    <row r="2091" ht="12.75" customHeight="1">
      <c r="A2091" s="5" t="s">
        <v>1070</v>
      </c>
      <c r="B2091" s="5" t="s">
        <v>6910</v>
      </c>
      <c r="D2091" s="5" t="s">
        <v>50</v>
      </c>
      <c r="E2091" s="5" t="s">
        <v>42</v>
      </c>
      <c r="F2091" s="5" t="s">
        <v>720</v>
      </c>
      <c r="G2091" s="10" t="s">
        <v>72</v>
      </c>
      <c r="H2091" s="5" t="s">
        <v>4183</v>
      </c>
      <c r="I2091" s="10" t="s">
        <v>72</v>
      </c>
      <c r="L2091" s="5" t="s">
        <v>6911</v>
      </c>
      <c r="M2091" s="5" t="s">
        <v>6911</v>
      </c>
    </row>
    <row r="2092" ht="12.75" customHeight="1">
      <c r="A2092" s="5" t="s">
        <v>1081</v>
      </c>
      <c r="B2092" s="5" t="s">
        <v>6912</v>
      </c>
      <c r="C2092" s="5" t="s">
        <v>6913</v>
      </c>
      <c r="D2092" s="5" t="s">
        <v>34</v>
      </c>
      <c r="E2092" s="5" t="s">
        <v>42</v>
      </c>
      <c r="F2092" s="5" t="s">
        <v>445</v>
      </c>
      <c r="G2092" s="10" t="s">
        <v>72</v>
      </c>
      <c r="L2092" s="5" t="s">
        <v>6915</v>
      </c>
      <c r="M2092" s="5" t="s">
        <v>6915</v>
      </c>
    </row>
    <row r="2093" ht="12.75" customHeight="1">
      <c r="A2093" s="5" t="s">
        <v>1093</v>
      </c>
      <c r="B2093" s="5" t="s">
        <v>6917</v>
      </c>
      <c r="D2093" s="5" t="s">
        <v>34</v>
      </c>
      <c r="E2093" s="5" t="s">
        <v>42</v>
      </c>
      <c r="F2093" s="5" t="s">
        <v>228</v>
      </c>
      <c r="G2093" s="10" t="s">
        <v>72</v>
      </c>
      <c r="H2093" s="5" t="s">
        <v>4589</v>
      </c>
      <c r="I2093" s="10" t="s">
        <v>72</v>
      </c>
      <c r="L2093" s="5" t="s">
        <v>1089</v>
      </c>
      <c r="M2093" s="5" t="s">
        <v>1089</v>
      </c>
    </row>
    <row r="2094" ht="12.75" customHeight="1">
      <c r="A2094" s="5" t="s">
        <v>6918</v>
      </c>
      <c r="B2094" s="10" t="s">
        <v>6919</v>
      </c>
      <c r="D2094" s="5" t="s">
        <v>22</v>
      </c>
      <c r="E2094" s="5" t="s">
        <v>42</v>
      </c>
      <c r="F2094" s="5" t="s">
        <v>720</v>
      </c>
      <c r="G2094" s="10" t="s">
        <v>72</v>
      </c>
      <c r="H2094" s="5" t="s">
        <v>4183</v>
      </c>
      <c r="J2094" s="10" t="s">
        <v>72</v>
      </c>
    </row>
    <row r="2095" ht="12.75" customHeight="1">
      <c r="A2095" s="5" t="s">
        <v>6920</v>
      </c>
      <c r="B2095" s="10" t="s">
        <v>6921</v>
      </c>
      <c r="D2095" s="5" t="s">
        <v>22</v>
      </c>
      <c r="E2095" s="5" t="s">
        <v>42</v>
      </c>
      <c r="F2095" s="5" t="s">
        <v>720</v>
      </c>
      <c r="G2095" s="10" t="s">
        <v>72</v>
      </c>
      <c r="H2095" s="5" t="s">
        <v>4183</v>
      </c>
      <c r="J2095" s="10" t="s">
        <v>72</v>
      </c>
    </row>
    <row r="2096" ht="12.75" customHeight="1">
      <c r="A2096" s="5" t="s">
        <v>6924</v>
      </c>
      <c r="B2096" s="10" t="s">
        <v>6925</v>
      </c>
      <c r="D2096" s="5" t="s">
        <v>50</v>
      </c>
      <c r="E2096" s="5" t="s">
        <v>42</v>
      </c>
      <c r="F2096" s="5" t="s">
        <v>720</v>
      </c>
      <c r="G2096" s="10" t="s">
        <v>72</v>
      </c>
      <c r="H2096" s="5" t="s">
        <v>4183</v>
      </c>
      <c r="J2096" s="10" t="s">
        <v>72</v>
      </c>
    </row>
    <row r="2097" ht="12.75" customHeight="1">
      <c r="A2097" s="5" t="s">
        <v>6926</v>
      </c>
      <c r="B2097" s="10" t="s">
        <v>6927</v>
      </c>
      <c r="D2097" s="5" t="s">
        <v>50</v>
      </c>
      <c r="E2097" s="5" t="s">
        <v>42</v>
      </c>
      <c r="F2097" s="5" t="s">
        <v>720</v>
      </c>
      <c r="G2097" s="10" t="s">
        <v>72</v>
      </c>
      <c r="H2097" s="5" t="s">
        <v>4183</v>
      </c>
      <c r="J2097" s="10" t="s">
        <v>72</v>
      </c>
    </row>
    <row r="2098" ht="12.75" customHeight="1">
      <c r="A2098" s="5" t="s">
        <v>6929</v>
      </c>
      <c r="B2098" s="5" t="s">
        <v>6930</v>
      </c>
      <c r="D2098" s="5" t="s">
        <v>34</v>
      </c>
      <c r="E2098" s="5" t="s">
        <v>42</v>
      </c>
      <c r="F2098" s="5" t="s">
        <v>238</v>
      </c>
      <c r="G2098" s="10" t="s">
        <v>72</v>
      </c>
      <c r="H2098" s="5" t="s">
        <v>4183</v>
      </c>
      <c r="J2098" s="10" t="s">
        <v>72</v>
      </c>
      <c r="K2098" s="5" t="s">
        <v>6932</v>
      </c>
    </row>
    <row r="2099" ht="12.75" customHeight="1">
      <c r="A2099" s="5" t="s">
        <v>6933</v>
      </c>
      <c r="B2099" s="5" t="s">
        <v>6934</v>
      </c>
      <c r="D2099" s="5" t="s">
        <v>34</v>
      </c>
      <c r="E2099" s="5" t="s">
        <v>42</v>
      </c>
      <c r="F2099" s="5" t="s">
        <v>445</v>
      </c>
      <c r="G2099" s="10" t="s">
        <v>72</v>
      </c>
      <c r="H2099" s="5" t="s">
        <v>4183</v>
      </c>
      <c r="J2099" s="10" t="s">
        <v>72</v>
      </c>
    </row>
    <row r="2100" ht="12.75" customHeight="1">
      <c r="A2100" s="5" t="s">
        <v>6935</v>
      </c>
      <c r="B2100" s="10" t="s">
        <v>6936</v>
      </c>
      <c r="D2100" s="5" t="s">
        <v>34</v>
      </c>
      <c r="E2100" s="5" t="s">
        <v>42</v>
      </c>
      <c r="F2100" s="5" t="s">
        <v>720</v>
      </c>
      <c r="G2100" s="10" t="s">
        <v>72</v>
      </c>
      <c r="H2100" s="5" t="s">
        <v>4183</v>
      </c>
      <c r="J2100" s="10" t="s">
        <v>72</v>
      </c>
      <c r="K2100" s="5" t="s">
        <v>6938</v>
      </c>
    </row>
    <row r="2101" ht="12.75" customHeight="1">
      <c r="A2101" s="5" t="s">
        <v>6940</v>
      </c>
      <c r="B2101" s="10" t="s">
        <v>6941</v>
      </c>
      <c r="D2101" s="5" t="s">
        <v>74</v>
      </c>
      <c r="E2101" s="5" t="s">
        <v>42</v>
      </c>
      <c r="F2101" s="5" t="s">
        <v>1044</v>
      </c>
      <c r="G2101" s="10" t="s">
        <v>72</v>
      </c>
      <c r="H2101" s="5" t="s">
        <v>4183</v>
      </c>
      <c r="J2101" s="10" t="s">
        <v>72</v>
      </c>
    </row>
    <row r="2102" ht="12.75" customHeight="1">
      <c r="A2102" s="5" t="s">
        <v>6942</v>
      </c>
      <c r="B2102" s="10" t="s">
        <v>6943</v>
      </c>
      <c r="D2102" s="5" t="s">
        <v>74</v>
      </c>
      <c r="E2102" s="5" t="s">
        <v>42</v>
      </c>
      <c r="F2102" s="5" t="s">
        <v>228</v>
      </c>
      <c r="G2102" s="10" t="s">
        <v>72</v>
      </c>
      <c r="H2102" s="5" t="s">
        <v>4183</v>
      </c>
      <c r="J2102" s="10" t="s">
        <v>72</v>
      </c>
    </row>
    <row r="2103" ht="12.75" customHeight="1">
      <c r="A2103" s="5" t="s">
        <v>4183</v>
      </c>
      <c r="B2103" s="5" t="s">
        <v>6944</v>
      </c>
      <c r="C2103" s="5" t="s">
        <v>4220</v>
      </c>
      <c r="D2103" s="5" t="s">
        <v>50</v>
      </c>
      <c r="E2103" s="5" t="s">
        <v>42</v>
      </c>
      <c r="F2103" s="5" t="s">
        <v>720</v>
      </c>
      <c r="G2103" s="10" t="s">
        <v>72</v>
      </c>
      <c r="J2103" s="10" t="s">
        <v>72</v>
      </c>
      <c r="K2103" s="5" t="s">
        <v>6947</v>
      </c>
      <c r="L2103" s="5" t="s">
        <v>6948</v>
      </c>
      <c r="M2103" s="5" t="s">
        <v>6948</v>
      </c>
    </row>
    <row r="2104" ht="12.75" customHeight="1">
      <c r="A2104" s="5" t="s">
        <v>6949</v>
      </c>
      <c r="B2104" s="10" t="s">
        <v>6950</v>
      </c>
      <c r="D2104" s="5" t="s">
        <v>34</v>
      </c>
      <c r="E2104" s="5" t="s">
        <v>35</v>
      </c>
      <c r="F2104" s="5" t="s">
        <v>189</v>
      </c>
      <c r="G2104" s="10" t="s">
        <v>72</v>
      </c>
      <c r="H2104" s="5" t="s">
        <v>4589</v>
      </c>
      <c r="J2104" s="10" t="s">
        <v>72</v>
      </c>
    </row>
    <row r="2105" ht="12.75" customHeight="1">
      <c r="A2105" s="5" t="s">
        <v>6951</v>
      </c>
      <c r="B2105" s="10" t="s">
        <v>6952</v>
      </c>
      <c r="D2105" s="5" t="s">
        <v>34</v>
      </c>
      <c r="E2105" s="5" t="s">
        <v>35</v>
      </c>
      <c r="F2105" s="5" t="s">
        <v>913</v>
      </c>
      <c r="G2105" s="10" t="s">
        <v>72</v>
      </c>
      <c r="H2105" s="5" t="s">
        <v>4589</v>
      </c>
      <c r="J2105" s="10" t="s">
        <v>72</v>
      </c>
    </row>
    <row r="2106" ht="12.75" customHeight="1">
      <c r="A2106" s="5" t="s">
        <v>6955</v>
      </c>
      <c r="B2106" s="10" t="s">
        <v>6956</v>
      </c>
      <c r="D2106" s="5" t="s">
        <v>34</v>
      </c>
      <c r="E2106" s="5" t="s">
        <v>35</v>
      </c>
      <c r="F2106" s="5" t="s">
        <v>278</v>
      </c>
      <c r="G2106" s="10" t="s">
        <v>72</v>
      </c>
      <c r="H2106" s="5" t="s">
        <v>4589</v>
      </c>
      <c r="J2106" s="10" t="s">
        <v>72</v>
      </c>
    </row>
    <row r="2107" ht="12.75" customHeight="1">
      <c r="A2107" s="5" t="s">
        <v>6957</v>
      </c>
      <c r="B2107" s="5" t="s">
        <v>6958</v>
      </c>
      <c r="D2107" s="5" t="s">
        <v>34</v>
      </c>
      <c r="E2107" s="5" t="s">
        <v>42</v>
      </c>
      <c r="F2107" s="5" t="s">
        <v>657</v>
      </c>
      <c r="G2107" s="10" t="s">
        <v>72</v>
      </c>
      <c r="H2107" s="5" t="s">
        <v>4589</v>
      </c>
      <c r="J2107" s="10" t="s">
        <v>72</v>
      </c>
      <c r="L2107" s="5" t="s">
        <v>6959</v>
      </c>
      <c r="M2107" s="5" t="s">
        <v>6959</v>
      </c>
    </row>
    <row r="2108" ht="12.75" customHeight="1">
      <c r="A2108" s="5" t="s">
        <v>6960</v>
      </c>
      <c r="B2108" s="5" t="s">
        <v>6961</v>
      </c>
      <c r="D2108" s="5" t="s">
        <v>34</v>
      </c>
      <c r="E2108" s="5" t="s">
        <v>42</v>
      </c>
      <c r="F2108" s="5" t="s">
        <v>572</v>
      </c>
      <c r="G2108" s="10" t="s">
        <v>72</v>
      </c>
      <c r="H2108" s="5" t="s">
        <v>4589</v>
      </c>
      <c r="J2108" s="10" t="s">
        <v>72</v>
      </c>
      <c r="L2108" s="5" t="s">
        <v>6964</v>
      </c>
      <c r="M2108" s="5" t="s">
        <v>6964</v>
      </c>
    </row>
    <row r="2109" ht="12.75" customHeight="1">
      <c r="A2109" s="5" t="s">
        <v>6965</v>
      </c>
      <c r="B2109" s="5" t="s">
        <v>6966</v>
      </c>
      <c r="D2109" s="5" t="s">
        <v>34</v>
      </c>
      <c r="E2109" s="5" t="s">
        <v>42</v>
      </c>
      <c r="F2109" s="5" t="s">
        <v>1753</v>
      </c>
      <c r="G2109" s="10" t="s">
        <v>72</v>
      </c>
      <c r="H2109" s="5" t="s">
        <v>4589</v>
      </c>
      <c r="J2109" s="10" t="s">
        <v>72</v>
      </c>
      <c r="L2109" s="5" t="s">
        <v>6967</v>
      </c>
      <c r="M2109" s="5" t="s">
        <v>6967</v>
      </c>
    </row>
    <row r="2110" ht="12.75" customHeight="1">
      <c r="A2110" s="5" t="s">
        <v>6968</v>
      </c>
      <c r="B2110" s="5" t="s">
        <v>6969</v>
      </c>
      <c r="D2110" s="5" t="s">
        <v>34</v>
      </c>
      <c r="E2110" s="5" t="s">
        <v>42</v>
      </c>
      <c r="F2110" s="5" t="s">
        <v>445</v>
      </c>
      <c r="G2110" s="10" t="s">
        <v>72</v>
      </c>
      <c r="H2110" s="5" t="s">
        <v>4589</v>
      </c>
      <c r="J2110" s="10" t="s">
        <v>72</v>
      </c>
    </row>
    <row r="2111" ht="12.75" customHeight="1">
      <c r="A2111" s="5" t="s">
        <v>6970</v>
      </c>
      <c r="B2111" s="5" t="s">
        <v>6971</v>
      </c>
      <c r="D2111" s="5" t="s">
        <v>34</v>
      </c>
      <c r="E2111" s="5" t="s">
        <v>42</v>
      </c>
      <c r="F2111" s="5" t="s">
        <v>556</v>
      </c>
      <c r="G2111" s="10" t="s">
        <v>72</v>
      </c>
      <c r="H2111" s="5" t="s">
        <v>4589</v>
      </c>
      <c r="J2111" s="10" t="s">
        <v>72</v>
      </c>
    </row>
    <row r="2112" ht="12.75" customHeight="1">
      <c r="A2112" s="5" t="s">
        <v>6976</v>
      </c>
      <c r="B2112" s="5" t="s">
        <v>6977</v>
      </c>
      <c r="D2112" s="5" t="s">
        <v>34</v>
      </c>
      <c r="E2112" s="5" t="s">
        <v>42</v>
      </c>
      <c r="F2112" s="5" t="s">
        <v>720</v>
      </c>
      <c r="G2112" s="10" t="s">
        <v>72</v>
      </c>
      <c r="H2112" s="5" t="s">
        <v>4589</v>
      </c>
      <c r="J2112" s="10" t="s">
        <v>72</v>
      </c>
    </row>
    <row r="2113" ht="12.75" customHeight="1">
      <c r="A2113" s="5" t="s">
        <v>4589</v>
      </c>
      <c r="B2113" s="10" t="s">
        <v>6978</v>
      </c>
      <c r="C2113" s="5" t="s">
        <v>4272</v>
      </c>
      <c r="D2113" s="5" t="s">
        <v>34</v>
      </c>
      <c r="E2113" s="5" t="s">
        <v>42</v>
      </c>
      <c r="F2113" s="5" t="s">
        <v>228</v>
      </c>
      <c r="G2113" s="10" t="s">
        <v>72</v>
      </c>
      <c r="H2113" s="5" t="s">
        <v>4183</v>
      </c>
      <c r="J2113" s="10" t="s">
        <v>72</v>
      </c>
      <c r="K2113" s="5" t="s">
        <v>6981</v>
      </c>
      <c r="L2113" s="5" t="s">
        <v>6982</v>
      </c>
      <c r="M2113" s="5" t="s">
        <v>6982</v>
      </c>
    </row>
    <row r="2114" ht="12.75" customHeight="1">
      <c r="A2114" s="5" t="s">
        <v>6983</v>
      </c>
      <c r="B2114" s="5" t="s">
        <v>6984</v>
      </c>
      <c r="D2114" s="5" t="s">
        <v>46</v>
      </c>
      <c r="E2114" s="5" t="s">
        <v>42</v>
      </c>
      <c r="F2114" s="5" t="s">
        <v>3843</v>
      </c>
      <c r="H2114" s="5" t="s">
        <v>6985</v>
      </c>
    </row>
    <row r="2115" ht="12.75" customHeight="1">
      <c r="A2115" s="5" t="s">
        <v>6985</v>
      </c>
      <c r="B2115" s="5" t="s">
        <v>6986</v>
      </c>
      <c r="C2115" s="5" t="s">
        <v>6987</v>
      </c>
      <c r="D2115" s="5" t="s">
        <v>46</v>
      </c>
      <c r="E2115" s="5" t="s">
        <v>42</v>
      </c>
      <c r="F2115" s="5" t="s">
        <v>967</v>
      </c>
      <c r="G2115" s="10" t="s">
        <v>72</v>
      </c>
      <c r="K2115" s="5" t="s">
        <v>6983</v>
      </c>
    </row>
    <row r="2116" ht="12.75" customHeight="1">
      <c r="A2116" s="5" t="s">
        <v>6989</v>
      </c>
      <c r="B2116" s="5" t="s">
        <v>6991</v>
      </c>
      <c r="C2116" s="5" t="s">
        <v>6992</v>
      </c>
      <c r="D2116" s="5" t="s">
        <v>46</v>
      </c>
      <c r="E2116" s="5" t="s">
        <v>42</v>
      </c>
      <c r="F2116" s="5" t="s">
        <v>157</v>
      </c>
      <c r="J2116" s="10" t="s">
        <v>72</v>
      </c>
      <c r="K2116" s="5" t="s">
        <v>6993</v>
      </c>
      <c r="L2116" s="5" t="s">
        <v>6994</v>
      </c>
    </row>
    <row r="2117" ht="12.75" customHeight="1">
      <c r="A2117" s="5" t="s">
        <v>6995</v>
      </c>
      <c r="B2117" s="5" t="s">
        <v>6996</v>
      </c>
      <c r="C2117" s="5" t="s">
        <v>6992</v>
      </c>
      <c r="D2117" s="5" t="s">
        <v>46</v>
      </c>
      <c r="E2117" s="5" t="s">
        <v>42</v>
      </c>
      <c r="F2117" s="5" t="s">
        <v>967</v>
      </c>
      <c r="J2117" s="10" t="s">
        <v>72</v>
      </c>
      <c r="K2117" s="5" t="s">
        <v>6997</v>
      </c>
      <c r="L2117" s="5" t="s">
        <v>6999</v>
      </c>
    </row>
    <row r="2118" ht="12.75" customHeight="1">
      <c r="A2118" s="5" t="s">
        <v>7000</v>
      </c>
      <c r="B2118" s="5" t="s">
        <v>7002</v>
      </c>
      <c r="C2118" s="5" t="s">
        <v>7003</v>
      </c>
      <c r="D2118" s="5" t="s">
        <v>46</v>
      </c>
      <c r="E2118" s="5" t="s">
        <v>42</v>
      </c>
      <c r="F2118" s="5" t="s">
        <v>2638</v>
      </c>
      <c r="J2118" s="10" t="s">
        <v>72</v>
      </c>
      <c r="K2118" s="5" t="s">
        <v>7004</v>
      </c>
      <c r="L2118" s="5" t="s">
        <v>7005</v>
      </c>
    </row>
    <row r="2119" ht="12.75" customHeight="1">
      <c r="A2119" s="5" t="s">
        <v>7006</v>
      </c>
      <c r="B2119" s="10" t="s">
        <v>7007</v>
      </c>
      <c r="D2119" s="5" t="s">
        <v>46</v>
      </c>
      <c r="E2119" s="5" t="s">
        <v>35</v>
      </c>
      <c r="F2119" s="5" t="s">
        <v>263</v>
      </c>
      <c r="H2119" s="5" t="s">
        <v>7000</v>
      </c>
      <c r="J2119" s="10" t="s">
        <v>72</v>
      </c>
    </row>
    <row r="2120" ht="12.75" customHeight="1">
      <c r="A2120" s="5" t="s">
        <v>7008</v>
      </c>
      <c r="B2120" s="5" t="s">
        <v>7009</v>
      </c>
      <c r="D2120" s="5" t="s">
        <v>46</v>
      </c>
      <c r="E2120" s="5" t="s">
        <v>42</v>
      </c>
      <c r="F2120" s="5" t="s">
        <v>2638</v>
      </c>
      <c r="H2120" s="5" t="s">
        <v>7000</v>
      </c>
      <c r="I2120" s="10" t="s">
        <v>72</v>
      </c>
      <c r="J2120" s="10" t="s">
        <v>72</v>
      </c>
    </row>
    <row r="2121" ht="12.75" customHeight="1">
      <c r="A2121" s="5" t="s">
        <v>7012</v>
      </c>
      <c r="B2121" s="10" t="s">
        <v>7013</v>
      </c>
      <c r="D2121" s="5" t="s">
        <v>46</v>
      </c>
      <c r="E2121" s="5" t="s">
        <v>35</v>
      </c>
      <c r="F2121" s="5" t="s">
        <v>545</v>
      </c>
      <c r="H2121" s="5" t="s">
        <v>6989</v>
      </c>
      <c r="J2121" s="10" t="s">
        <v>72</v>
      </c>
    </row>
    <row r="2122" ht="12.75" customHeight="1">
      <c r="A2122" s="5" t="s">
        <v>7014</v>
      </c>
      <c r="B2122" s="5" t="s">
        <v>7015</v>
      </c>
      <c r="D2122" s="5" t="s">
        <v>46</v>
      </c>
      <c r="E2122" s="5" t="s">
        <v>35</v>
      </c>
      <c r="F2122" s="5" t="s">
        <v>96</v>
      </c>
      <c r="H2122" s="5" t="s">
        <v>6989</v>
      </c>
      <c r="J2122" s="10" t="s">
        <v>72</v>
      </c>
    </row>
    <row r="2123" ht="12.75" customHeight="1">
      <c r="A2123" s="5" t="s">
        <v>7016</v>
      </c>
      <c r="B2123" s="5" t="s">
        <v>7018</v>
      </c>
      <c r="D2123" s="5" t="s">
        <v>46</v>
      </c>
      <c r="E2123" s="5" t="s">
        <v>42</v>
      </c>
      <c r="F2123" s="5" t="s">
        <v>157</v>
      </c>
      <c r="H2123" s="5" t="s">
        <v>6989</v>
      </c>
      <c r="I2123" s="10" t="s">
        <v>72</v>
      </c>
      <c r="J2123" s="10" t="s">
        <v>72</v>
      </c>
      <c r="K2123" s="5" t="s">
        <v>7020</v>
      </c>
      <c r="L2123" s="5" t="s">
        <v>7021</v>
      </c>
    </row>
    <row r="2124" ht="12.75" customHeight="1">
      <c r="A2124" s="5" t="s">
        <v>7022</v>
      </c>
      <c r="B2124" s="5" t="s">
        <v>7023</v>
      </c>
      <c r="D2124" s="5" t="s">
        <v>46</v>
      </c>
      <c r="E2124" s="5" t="s">
        <v>42</v>
      </c>
      <c r="F2124" s="5" t="s">
        <v>157</v>
      </c>
      <c r="H2124" s="5" t="s">
        <v>7016</v>
      </c>
      <c r="I2124" s="10" t="s">
        <v>72</v>
      </c>
      <c r="J2124" s="10" t="s">
        <v>72</v>
      </c>
    </row>
    <row r="2125" ht="12.75" customHeight="1">
      <c r="A2125" s="5" t="s">
        <v>7024</v>
      </c>
      <c r="B2125" s="10" t="s">
        <v>7025</v>
      </c>
      <c r="D2125" s="5" t="s">
        <v>46</v>
      </c>
      <c r="E2125" s="5" t="s">
        <v>35</v>
      </c>
      <c r="F2125" s="5" t="s">
        <v>1831</v>
      </c>
      <c r="H2125" s="5" t="s">
        <v>6995</v>
      </c>
      <c r="J2125" s="10" t="s">
        <v>72</v>
      </c>
    </row>
    <row r="2126" ht="12.75" customHeight="1">
      <c r="A2126" s="5" t="s">
        <v>7026</v>
      </c>
      <c r="B2126" s="5" t="s">
        <v>7027</v>
      </c>
      <c r="D2126" s="5" t="s">
        <v>46</v>
      </c>
      <c r="E2126" s="5" t="s">
        <v>42</v>
      </c>
      <c r="F2126" s="5" t="s">
        <v>967</v>
      </c>
      <c r="H2126" s="5" t="s">
        <v>6995</v>
      </c>
      <c r="I2126" s="10" t="s">
        <v>72</v>
      </c>
      <c r="J2126" s="10" t="s">
        <v>72</v>
      </c>
    </row>
    <row r="2127" ht="12.75" customHeight="1">
      <c r="A2127" s="5" t="s">
        <v>7028</v>
      </c>
      <c r="B2127" s="5" t="s">
        <v>7029</v>
      </c>
      <c r="D2127" s="5" t="s">
        <v>46</v>
      </c>
      <c r="E2127" s="5" t="s">
        <v>42</v>
      </c>
      <c r="F2127" s="5" t="s">
        <v>2638</v>
      </c>
      <c r="H2127" s="5" t="s">
        <v>7030</v>
      </c>
      <c r="I2127" s="10" t="s">
        <v>72</v>
      </c>
      <c r="J2127" s="10" t="s">
        <v>72</v>
      </c>
    </row>
    <row r="2128" ht="12.75" customHeight="1">
      <c r="A2128" s="5" t="s">
        <v>7031</v>
      </c>
      <c r="B2128" s="10" t="s">
        <v>7032</v>
      </c>
      <c r="D2128" s="5" t="s">
        <v>46</v>
      </c>
      <c r="E2128" s="5" t="s">
        <v>35</v>
      </c>
      <c r="F2128" s="5" t="s">
        <v>96</v>
      </c>
      <c r="H2128" s="5" t="s">
        <v>7030</v>
      </c>
      <c r="J2128" s="10" t="s">
        <v>72</v>
      </c>
    </row>
    <row r="2129" ht="12.75" customHeight="1">
      <c r="A2129" s="5" t="s">
        <v>7030</v>
      </c>
      <c r="B2129" s="5" t="s">
        <v>7033</v>
      </c>
      <c r="D2129" s="5" t="s">
        <v>46</v>
      </c>
      <c r="E2129" s="5" t="s">
        <v>42</v>
      </c>
      <c r="F2129" s="5" t="s">
        <v>2638</v>
      </c>
      <c r="H2129" s="5" t="s">
        <v>7000</v>
      </c>
      <c r="I2129" s="10" t="s">
        <v>72</v>
      </c>
      <c r="J2129" s="10" t="s">
        <v>72</v>
      </c>
      <c r="K2129" s="5" t="s">
        <v>7031</v>
      </c>
      <c r="L2129" s="5" t="s">
        <v>7028</v>
      </c>
    </row>
    <row r="2130" ht="12.75" customHeight="1">
      <c r="A2130" s="5" t="s">
        <v>7034</v>
      </c>
      <c r="B2130" s="5" t="s">
        <v>7035</v>
      </c>
      <c r="D2130" s="5" t="s">
        <v>46</v>
      </c>
      <c r="E2130" s="5" t="s">
        <v>35</v>
      </c>
      <c r="F2130" s="5" t="s">
        <v>1868</v>
      </c>
      <c r="H2130" s="5" t="s">
        <v>7016</v>
      </c>
      <c r="J2130" s="10" t="s">
        <v>72</v>
      </c>
    </row>
    <row r="2131" ht="12.75" customHeight="1">
      <c r="A2131" s="5" t="s">
        <v>7036</v>
      </c>
      <c r="B2131" s="5" t="s">
        <v>7037</v>
      </c>
      <c r="D2131" s="5" t="s">
        <v>46</v>
      </c>
      <c r="E2131" s="5" t="s">
        <v>35</v>
      </c>
      <c r="F2131" s="5" t="s">
        <v>96</v>
      </c>
      <c r="H2131" s="5" t="s">
        <v>7016</v>
      </c>
      <c r="J2131" s="10" t="s">
        <v>72</v>
      </c>
    </row>
    <row r="2132" ht="12.75" customHeight="1">
      <c r="A2132" s="5" t="s">
        <v>7038</v>
      </c>
      <c r="B2132" s="5" t="s">
        <v>7039</v>
      </c>
      <c r="D2132" s="5" t="s">
        <v>46</v>
      </c>
      <c r="E2132" s="5" t="s">
        <v>35</v>
      </c>
      <c r="F2132" s="5" t="s">
        <v>96</v>
      </c>
      <c r="H2132" s="5" t="s">
        <v>7016</v>
      </c>
      <c r="J2132" s="10" t="s">
        <v>72</v>
      </c>
    </row>
    <row r="2133" ht="12.75" customHeight="1">
      <c r="A2133" s="5" t="s">
        <v>7040</v>
      </c>
      <c r="B2133" s="5" t="s">
        <v>7041</v>
      </c>
      <c r="D2133" s="5" t="s">
        <v>46</v>
      </c>
      <c r="E2133" s="5" t="s">
        <v>42</v>
      </c>
      <c r="F2133" s="5" t="s">
        <v>157</v>
      </c>
      <c r="H2133" s="5" t="s">
        <v>6989</v>
      </c>
      <c r="I2133" s="10" t="s">
        <v>72</v>
      </c>
      <c r="J2133" s="10" t="s">
        <v>72</v>
      </c>
      <c r="L2133" s="5" t="s">
        <v>7042</v>
      </c>
    </row>
    <row r="2134" ht="12.75" customHeight="1">
      <c r="A2134" s="5" t="s">
        <v>7043</v>
      </c>
      <c r="B2134" s="5" t="s">
        <v>7044</v>
      </c>
      <c r="D2134" s="5" t="s">
        <v>46</v>
      </c>
      <c r="E2134" s="5" t="s">
        <v>42</v>
      </c>
      <c r="F2134" s="5" t="s">
        <v>157</v>
      </c>
      <c r="H2134" s="5" t="s">
        <v>7040</v>
      </c>
      <c r="I2134" s="10" t="s">
        <v>72</v>
      </c>
      <c r="J2134" s="10" t="s">
        <v>72</v>
      </c>
    </row>
    <row r="2135" ht="12.75" customHeight="1">
      <c r="A2135" s="5" t="s">
        <v>7045</v>
      </c>
      <c r="B2135" s="5" t="s">
        <v>7046</v>
      </c>
      <c r="D2135" s="5" t="s">
        <v>46</v>
      </c>
      <c r="E2135" s="5" t="s">
        <v>42</v>
      </c>
      <c r="F2135" s="5" t="s">
        <v>157</v>
      </c>
      <c r="H2135" s="5" t="s">
        <v>7040</v>
      </c>
      <c r="I2135" s="10" t="s">
        <v>72</v>
      </c>
      <c r="J2135" s="10" t="s">
        <v>72</v>
      </c>
    </row>
    <row r="2136" ht="12.75" customHeight="1">
      <c r="A2136" s="5" t="s">
        <v>7047</v>
      </c>
      <c r="B2136" s="5" t="s">
        <v>7048</v>
      </c>
      <c r="D2136" s="5" t="s">
        <v>46</v>
      </c>
      <c r="E2136" s="5" t="s">
        <v>35</v>
      </c>
      <c r="F2136" s="5" t="s">
        <v>3067</v>
      </c>
      <c r="H2136" s="5" t="s">
        <v>7049</v>
      </c>
      <c r="J2136" s="10" t="s">
        <v>72</v>
      </c>
    </row>
    <row r="2137" ht="12.75" customHeight="1">
      <c r="A2137" s="5" t="s">
        <v>7049</v>
      </c>
      <c r="B2137" s="5" t="s">
        <v>7050</v>
      </c>
      <c r="D2137" s="5" t="s">
        <v>46</v>
      </c>
      <c r="E2137" s="5" t="s">
        <v>42</v>
      </c>
      <c r="F2137" s="5" t="s">
        <v>967</v>
      </c>
      <c r="H2137" s="5" t="s">
        <v>6995</v>
      </c>
      <c r="I2137" s="10" t="s">
        <v>72</v>
      </c>
      <c r="J2137" s="10" t="s">
        <v>72</v>
      </c>
      <c r="K2137" s="5" t="s">
        <v>7047</v>
      </c>
    </row>
    <row r="2138" ht="12.75" customHeight="1">
      <c r="A2138" s="5" t="s">
        <v>3927</v>
      </c>
      <c r="B2138" s="5" t="s">
        <v>7051</v>
      </c>
      <c r="D2138" s="5" t="s">
        <v>46</v>
      </c>
      <c r="E2138" s="5" t="s">
        <v>42</v>
      </c>
      <c r="F2138" s="5" t="s">
        <v>2638</v>
      </c>
      <c r="H2138" s="5" t="s">
        <v>7052</v>
      </c>
      <c r="I2138" s="10" t="s">
        <v>72</v>
      </c>
      <c r="J2138" s="10" t="s">
        <v>72</v>
      </c>
      <c r="K2138" s="5" t="s">
        <v>3924</v>
      </c>
    </row>
    <row r="2139" ht="12.75" customHeight="1">
      <c r="A2139" s="5" t="s">
        <v>7053</v>
      </c>
      <c r="B2139" s="5" t="s">
        <v>7054</v>
      </c>
      <c r="D2139" s="5" t="s">
        <v>46</v>
      </c>
      <c r="E2139" s="5" t="s">
        <v>35</v>
      </c>
      <c r="F2139" s="5" t="s">
        <v>96</v>
      </c>
      <c r="H2139" s="5" t="s">
        <v>7052</v>
      </c>
      <c r="J2139" s="10" t="s">
        <v>72</v>
      </c>
    </row>
    <row r="2140" ht="12.75" customHeight="1">
      <c r="A2140" s="5" t="s">
        <v>7052</v>
      </c>
      <c r="B2140" s="5" t="s">
        <v>7055</v>
      </c>
      <c r="D2140" s="5" t="s">
        <v>46</v>
      </c>
      <c r="E2140" s="5" t="s">
        <v>42</v>
      </c>
      <c r="F2140" s="5" t="s">
        <v>2638</v>
      </c>
      <c r="H2140" s="5" t="s">
        <v>7000</v>
      </c>
      <c r="I2140" s="10" t="s">
        <v>72</v>
      </c>
      <c r="J2140" s="10" t="s">
        <v>72</v>
      </c>
      <c r="K2140" s="5" t="s">
        <v>7056</v>
      </c>
      <c r="L2140" s="5" t="s">
        <v>3927</v>
      </c>
    </row>
    <row r="2141" ht="12.75" customHeight="1">
      <c r="A2141" s="5" t="s">
        <v>7057</v>
      </c>
      <c r="B2141" s="5" t="s">
        <v>7058</v>
      </c>
      <c r="D2141" s="5" t="s">
        <v>46</v>
      </c>
      <c r="E2141" s="5" t="s">
        <v>35</v>
      </c>
      <c r="F2141" s="5" t="s">
        <v>924</v>
      </c>
      <c r="H2141" s="5" t="s">
        <v>7059</v>
      </c>
      <c r="J2141" s="10" t="s">
        <v>72</v>
      </c>
      <c r="L2141" s="5" t="s">
        <v>7060</v>
      </c>
    </row>
    <row r="2142" ht="12.75" customHeight="1">
      <c r="A2142" s="5" t="s">
        <v>7061</v>
      </c>
      <c r="B2142" s="5" t="s">
        <v>7062</v>
      </c>
      <c r="D2142" s="5" t="s">
        <v>46</v>
      </c>
      <c r="E2142" s="5" t="s">
        <v>35</v>
      </c>
      <c r="F2142" s="5" t="s">
        <v>96</v>
      </c>
      <c r="H2142" s="5" t="s">
        <v>7059</v>
      </c>
      <c r="J2142" s="10" t="s">
        <v>72</v>
      </c>
    </row>
    <row r="2143" ht="12.75" customHeight="1">
      <c r="A2143" s="5" t="s">
        <v>7063</v>
      </c>
      <c r="B2143" s="5" t="s">
        <v>7064</v>
      </c>
      <c r="D2143" s="5" t="s">
        <v>46</v>
      </c>
      <c r="E2143" s="5" t="s">
        <v>35</v>
      </c>
      <c r="F2143" s="5" t="s">
        <v>96</v>
      </c>
      <c r="H2143" s="5" t="s">
        <v>7059</v>
      </c>
      <c r="J2143" s="10" t="s">
        <v>72</v>
      </c>
    </row>
    <row r="2144" ht="12.75" customHeight="1">
      <c r="A2144" s="5" t="s">
        <v>7059</v>
      </c>
      <c r="B2144" s="5" t="s">
        <v>7065</v>
      </c>
      <c r="D2144" s="5" t="s">
        <v>46</v>
      </c>
      <c r="E2144" s="5" t="s">
        <v>42</v>
      </c>
      <c r="F2144" s="5" t="s">
        <v>157</v>
      </c>
      <c r="H2144" s="5" t="s">
        <v>6989</v>
      </c>
      <c r="I2144" s="10" t="s">
        <v>72</v>
      </c>
      <c r="J2144" s="10" t="s">
        <v>72</v>
      </c>
      <c r="K2144" s="5" t="s">
        <v>7066</v>
      </c>
      <c r="L2144" s="5" t="s">
        <v>7067</v>
      </c>
    </row>
    <row r="2145" ht="12.75" customHeight="1">
      <c r="A2145" s="5" t="s">
        <v>7068</v>
      </c>
      <c r="B2145" s="5" t="s">
        <v>7069</v>
      </c>
      <c r="D2145" s="5" t="s">
        <v>46</v>
      </c>
      <c r="E2145" s="5" t="s">
        <v>42</v>
      </c>
      <c r="F2145" s="5" t="s">
        <v>157</v>
      </c>
      <c r="H2145" s="5" t="s">
        <v>7059</v>
      </c>
      <c r="I2145" s="10" t="s">
        <v>72</v>
      </c>
      <c r="J2145" s="10" t="s">
        <v>72</v>
      </c>
    </row>
    <row r="2146" ht="12.75" customHeight="1">
      <c r="A2146" s="5" t="s">
        <v>7070</v>
      </c>
      <c r="B2146" s="5" t="s">
        <v>7071</v>
      </c>
      <c r="D2146" s="5" t="s">
        <v>46</v>
      </c>
      <c r="E2146" s="5" t="s">
        <v>42</v>
      </c>
      <c r="F2146" s="5" t="s">
        <v>157</v>
      </c>
      <c r="H2146" s="5" t="s">
        <v>7059</v>
      </c>
      <c r="I2146" s="10" t="s">
        <v>72</v>
      </c>
      <c r="J2146" s="10" t="s">
        <v>72</v>
      </c>
    </row>
    <row r="2147" ht="12.75" customHeight="1">
      <c r="A2147" s="5" t="s">
        <v>7072</v>
      </c>
      <c r="B2147" s="5" t="s">
        <v>7073</v>
      </c>
      <c r="D2147" s="5" t="s">
        <v>46</v>
      </c>
      <c r="E2147" s="5" t="s">
        <v>35</v>
      </c>
      <c r="F2147" s="5" t="s">
        <v>4410</v>
      </c>
      <c r="H2147" s="5" t="s">
        <v>7074</v>
      </c>
      <c r="J2147" s="10" t="s">
        <v>72</v>
      </c>
    </row>
    <row r="2148" ht="12.75" customHeight="1">
      <c r="A2148" s="5" t="s">
        <v>7074</v>
      </c>
      <c r="B2148" s="5" t="s">
        <v>7075</v>
      </c>
      <c r="D2148" s="5" t="s">
        <v>46</v>
      </c>
      <c r="E2148" s="5" t="s">
        <v>42</v>
      </c>
      <c r="F2148" s="5" t="s">
        <v>967</v>
      </c>
      <c r="H2148" s="5" t="s">
        <v>6995</v>
      </c>
      <c r="I2148" s="10" t="s">
        <v>72</v>
      </c>
      <c r="J2148" s="10" t="s">
        <v>72</v>
      </c>
      <c r="K2148" s="5" t="s">
        <v>7072</v>
      </c>
    </row>
    <row r="2149" ht="12.75" customHeight="1">
      <c r="A2149" s="5" t="s">
        <v>7076</v>
      </c>
      <c r="B2149" s="5" t="s">
        <v>7077</v>
      </c>
      <c r="D2149" s="5" t="s">
        <v>46</v>
      </c>
      <c r="E2149" s="5" t="s">
        <v>42</v>
      </c>
      <c r="F2149" s="5" t="s">
        <v>2638</v>
      </c>
      <c r="H2149" s="5" t="s">
        <v>7078</v>
      </c>
      <c r="I2149" s="10" t="s">
        <v>72</v>
      </c>
      <c r="J2149" s="10" t="s">
        <v>72</v>
      </c>
    </row>
    <row r="2150" ht="12.75" customHeight="1">
      <c r="A2150" s="5" t="s">
        <v>7079</v>
      </c>
      <c r="B2150" s="5" t="s">
        <v>7080</v>
      </c>
      <c r="D2150" s="5" t="s">
        <v>46</v>
      </c>
      <c r="E2150" s="5" t="s">
        <v>35</v>
      </c>
      <c r="F2150" s="5" t="s">
        <v>2390</v>
      </c>
      <c r="H2150" s="5" t="s">
        <v>7078</v>
      </c>
      <c r="J2150" s="10" t="s">
        <v>72</v>
      </c>
    </row>
    <row r="2151" ht="12.75" customHeight="1">
      <c r="A2151" s="5" t="s">
        <v>7078</v>
      </c>
      <c r="B2151" s="5" t="s">
        <v>7081</v>
      </c>
      <c r="D2151" s="5" t="s">
        <v>46</v>
      </c>
      <c r="E2151" s="5" t="s">
        <v>42</v>
      </c>
      <c r="F2151" s="5" t="s">
        <v>2638</v>
      </c>
      <c r="H2151" s="5" t="s">
        <v>7000</v>
      </c>
      <c r="I2151" s="10" t="s">
        <v>72</v>
      </c>
      <c r="J2151" s="10" t="s">
        <v>72</v>
      </c>
      <c r="K2151" s="5" t="s">
        <v>7079</v>
      </c>
      <c r="L2151" s="5" t="s">
        <v>7076</v>
      </c>
    </row>
    <row r="2152" ht="12.75" customHeight="1">
      <c r="A2152" s="5" t="s">
        <v>7082</v>
      </c>
      <c r="B2152" s="5" t="s">
        <v>7083</v>
      </c>
      <c r="D2152" s="5" t="s">
        <v>46</v>
      </c>
      <c r="E2152" s="5" t="s">
        <v>35</v>
      </c>
      <c r="F2152" s="5" t="s">
        <v>1143</v>
      </c>
      <c r="H2152" s="5" t="s">
        <v>7084</v>
      </c>
      <c r="J2152" s="10" t="s">
        <v>72</v>
      </c>
    </row>
    <row r="2153" ht="12.75" customHeight="1">
      <c r="A2153" s="5" t="s">
        <v>7085</v>
      </c>
      <c r="B2153" s="5" t="s">
        <v>7086</v>
      </c>
      <c r="D2153" s="5" t="s">
        <v>46</v>
      </c>
      <c r="E2153" s="5" t="s">
        <v>35</v>
      </c>
      <c r="F2153" s="5" t="s">
        <v>96</v>
      </c>
      <c r="H2153" s="5" t="s">
        <v>7084</v>
      </c>
      <c r="J2153" s="10" t="s">
        <v>72</v>
      </c>
    </row>
    <row r="2154" ht="12.75" customHeight="1">
      <c r="A2154" s="5" t="s">
        <v>7087</v>
      </c>
      <c r="B2154" s="5" t="s">
        <v>7088</v>
      </c>
      <c r="D2154" s="5" t="s">
        <v>46</v>
      </c>
      <c r="E2154" s="5" t="s">
        <v>35</v>
      </c>
      <c r="F2154" s="5" t="s">
        <v>96</v>
      </c>
      <c r="H2154" s="5" t="s">
        <v>7084</v>
      </c>
      <c r="J2154" s="10" t="s">
        <v>72</v>
      </c>
    </row>
    <row r="2155" ht="12.75" customHeight="1">
      <c r="A2155" s="5" t="s">
        <v>7084</v>
      </c>
      <c r="B2155" s="5" t="s">
        <v>7089</v>
      </c>
      <c r="D2155" s="5" t="s">
        <v>46</v>
      </c>
      <c r="E2155" s="5" t="s">
        <v>42</v>
      </c>
      <c r="F2155" s="5" t="s">
        <v>157</v>
      </c>
      <c r="H2155" s="5" t="s">
        <v>6989</v>
      </c>
      <c r="I2155" s="10" t="s">
        <v>72</v>
      </c>
      <c r="J2155" s="10" t="s">
        <v>72</v>
      </c>
      <c r="K2155" s="5" t="s">
        <v>7090</v>
      </c>
      <c r="L2155" s="5" t="s">
        <v>7091</v>
      </c>
    </row>
    <row r="2156" ht="12.75" customHeight="1">
      <c r="A2156" s="5" t="s">
        <v>7092</v>
      </c>
      <c r="B2156" s="5" t="s">
        <v>7093</v>
      </c>
      <c r="D2156" s="5" t="s">
        <v>46</v>
      </c>
      <c r="E2156" s="5" t="s">
        <v>42</v>
      </c>
      <c r="F2156" s="5" t="s">
        <v>157</v>
      </c>
      <c r="H2156" s="5" t="s">
        <v>7084</v>
      </c>
      <c r="I2156" s="10" t="s">
        <v>72</v>
      </c>
      <c r="J2156" s="10" t="s">
        <v>72</v>
      </c>
    </row>
    <row r="2157" ht="12.75" customHeight="1">
      <c r="A2157" s="5" t="s">
        <v>7094</v>
      </c>
      <c r="B2157" s="5" t="s">
        <v>7095</v>
      </c>
      <c r="D2157" s="5" t="s">
        <v>46</v>
      </c>
      <c r="E2157" s="5" t="s">
        <v>42</v>
      </c>
      <c r="F2157" s="5" t="s">
        <v>157</v>
      </c>
      <c r="H2157" s="5" t="s">
        <v>7084</v>
      </c>
      <c r="I2157" s="10" t="s">
        <v>72</v>
      </c>
      <c r="J2157" s="10" t="s">
        <v>72</v>
      </c>
    </row>
    <row r="2158" ht="12.75" customHeight="1">
      <c r="A2158" s="5" t="s">
        <v>7096</v>
      </c>
      <c r="B2158" s="5" t="s">
        <v>7097</v>
      </c>
      <c r="D2158" s="5" t="s">
        <v>46</v>
      </c>
      <c r="E2158" s="5" t="s">
        <v>35</v>
      </c>
      <c r="F2158" s="5" t="s">
        <v>1334</v>
      </c>
      <c r="H2158" s="5" t="s">
        <v>7098</v>
      </c>
      <c r="J2158" s="10" t="s">
        <v>72</v>
      </c>
    </row>
    <row r="2159" ht="12.75" customHeight="1">
      <c r="A2159" s="5" t="s">
        <v>7098</v>
      </c>
      <c r="B2159" s="5" t="s">
        <v>7099</v>
      </c>
      <c r="D2159" s="5" t="s">
        <v>46</v>
      </c>
      <c r="E2159" s="5" t="s">
        <v>42</v>
      </c>
      <c r="F2159" s="5" t="s">
        <v>967</v>
      </c>
      <c r="H2159" s="5" t="s">
        <v>6995</v>
      </c>
      <c r="I2159" s="10" t="s">
        <v>72</v>
      </c>
      <c r="J2159" s="10" t="s">
        <v>72</v>
      </c>
      <c r="K2159" s="5" t="s">
        <v>7096</v>
      </c>
    </row>
    <row r="2160" ht="12.75" customHeight="1">
      <c r="A2160" s="5" t="s">
        <v>7100</v>
      </c>
      <c r="B2160" s="5" t="s">
        <v>7101</v>
      </c>
      <c r="D2160" s="5" t="s">
        <v>46</v>
      </c>
      <c r="E2160" s="5" t="s">
        <v>42</v>
      </c>
      <c r="F2160" s="5" t="s">
        <v>2638</v>
      </c>
      <c r="H2160" s="5" t="s">
        <v>7102</v>
      </c>
      <c r="I2160" s="10" t="s">
        <v>72</v>
      </c>
      <c r="J2160" s="10" t="s">
        <v>72</v>
      </c>
    </row>
    <row r="2161" ht="12.75" customHeight="1">
      <c r="A2161" s="5" t="s">
        <v>7103</v>
      </c>
      <c r="B2161" s="5" t="s">
        <v>7104</v>
      </c>
      <c r="D2161" s="5" t="s">
        <v>46</v>
      </c>
      <c r="E2161" s="5" t="s">
        <v>35</v>
      </c>
      <c r="F2161" s="5" t="s">
        <v>1344</v>
      </c>
      <c r="H2161" s="5" t="s">
        <v>7102</v>
      </c>
      <c r="J2161" s="10" t="s">
        <v>72</v>
      </c>
    </row>
    <row r="2162" ht="12.75" customHeight="1">
      <c r="A2162" s="5" t="s">
        <v>7102</v>
      </c>
      <c r="B2162" s="5" t="s">
        <v>7105</v>
      </c>
      <c r="D2162" s="5" t="s">
        <v>46</v>
      </c>
      <c r="E2162" s="5" t="s">
        <v>42</v>
      </c>
      <c r="F2162" s="5" t="s">
        <v>2638</v>
      </c>
      <c r="H2162" s="5" t="s">
        <v>7000</v>
      </c>
      <c r="I2162" s="10" t="s">
        <v>72</v>
      </c>
      <c r="J2162" s="10" t="s">
        <v>72</v>
      </c>
      <c r="K2162" s="5" t="s">
        <v>7103</v>
      </c>
      <c r="L2162" s="5" t="s">
        <v>7100</v>
      </c>
    </row>
    <row r="2163" ht="12.75" customHeight="1">
      <c r="A2163" s="5" t="s">
        <v>7106</v>
      </c>
      <c r="B2163" s="5" t="s">
        <v>7107</v>
      </c>
      <c r="D2163" s="5" t="s">
        <v>46</v>
      </c>
      <c r="E2163" s="5" t="s">
        <v>35</v>
      </c>
      <c r="F2163" s="5" t="s">
        <v>1886</v>
      </c>
      <c r="H2163" s="5" t="s">
        <v>7108</v>
      </c>
      <c r="J2163" s="10" t="s">
        <v>72</v>
      </c>
    </row>
    <row r="2164" ht="12.75" customHeight="1">
      <c r="A2164" s="5" t="s">
        <v>7109</v>
      </c>
      <c r="B2164" s="5" t="s">
        <v>7110</v>
      </c>
      <c r="D2164" s="5" t="s">
        <v>46</v>
      </c>
      <c r="E2164" s="5" t="s">
        <v>35</v>
      </c>
      <c r="F2164" s="5" t="s">
        <v>96</v>
      </c>
      <c r="H2164" s="5" t="s">
        <v>7108</v>
      </c>
      <c r="J2164" s="10" t="s">
        <v>72</v>
      </c>
    </row>
    <row r="2165" ht="12.75" customHeight="1">
      <c r="A2165" s="5" t="s">
        <v>7111</v>
      </c>
      <c r="B2165" s="5" t="s">
        <v>7112</v>
      </c>
      <c r="D2165" s="5" t="s">
        <v>46</v>
      </c>
      <c r="E2165" s="5" t="s">
        <v>35</v>
      </c>
      <c r="F2165" s="5" t="s">
        <v>96</v>
      </c>
      <c r="H2165" s="5" t="s">
        <v>7108</v>
      </c>
      <c r="J2165" s="10" t="s">
        <v>72</v>
      </c>
    </row>
    <row r="2166" ht="12.75" customHeight="1">
      <c r="A2166" s="5" t="s">
        <v>7108</v>
      </c>
      <c r="B2166" s="5" t="s">
        <v>7113</v>
      </c>
      <c r="D2166" s="5" t="s">
        <v>46</v>
      </c>
      <c r="E2166" s="5" t="s">
        <v>42</v>
      </c>
      <c r="F2166" s="5" t="s">
        <v>157</v>
      </c>
      <c r="H2166" s="5" t="s">
        <v>6989</v>
      </c>
      <c r="I2166" s="10" t="s">
        <v>72</v>
      </c>
      <c r="J2166" s="10" t="s">
        <v>72</v>
      </c>
      <c r="K2166" s="5" t="s">
        <v>7114</v>
      </c>
      <c r="L2166" s="5" t="s">
        <v>7115</v>
      </c>
    </row>
    <row r="2167" ht="12.75" customHeight="1">
      <c r="A2167" s="5" t="s">
        <v>7116</v>
      </c>
      <c r="B2167" s="5" t="s">
        <v>7117</v>
      </c>
      <c r="D2167" s="5" t="s">
        <v>46</v>
      </c>
      <c r="E2167" s="5" t="s">
        <v>42</v>
      </c>
      <c r="F2167" s="5" t="s">
        <v>157</v>
      </c>
      <c r="H2167" s="5" t="s">
        <v>7108</v>
      </c>
      <c r="I2167" s="10" t="s">
        <v>72</v>
      </c>
      <c r="J2167" s="10" t="s">
        <v>72</v>
      </c>
    </row>
    <row r="2168" ht="12.75" customHeight="1">
      <c r="A2168" s="5" t="s">
        <v>7118</v>
      </c>
      <c r="B2168" s="5" t="s">
        <v>7119</v>
      </c>
      <c r="D2168" s="5" t="s">
        <v>46</v>
      </c>
      <c r="E2168" s="5" t="s">
        <v>42</v>
      </c>
      <c r="F2168" s="5" t="s">
        <v>157</v>
      </c>
      <c r="H2168" s="5" t="s">
        <v>7108</v>
      </c>
      <c r="I2168" s="10" t="s">
        <v>72</v>
      </c>
      <c r="J2168" s="10" t="s">
        <v>72</v>
      </c>
    </row>
    <row r="2169" ht="12.75" customHeight="1">
      <c r="A2169" s="5" t="s">
        <v>7120</v>
      </c>
      <c r="B2169" s="5" t="s">
        <v>7121</v>
      </c>
      <c r="D2169" s="5" t="s">
        <v>46</v>
      </c>
      <c r="E2169" s="5" t="s">
        <v>35</v>
      </c>
      <c r="F2169" s="5" t="s">
        <v>1886</v>
      </c>
      <c r="H2169" s="5" t="s">
        <v>7122</v>
      </c>
      <c r="J2169" s="10" t="s">
        <v>72</v>
      </c>
    </row>
    <row r="2170" ht="12.75" customHeight="1">
      <c r="A2170" s="5" t="s">
        <v>7122</v>
      </c>
      <c r="B2170" s="5" t="s">
        <v>7123</v>
      </c>
      <c r="D2170" s="5" t="s">
        <v>46</v>
      </c>
      <c r="E2170" s="5" t="s">
        <v>42</v>
      </c>
      <c r="F2170" s="5" t="s">
        <v>967</v>
      </c>
      <c r="H2170" s="5" t="s">
        <v>6995</v>
      </c>
      <c r="I2170" s="10" t="s">
        <v>72</v>
      </c>
      <c r="J2170" s="10" t="s">
        <v>72</v>
      </c>
      <c r="K2170" s="5" t="s">
        <v>7120</v>
      </c>
    </row>
    <row r="2171" ht="12.75" customHeight="1">
      <c r="A2171" s="5" t="s">
        <v>7124</v>
      </c>
      <c r="B2171" s="5" t="s">
        <v>7125</v>
      </c>
      <c r="D2171" s="5" t="s">
        <v>46</v>
      </c>
      <c r="E2171" s="5" t="s">
        <v>42</v>
      </c>
      <c r="F2171" s="5" t="s">
        <v>2638</v>
      </c>
      <c r="H2171" s="5" t="s">
        <v>7126</v>
      </c>
      <c r="I2171" s="10" t="s">
        <v>72</v>
      </c>
      <c r="J2171" s="10" t="s">
        <v>72</v>
      </c>
    </row>
    <row r="2172" ht="12.75" customHeight="1">
      <c r="A2172" s="5" t="s">
        <v>7127</v>
      </c>
      <c r="B2172" s="5" t="s">
        <v>7128</v>
      </c>
      <c r="D2172" s="5" t="s">
        <v>46</v>
      </c>
      <c r="E2172" s="5" t="s">
        <v>35</v>
      </c>
      <c r="F2172" s="5" t="s">
        <v>1896</v>
      </c>
      <c r="H2172" s="5" t="s">
        <v>7126</v>
      </c>
      <c r="J2172" s="10" t="s">
        <v>72</v>
      </c>
    </row>
    <row r="2173" ht="12.75" customHeight="1">
      <c r="A2173" s="5" t="s">
        <v>7126</v>
      </c>
      <c r="B2173" s="5" t="s">
        <v>7129</v>
      </c>
      <c r="D2173" s="5" t="s">
        <v>46</v>
      </c>
      <c r="E2173" s="5" t="s">
        <v>42</v>
      </c>
      <c r="F2173" s="5" t="s">
        <v>2638</v>
      </c>
      <c r="H2173" s="5" t="s">
        <v>7000</v>
      </c>
      <c r="I2173" s="10" t="s">
        <v>72</v>
      </c>
      <c r="J2173" s="10" t="s">
        <v>72</v>
      </c>
      <c r="K2173" s="5" t="s">
        <v>7127</v>
      </c>
      <c r="L2173" s="5" t="s">
        <v>7124</v>
      </c>
    </row>
    <row r="2174" ht="12.75" customHeight="1">
      <c r="A2174" s="5" t="s">
        <v>7130</v>
      </c>
      <c r="B2174" s="5" t="s">
        <v>7131</v>
      </c>
      <c r="D2174" s="5" t="s">
        <v>94</v>
      </c>
      <c r="E2174" s="5" t="s">
        <v>35</v>
      </c>
      <c r="F2174" s="5" t="s">
        <v>813</v>
      </c>
      <c r="H2174" s="5" t="s">
        <v>2344</v>
      </c>
      <c r="J2174" s="10" t="s">
        <v>72</v>
      </c>
    </row>
    <row r="2175" ht="12.75" customHeight="1">
      <c r="A2175" s="5" t="s">
        <v>7132</v>
      </c>
      <c r="B2175" s="5" t="s">
        <v>7133</v>
      </c>
      <c r="D2175" s="5" t="s">
        <v>101</v>
      </c>
      <c r="E2175" s="5" t="s">
        <v>35</v>
      </c>
      <c r="F2175" s="5" t="s">
        <v>96</v>
      </c>
      <c r="H2175" s="5" t="s">
        <v>2344</v>
      </c>
      <c r="J2175" s="10" t="s">
        <v>72</v>
      </c>
    </row>
    <row r="2176" ht="12.75" customHeight="1">
      <c r="A2176" s="5" t="s">
        <v>7134</v>
      </c>
      <c r="B2176" s="5" t="s">
        <v>7135</v>
      </c>
      <c r="D2176" s="5" t="s">
        <v>116</v>
      </c>
      <c r="E2176" s="5" t="s">
        <v>35</v>
      </c>
      <c r="F2176" s="5" t="s">
        <v>1344</v>
      </c>
      <c r="H2176" s="5" t="s">
        <v>2344</v>
      </c>
      <c r="J2176" s="10" t="s">
        <v>72</v>
      </c>
    </row>
    <row r="2177" ht="12.75" customHeight="1">
      <c r="A2177" s="5" t="s">
        <v>7136</v>
      </c>
      <c r="B2177" s="5" t="s">
        <v>7137</v>
      </c>
      <c r="D2177" s="5" t="s">
        <v>122</v>
      </c>
      <c r="E2177" s="5" t="s">
        <v>35</v>
      </c>
      <c r="F2177" s="5" t="s">
        <v>429</v>
      </c>
      <c r="H2177" s="5" t="s">
        <v>2344</v>
      </c>
      <c r="J2177" s="10" t="s">
        <v>72</v>
      </c>
    </row>
    <row r="2178" ht="12.75" customHeight="1">
      <c r="A2178" s="5" t="s">
        <v>7138</v>
      </c>
      <c r="B2178" s="5" t="s">
        <v>7139</v>
      </c>
      <c r="D2178" s="5" t="s">
        <v>132</v>
      </c>
      <c r="E2178" s="5" t="s">
        <v>35</v>
      </c>
      <c r="F2178" s="5" t="s">
        <v>172</v>
      </c>
      <c r="H2178" s="5" t="s">
        <v>2344</v>
      </c>
      <c r="J2178" s="10" t="s">
        <v>72</v>
      </c>
    </row>
    <row r="2179" ht="12.75" customHeight="1">
      <c r="A2179" s="5" t="s">
        <v>2344</v>
      </c>
      <c r="B2179" s="5" t="s">
        <v>7140</v>
      </c>
      <c r="C2179" s="5" t="s">
        <v>7141</v>
      </c>
      <c r="D2179" s="5" t="s">
        <v>132</v>
      </c>
      <c r="E2179" s="5" t="s">
        <v>35</v>
      </c>
      <c r="F2179" s="5" t="s">
        <v>1776</v>
      </c>
      <c r="J2179" s="10" t="s">
        <v>72</v>
      </c>
      <c r="K2179" s="5" t="s">
        <v>7142</v>
      </c>
      <c r="L2179" s="5" t="s">
        <v>7143</v>
      </c>
    </row>
    <row r="2180" ht="12.75" customHeight="1">
      <c r="A2180" s="5" t="s">
        <v>4399</v>
      </c>
      <c r="B2180" s="5" t="s">
        <v>7144</v>
      </c>
      <c r="D2180" s="5" t="s">
        <v>94</v>
      </c>
      <c r="E2180" s="5" t="s">
        <v>35</v>
      </c>
      <c r="F2180" s="5" t="s">
        <v>710</v>
      </c>
      <c r="H2180" s="5" t="s">
        <v>2357</v>
      </c>
      <c r="J2180" s="10" t="s">
        <v>72</v>
      </c>
      <c r="L2180" s="5" t="s">
        <v>7145</v>
      </c>
    </row>
    <row r="2181" ht="12.75" customHeight="1">
      <c r="A2181" s="5" t="s">
        <v>7146</v>
      </c>
      <c r="B2181" s="5" t="s">
        <v>7147</v>
      </c>
      <c r="D2181" s="5" t="s">
        <v>101</v>
      </c>
      <c r="E2181" s="5" t="s">
        <v>35</v>
      </c>
      <c r="F2181" s="5" t="s">
        <v>96</v>
      </c>
      <c r="H2181" s="5" t="s">
        <v>2357</v>
      </c>
      <c r="J2181" s="10" t="s">
        <v>72</v>
      </c>
      <c r="L2181" s="5" t="s">
        <v>7148</v>
      </c>
    </row>
    <row r="2182" ht="12.75" customHeight="1">
      <c r="A2182" s="5" t="s">
        <v>4411</v>
      </c>
      <c r="B2182" s="5" t="s">
        <v>7149</v>
      </c>
      <c r="D2182" s="5" t="s">
        <v>116</v>
      </c>
      <c r="E2182" s="5" t="s">
        <v>35</v>
      </c>
      <c r="F2182" s="5" t="s">
        <v>4410</v>
      </c>
      <c r="H2182" s="5" t="s">
        <v>2357</v>
      </c>
      <c r="J2182" s="10" t="s">
        <v>72</v>
      </c>
      <c r="L2182" s="5" t="s">
        <v>7150</v>
      </c>
    </row>
    <row r="2183" ht="12.75" customHeight="1">
      <c r="A2183" s="5" t="s">
        <v>7151</v>
      </c>
      <c r="B2183" s="5" t="s">
        <v>7152</v>
      </c>
      <c r="D2183" s="5" t="s">
        <v>122</v>
      </c>
      <c r="E2183" s="5" t="s">
        <v>35</v>
      </c>
      <c r="F2183" s="5" t="s">
        <v>71</v>
      </c>
      <c r="H2183" s="5" t="s">
        <v>2357</v>
      </c>
      <c r="J2183" s="10" t="s">
        <v>72</v>
      </c>
      <c r="L2183" s="5" t="s">
        <v>7153</v>
      </c>
    </row>
    <row r="2184" ht="12.75" customHeight="1">
      <c r="A2184" s="5" t="s">
        <v>7154</v>
      </c>
      <c r="B2184" s="10" t="s">
        <v>7155</v>
      </c>
      <c r="D2184" s="5" t="s">
        <v>132</v>
      </c>
      <c r="E2184" s="5" t="s">
        <v>35</v>
      </c>
      <c r="F2184" s="5" t="s">
        <v>189</v>
      </c>
      <c r="H2184" s="5" t="s">
        <v>2357</v>
      </c>
      <c r="J2184" s="10" t="s">
        <v>72</v>
      </c>
      <c r="L2184" s="5" t="s">
        <v>7156</v>
      </c>
    </row>
    <row r="2185" ht="12.75" customHeight="1">
      <c r="A2185" s="5" t="s">
        <v>2357</v>
      </c>
      <c r="B2185" s="5" t="s">
        <v>7157</v>
      </c>
      <c r="C2185" s="5" t="s">
        <v>2353</v>
      </c>
      <c r="D2185" s="5" t="s">
        <v>132</v>
      </c>
      <c r="E2185" s="5" t="s">
        <v>35</v>
      </c>
      <c r="F2185" s="5" t="s">
        <v>1776</v>
      </c>
      <c r="H2185" s="5" t="s">
        <v>2344</v>
      </c>
      <c r="I2185" s="10" t="s">
        <v>72</v>
      </c>
      <c r="J2185" s="10" t="s">
        <v>72</v>
      </c>
      <c r="K2185" s="5" t="s">
        <v>7158</v>
      </c>
    </row>
    <row r="2186" ht="12.75" customHeight="1">
      <c r="A2186" s="5" t="s">
        <v>7159</v>
      </c>
      <c r="B2186" s="5" t="s">
        <v>7160</v>
      </c>
      <c r="D2186" s="5" t="s">
        <v>94</v>
      </c>
      <c r="E2186" s="5" t="s">
        <v>42</v>
      </c>
      <c r="F2186" s="5" t="s">
        <v>556</v>
      </c>
      <c r="H2186" s="5" t="s">
        <v>7161</v>
      </c>
      <c r="J2186" s="10" t="s">
        <v>72</v>
      </c>
      <c r="L2186" s="5" t="s">
        <v>7162</v>
      </c>
    </row>
    <row r="2187" ht="12.75" customHeight="1">
      <c r="A2187" s="5" t="s">
        <v>4402</v>
      </c>
      <c r="B2187" s="5" t="s">
        <v>7163</v>
      </c>
      <c r="D2187" s="5" t="s">
        <v>101</v>
      </c>
      <c r="E2187" s="5" t="s">
        <v>42</v>
      </c>
      <c r="F2187" s="5" t="s">
        <v>157</v>
      </c>
      <c r="H2187" s="5" t="s">
        <v>7161</v>
      </c>
      <c r="J2187" s="10" t="s">
        <v>72</v>
      </c>
      <c r="L2187" s="5" t="s">
        <v>7164</v>
      </c>
    </row>
    <row r="2188" ht="12.75" customHeight="1">
      <c r="A2188" s="5" t="s">
        <v>7165</v>
      </c>
      <c r="B2188" s="5" t="s">
        <v>7166</v>
      </c>
      <c r="D2188" s="5" t="s">
        <v>116</v>
      </c>
      <c r="E2188" s="5" t="s">
        <v>42</v>
      </c>
      <c r="F2188" s="5" t="s">
        <v>157</v>
      </c>
      <c r="H2188" s="5" t="s">
        <v>7161</v>
      </c>
      <c r="J2188" s="10" t="s">
        <v>72</v>
      </c>
      <c r="L2188" s="5" t="s">
        <v>7167</v>
      </c>
    </row>
    <row r="2189" ht="12.75" customHeight="1">
      <c r="A2189" s="5" t="s">
        <v>4407</v>
      </c>
      <c r="B2189" s="5" t="s">
        <v>7168</v>
      </c>
      <c r="D2189" s="5" t="s">
        <v>122</v>
      </c>
      <c r="E2189" s="5" t="s">
        <v>42</v>
      </c>
      <c r="F2189" s="5" t="s">
        <v>400</v>
      </c>
      <c r="H2189" s="5" t="s">
        <v>7161</v>
      </c>
      <c r="J2189" s="10" t="s">
        <v>72</v>
      </c>
      <c r="L2189" s="5" t="s">
        <v>7169</v>
      </c>
    </row>
    <row r="2190" ht="12.75" customHeight="1">
      <c r="A2190" s="5" t="s">
        <v>7170</v>
      </c>
      <c r="B2190" s="5" t="s">
        <v>7171</v>
      </c>
      <c r="D2190" s="5" t="s">
        <v>132</v>
      </c>
      <c r="E2190" s="5" t="s">
        <v>42</v>
      </c>
      <c r="F2190" s="5" t="s">
        <v>423</v>
      </c>
      <c r="H2190" s="5" t="s">
        <v>7161</v>
      </c>
      <c r="J2190" s="10" t="s">
        <v>72</v>
      </c>
      <c r="L2190" s="5" t="s">
        <v>7172</v>
      </c>
    </row>
    <row r="2191" ht="12.75" customHeight="1">
      <c r="A2191" s="5" t="s">
        <v>7173</v>
      </c>
      <c r="B2191" s="10" t="s">
        <v>7174</v>
      </c>
      <c r="D2191" s="5" t="s">
        <v>94</v>
      </c>
      <c r="E2191" s="5" t="s">
        <v>35</v>
      </c>
      <c r="F2191" s="5" t="s">
        <v>710</v>
      </c>
      <c r="H2191" s="5" t="s">
        <v>2369</v>
      </c>
      <c r="J2191" s="10" t="s">
        <v>72</v>
      </c>
    </row>
    <row r="2192" ht="12.75" customHeight="1">
      <c r="A2192" s="5" t="s">
        <v>7175</v>
      </c>
      <c r="B2192" s="10" t="s">
        <v>7176</v>
      </c>
      <c r="D2192" s="5" t="s">
        <v>101</v>
      </c>
      <c r="E2192" s="5" t="s">
        <v>35</v>
      </c>
      <c r="F2192" s="5" t="s">
        <v>263</v>
      </c>
      <c r="H2192" s="5" t="s">
        <v>2369</v>
      </c>
      <c r="J2192" s="10" t="s">
        <v>72</v>
      </c>
    </row>
    <row r="2193" ht="12.75" customHeight="1">
      <c r="A2193" s="5" t="s">
        <v>7177</v>
      </c>
      <c r="B2193" s="10" t="s">
        <v>7178</v>
      </c>
      <c r="D2193" s="5" t="s">
        <v>116</v>
      </c>
      <c r="E2193" s="5" t="s">
        <v>35</v>
      </c>
      <c r="F2193" s="5" t="s">
        <v>96</v>
      </c>
      <c r="H2193" s="5" t="s">
        <v>2369</v>
      </c>
      <c r="J2193" s="10" t="s">
        <v>72</v>
      </c>
    </row>
    <row r="2194" ht="12.75" customHeight="1">
      <c r="A2194" s="5" t="s">
        <v>7179</v>
      </c>
      <c r="B2194" s="5" t="s">
        <v>7180</v>
      </c>
      <c r="D2194" s="5" t="s">
        <v>122</v>
      </c>
      <c r="E2194" s="5" t="s">
        <v>35</v>
      </c>
      <c r="F2194" s="5" t="s">
        <v>172</v>
      </c>
      <c r="H2194" s="5" t="s">
        <v>2369</v>
      </c>
      <c r="J2194" s="10" t="s">
        <v>72</v>
      </c>
    </row>
    <row r="2195" ht="12.75" customHeight="1">
      <c r="A2195" s="5" t="s">
        <v>7181</v>
      </c>
      <c r="B2195" s="5" t="s">
        <v>7182</v>
      </c>
      <c r="D2195" s="5" t="s">
        <v>132</v>
      </c>
      <c r="E2195" s="5" t="s">
        <v>35</v>
      </c>
      <c r="F2195" s="5" t="s">
        <v>104</v>
      </c>
      <c r="H2195" s="5" t="s">
        <v>2369</v>
      </c>
      <c r="J2195" s="10" t="s">
        <v>72</v>
      </c>
    </row>
    <row r="2196" ht="12.75" customHeight="1">
      <c r="A2196" s="5" t="s">
        <v>2369</v>
      </c>
      <c r="B2196" s="5" t="s">
        <v>7183</v>
      </c>
      <c r="C2196" s="5" t="s">
        <v>7184</v>
      </c>
      <c r="D2196" s="5" t="s">
        <v>132</v>
      </c>
      <c r="E2196" s="5" t="s">
        <v>35</v>
      </c>
      <c r="F2196" s="5" t="s">
        <v>1776</v>
      </c>
      <c r="H2196" s="5" t="s">
        <v>2344</v>
      </c>
      <c r="I2196" s="10" t="s">
        <v>72</v>
      </c>
      <c r="J2196" s="10" t="s">
        <v>72</v>
      </c>
      <c r="K2196" s="5" t="s">
        <v>7185</v>
      </c>
      <c r="L2196" s="5" t="s">
        <v>7161</v>
      </c>
    </row>
    <row r="2197" ht="12.75" customHeight="1">
      <c r="A2197" s="5" t="s">
        <v>7161</v>
      </c>
      <c r="B2197" s="10" t="s">
        <v>7186</v>
      </c>
      <c r="C2197" s="5" t="s">
        <v>7187</v>
      </c>
      <c r="D2197" s="5" t="s">
        <v>132</v>
      </c>
      <c r="E2197" s="5" t="s">
        <v>35</v>
      </c>
      <c r="F2197" s="5" t="s">
        <v>1776</v>
      </c>
      <c r="H2197" s="5" t="s">
        <v>2369</v>
      </c>
      <c r="I2197" s="10" t="s">
        <v>72</v>
      </c>
      <c r="J2197" s="10" t="s">
        <v>72</v>
      </c>
      <c r="K2197" s="5" t="s">
        <v>7188</v>
      </c>
    </row>
    <row r="2198" ht="12.75" customHeight="1">
      <c r="A2198" s="5" t="s">
        <v>7189</v>
      </c>
      <c r="B2198" s="5" t="s">
        <v>7190</v>
      </c>
      <c r="D2198" s="5" t="s">
        <v>94</v>
      </c>
      <c r="E2198" s="5" t="s">
        <v>42</v>
      </c>
      <c r="F2198" s="5" t="s">
        <v>423</v>
      </c>
      <c r="H2198" s="5" t="s">
        <v>7191</v>
      </c>
      <c r="J2198" s="10" t="s">
        <v>72</v>
      </c>
    </row>
    <row r="2199" ht="12.75" customHeight="1">
      <c r="A2199" s="5" t="s">
        <v>7192</v>
      </c>
      <c r="B2199" s="5" t="s">
        <v>7193</v>
      </c>
      <c r="D2199" s="5" t="s">
        <v>101</v>
      </c>
      <c r="E2199" s="5" t="s">
        <v>42</v>
      </c>
      <c r="F2199" s="5" t="s">
        <v>2771</v>
      </c>
      <c r="H2199" s="5" t="s">
        <v>7191</v>
      </c>
      <c r="J2199" s="10" t="s">
        <v>72</v>
      </c>
    </row>
    <row r="2200" ht="12.75" customHeight="1">
      <c r="A2200" s="5" t="s">
        <v>7194</v>
      </c>
      <c r="B2200" s="5" t="s">
        <v>7195</v>
      </c>
      <c r="D2200" s="5" t="s">
        <v>116</v>
      </c>
      <c r="E2200" s="5" t="s">
        <v>42</v>
      </c>
      <c r="F2200" s="5" t="s">
        <v>1223</v>
      </c>
      <c r="H2200" s="5" t="s">
        <v>7191</v>
      </c>
      <c r="J2200" s="10" t="s">
        <v>72</v>
      </c>
    </row>
    <row r="2201" ht="12.75" customHeight="1">
      <c r="A2201" s="5" t="s">
        <v>7196</v>
      </c>
      <c r="B2201" s="5" t="s">
        <v>7197</v>
      </c>
      <c r="D2201" s="5" t="s">
        <v>122</v>
      </c>
      <c r="E2201" s="5" t="s">
        <v>42</v>
      </c>
      <c r="F2201" s="5" t="s">
        <v>575</v>
      </c>
      <c r="H2201" s="5" t="s">
        <v>7191</v>
      </c>
      <c r="J2201" s="10" t="s">
        <v>72</v>
      </c>
    </row>
    <row r="2202" ht="12.75" customHeight="1">
      <c r="A2202" s="5" t="s">
        <v>7198</v>
      </c>
      <c r="B2202" s="5" t="s">
        <v>7199</v>
      </c>
      <c r="D2202" s="5" t="s">
        <v>132</v>
      </c>
      <c r="E2202" s="5" t="s">
        <v>42</v>
      </c>
      <c r="F2202" s="5" t="s">
        <v>167</v>
      </c>
      <c r="H2202" s="5" t="s">
        <v>7191</v>
      </c>
      <c r="J2202" s="10" t="s">
        <v>72</v>
      </c>
    </row>
    <row r="2203" ht="12.75" customHeight="1">
      <c r="A2203" s="5" t="s">
        <v>7200</v>
      </c>
      <c r="B2203" s="10" t="s">
        <v>7201</v>
      </c>
      <c r="D2203" s="5" t="s">
        <v>94</v>
      </c>
      <c r="E2203" s="5" t="s">
        <v>35</v>
      </c>
      <c r="F2203" s="5" t="s">
        <v>104</v>
      </c>
      <c r="H2203" s="5" t="s">
        <v>2378</v>
      </c>
      <c r="J2203" s="10" t="s">
        <v>72</v>
      </c>
    </row>
    <row r="2204" ht="12.75" customHeight="1">
      <c r="A2204" s="5" t="s">
        <v>7202</v>
      </c>
      <c r="B2204" s="10" t="s">
        <v>7203</v>
      </c>
      <c r="D2204" s="5" t="s">
        <v>101</v>
      </c>
      <c r="E2204" s="5" t="s">
        <v>35</v>
      </c>
      <c r="F2204" s="5" t="s">
        <v>1334</v>
      </c>
      <c r="H2204" s="5" t="s">
        <v>2378</v>
      </c>
      <c r="J2204" s="10" t="s">
        <v>72</v>
      </c>
    </row>
    <row r="2205" ht="12.75" customHeight="1">
      <c r="A2205" s="5" t="s">
        <v>7204</v>
      </c>
      <c r="B2205" s="5" t="s">
        <v>7205</v>
      </c>
      <c r="D2205" s="5" t="s">
        <v>116</v>
      </c>
      <c r="E2205" s="5" t="s">
        <v>35</v>
      </c>
      <c r="F2205" s="5" t="s">
        <v>545</v>
      </c>
      <c r="H2205" s="5" t="s">
        <v>2378</v>
      </c>
      <c r="J2205" s="10" t="s">
        <v>72</v>
      </c>
    </row>
    <row r="2206" ht="12.75" customHeight="1">
      <c r="A2206" s="5" t="s">
        <v>7206</v>
      </c>
      <c r="B2206" s="5" t="s">
        <v>7207</v>
      </c>
      <c r="D2206" s="5" t="s">
        <v>122</v>
      </c>
      <c r="E2206" s="5" t="s">
        <v>35</v>
      </c>
      <c r="F2206" s="5" t="s">
        <v>104</v>
      </c>
      <c r="H2206" s="5" t="s">
        <v>2378</v>
      </c>
      <c r="J2206" s="10" t="s">
        <v>72</v>
      </c>
    </row>
    <row r="2207" ht="12.75" customHeight="1">
      <c r="A2207" s="5" t="s">
        <v>7208</v>
      </c>
      <c r="B2207" s="5" t="s">
        <v>7209</v>
      </c>
      <c r="D2207" s="5" t="s">
        <v>132</v>
      </c>
      <c r="E2207" s="5" t="s">
        <v>35</v>
      </c>
      <c r="F2207" s="5" t="s">
        <v>710</v>
      </c>
      <c r="H2207" s="5" t="s">
        <v>2378</v>
      </c>
      <c r="J2207" s="10" t="s">
        <v>72</v>
      </c>
    </row>
    <row r="2208" ht="12.75" customHeight="1">
      <c r="A2208" s="5" t="s">
        <v>2378</v>
      </c>
      <c r="B2208" s="5" t="s">
        <v>7210</v>
      </c>
      <c r="C2208" s="5" t="s">
        <v>7211</v>
      </c>
      <c r="D2208" s="5" t="s">
        <v>132</v>
      </c>
      <c r="E2208" s="5" t="s">
        <v>35</v>
      </c>
      <c r="F2208" s="5" t="s">
        <v>1776</v>
      </c>
      <c r="H2208" s="5" t="s">
        <v>2344</v>
      </c>
      <c r="I2208" s="10" t="s">
        <v>72</v>
      </c>
      <c r="J2208" s="10" t="s">
        <v>72</v>
      </c>
      <c r="K2208" s="5" t="s">
        <v>7212</v>
      </c>
      <c r="L2208" s="5" t="s">
        <v>7191</v>
      </c>
    </row>
    <row r="2209" ht="12.75" customHeight="1">
      <c r="A2209" s="5" t="s">
        <v>7191</v>
      </c>
      <c r="B2209" s="5" t="s">
        <v>7213</v>
      </c>
      <c r="C2209" s="5" t="s">
        <v>7187</v>
      </c>
      <c r="D2209" s="5" t="s">
        <v>132</v>
      </c>
      <c r="E2209" s="5" t="s">
        <v>35</v>
      </c>
      <c r="F2209" s="5" t="s">
        <v>1776</v>
      </c>
      <c r="H2209" s="5" t="s">
        <v>2378</v>
      </c>
      <c r="I2209" s="10" t="s">
        <v>72</v>
      </c>
      <c r="J2209" s="10" t="s">
        <v>72</v>
      </c>
      <c r="K2209" s="5" t="s">
        <v>7214</v>
      </c>
    </row>
    <row r="2210" ht="12.75" customHeight="1">
      <c r="A2210" s="5" t="s">
        <v>7215</v>
      </c>
      <c r="B2210" s="5" t="s">
        <v>7216</v>
      </c>
      <c r="D2210" s="5" t="s">
        <v>94</v>
      </c>
      <c r="E2210" s="5" t="s">
        <v>42</v>
      </c>
      <c r="F2210" s="5" t="s">
        <v>43</v>
      </c>
      <c r="H2210" s="5" t="s">
        <v>7217</v>
      </c>
      <c r="J2210" s="10" t="s">
        <v>72</v>
      </c>
    </row>
    <row r="2211" ht="12.75" customHeight="1">
      <c r="A2211" s="5" t="s">
        <v>7218</v>
      </c>
      <c r="B2211" s="5" t="s">
        <v>7219</v>
      </c>
      <c r="D2211" s="5" t="s">
        <v>101</v>
      </c>
      <c r="E2211" s="5" t="s">
        <v>42</v>
      </c>
      <c r="F2211" s="5" t="s">
        <v>2638</v>
      </c>
      <c r="H2211" s="5" t="s">
        <v>7217</v>
      </c>
      <c r="J2211" s="10" t="s">
        <v>72</v>
      </c>
    </row>
    <row r="2212" ht="12.75" customHeight="1">
      <c r="A2212" s="5" t="s">
        <v>7220</v>
      </c>
      <c r="B2212" s="5" t="s">
        <v>7221</v>
      </c>
      <c r="D2212" s="5" t="s">
        <v>116</v>
      </c>
      <c r="E2212" s="5" t="s">
        <v>42</v>
      </c>
      <c r="F2212" s="5" t="s">
        <v>3107</v>
      </c>
      <c r="H2212" s="5" t="s">
        <v>7217</v>
      </c>
      <c r="J2212" s="10" t="s">
        <v>72</v>
      </c>
    </row>
    <row r="2213" ht="12.75" customHeight="1">
      <c r="A2213" s="5" t="s">
        <v>7222</v>
      </c>
      <c r="B2213" s="10" t="s">
        <v>7223</v>
      </c>
      <c r="D2213" s="5" t="s">
        <v>122</v>
      </c>
      <c r="E2213" s="5" t="s">
        <v>42</v>
      </c>
      <c r="F2213" s="5" t="s">
        <v>637</v>
      </c>
      <c r="H2213" s="5" t="s">
        <v>7217</v>
      </c>
      <c r="J2213" s="10" t="s">
        <v>72</v>
      </c>
    </row>
    <row r="2214" ht="12.75" customHeight="1">
      <c r="A2214" s="5" t="s">
        <v>7224</v>
      </c>
      <c r="B2214" s="5" t="s">
        <v>7225</v>
      </c>
      <c r="D2214" s="5" t="s">
        <v>132</v>
      </c>
      <c r="E2214" s="5" t="s">
        <v>42</v>
      </c>
      <c r="F2214" s="5" t="s">
        <v>1753</v>
      </c>
      <c r="H2214" s="5" t="s">
        <v>7217</v>
      </c>
      <c r="J2214" s="10" t="s">
        <v>72</v>
      </c>
    </row>
    <row r="2215" ht="12.75" customHeight="1">
      <c r="A2215" s="5" t="s">
        <v>7226</v>
      </c>
      <c r="B2215" s="5" t="s">
        <v>7227</v>
      </c>
      <c r="D2215" s="5" t="s">
        <v>94</v>
      </c>
      <c r="E2215" s="5" t="s">
        <v>35</v>
      </c>
      <c r="F2215" s="5" t="s">
        <v>189</v>
      </c>
      <c r="H2215" s="5" t="s">
        <v>2387</v>
      </c>
      <c r="J2215" s="10" t="s">
        <v>72</v>
      </c>
    </row>
    <row r="2216" ht="12.75" customHeight="1">
      <c r="A2216" s="5" t="s">
        <v>7228</v>
      </c>
      <c r="B2216" s="5" t="s">
        <v>7229</v>
      </c>
      <c r="D2216" s="5" t="s">
        <v>101</v>
      </c>
      <c r="E2216" s="5" t="s">
        <v>35</v>
      </c>
      <c r="F2216" s="5" t="s">
        <v>2390</v>
      </c>
      <c r="H2216" s="5" t="s">
        <v>2387</v>
      </c>
      <c r="J2216" s="10" t="s">
        <v>72</v>
      </c>
    </row>
    <row r="2217" ht="12.75" customHeight="1">
      <c r="A2217" s="5" t="s">
        <v>7230</v>
      </c>
      <c r="B2217" s="10" t="s">
        <v>7231</v>
      </c>
      <c r="D2217" s="5" t="s">
        <v>116</v>
      </c>
      <c r="E2217" s="5" t="s">
        <v>35</v>
      </c>
      <c r="F2217" s="5" t="s">
        <v>1831</v>
      </c>
      <c r="H2217" s="5" t="s">
        <v>2387</v>
      </c>
      <c r="J2217" s="10" t="s">
        <v>72</v>
      </c>
    </row>
    <row r="2218" ht="12.75" customHeight="1">
      <c r="A2218" s="5" t="s">
        <v>7232</v>
      </c>
      <c r="B2218" s="10" t="s">
        <v>7233</v>
      </c>
      <c r="D2218" s="5" t="s">
        <v>122</v>
      </c>
      <c r="E2218" s="5" t="s">
        <v>35</v>
      </c>
      <c r="F2218" s="5" t="s">
        <v>429</v>
      </c>
      <c r="H2218" s="5" t="s">
        <v>2387</v>
      </c>
      <c r="J2218" s="10" t="s">
        <v>72</v>
      </c>
    </row>
    <row r="2219" ht="12.75" customHeight="1">
      <c r="A2219" s="5" t="s">
        <v>7234</v>
      </c>
      <c r="B2219" s="10" t="s">
        <v>7235</v>
      </c>
      <c r="D2219" s="5" t="s">
        <v>132</v>
      </c>
      <c r="E2219" s="5" t="s">
        <v>35</v>
      </c>
      <c r="F2219" s="5" t="s">
        <v>90</v>
      </c>
      <c r="H2219" s="5" t="s">
        <v>2387</v>
      </c>
      <c r="J2219" s="10" t="s">
        <v>72</v>
      </c>
    </row>
    <row r="2220" ht="12.75" customHeight="1">
      <c r="A2220" s="5" t="s">
        <v>2387</v>
      </c>
      <c r="B2220" s="10" t="s">
        <v>7236</v>
      </c>
      <c r="C2220" s="5" t="s">
        <v>7237</v>
      </c>
      <c r="D2220" s="5" t="s">
        <v>132</v>
      </c>
      <c r="E2220" s="5" t="s">
        <v>35</v>
      </c>
      <c r="F2220" s="5" t="s">
        <v>1776</v>
      </c>
      <c r="H2220" s="5" t="s">
        <v>2344</v>
      </c>
      <c r="I2220" s="10" t="s">
        <v>72</v>
      </c>
      <c r="J2220" s="10" t="s">
        <v>72</v>
      </c>
      <c r="K2220" s="5" t="s">
        <v>7238</v>
      </c>
      <c r="L2220" s="5" t="s">
        <v>7217</v>
      </c>
    </row>
    <row r="2221" ht="12.75" customHeight="1">
      <c r="A2221" s="5" t="s">
        <v>7217</v>
      </c>
      <c r="B2221" s="5" t="s">
        <v>7239</v>
      </c>
      <c r="C2221" s="5" t="s">
        <v>7187</v>
      </c>
      <c r="D2221" s="5" t="s">
        <v>132</v>
      </c>
      <c r="E2221" s="5" t="s">
        <v>35</v>
      </c>
      <c r="F2221" s="5" t="s">
        <v>1776</v>
      </c>
      <c r="H2221" s="5" t="s">
        <v>2387</v>
      </c>
      <c r="I2221" s="10" t="s">
        <v>72</v>
      </c>
      <c r="J2221" s="10" t="s">
        <v>72</v>
      </c>
      <c r="K2221" s="5" t="s">
        <v>7240</v>
      </c>
    </row>
    <row r="2222" ht="12.75" customHeight="1">
      <c r="A2222" s="5" t="s">
        <v>7241</v>
      </c>
      <c r="B2222" s="5" t="s">
        <v>7242</v>
      </c>
      <c r="D2222" s="5" t="s">
        <v>94</v>
      </c>
      <c r="E2222" s="5" t="s">
        <v>42</v>
      </c>
      <c r="F2222" s="5" t="s">
        <v>65</v>
      </c>
      <c r="H2222" s="5" t="s">
        <v>7243</v>
      </c>
      <c r="J2222" s="10" t="s">
        <v>72</v>
      </c>
    </row>
    <row r="2223" ht="12.75" customHeight="1">
      <c r="A2223" s="5" t="s">
        <v>7244</v>
      </c>
      <c r="B2223" s="5" t="s">
        <v>7245</v>
      </c>
      <c r="D2223" s="5" t="s">
        <v>101</v>
      </c>
      <c r="E2223" s="5" t="s">
        <v>42</v>
      </c>
      <c r="F2223" s="5" t="s">
        <v>967</v>
      </c>
      <c r="H2223" s="5" t="s">
        <v>7243</v>
      </c>
      <c r="J2223" s="10" t="s">
        <v>72</v>
      </c>
    </row>
    <row r="2224" ht="12.75" customHeight="1">
      <c r="A2224" s="5" t="s">
        <v>7246</v>
      </c>
      <c r="B2224" s="5" t="s">
        <v>7247</v>
      </c>
      <c r="D2224" s="5" t="s">
        <v>116</v>
      </c>
      <c r="E2224" s="5" t="s">
        <v>42</v>
      </c>
      <c r="F2224" s="5" t="s">
        <v>3843</v>
      </c>
      <c r="H2224" s="5" t="s">
        <v>7243</v>
      </c>
      <c r="J2224" s="10" t="s">
        <v>72</v>
      </c>
    </row>
    <row r="2225" ht="12.75" customHeight="1">
      <c r="A2225" s="5" t="s">
        <v>7248</v>
      </c>
      <c r="B2225" s="5" t="s">
        <v>7249</v>
      </c>
      <c r="D2225" s="5" t="s">
        <v>122</v>
      </c>
      <c r="E2225" s="5" t="s">
        <v>42</v>
      </c>
      <c r="F2225" s="5" t="s">
        <v>657</v>
      </c>
      <c r="H2225" s="5" t="s">
        <v>7243</v>
      </c>
      <c r="J2225" s="10" t="s">
        <v>72</v>
      </c>
    </row>
    <row r="2226" ht="12.75" customHeight="1">
      <c r="A2226" s="5" t="s">
        <v>7250</v>
      </c>
      <c r="B2226" s="5" t="s">
        <v>7251</v>
      </c>
      <c r="D2226" s="5" t="s">
        <v>132</v>
      </c>
      <c r="E2226" s="5" t="s">
        <v>42</v>
      </c>
      <c r="F2226" s="5" t="s">
        <v>400</v>
      </c>
      <c r="H2226" s="5" t="s">
        <v>7243</v>
      </c>
      <c r="J2226" s="10" t="s">
        <v>72</v>
      </c>
    </row>
    <row r="2227" ht="12.75" customHeight="1">
      <c r="A2227" s="5" t="s">
        <v>7252</v>
      </c>
      <c r="B2227" s="10" t="s">
        <v>7253</v>
      </c>
      <c r="D2227" s="5" t="s">
        <v>94</v>
      </c>
      <c r="E2227" s="5" t="s">
        <v>35</v>
      </c>
      <c r="F2227" s="5" t="s">
        <v>616</v>
      </c>
      <c r="H2227" s="5" t="s">
        <v>2397</v>
      </c>
      <c r="J2227" s="10" t="s">
        <v>72</v>
      </c>
    </row>
    <row r="2228" ht="12.75" customHeight="1">
      <c r="A2228" s="5" t="s">
        <v>7254</v>
      </c>
      <c r="B2228" s="10" t="s">
        <v>7255</v>
      </c>
      <c r="D2228" s="5" t="s">
        <v>101</v>
      </c>
      <c r="E2228" s="5" t="s">
        <v>35</v>
      </c>
      <c r="F2228" s="5" t="s">
        <v>2401</v>
      </c>
      <c r="H2228" s="5" t="s">
        <v>2397</v>
      </c>
      <c r="J2228" s="10" t="s">
        <v>72</v>
      </c>
    </row>
    <row r="2229" ht="12.75" customHeight="1">
      <c r="A2229" s="5" t="s">
        <v>7256</v>
      </c>
      <c r="B2229" s="10" t="s">
        <v>7257</v>
      </c>
      <c r="D2229" s="5" t="s">
        <v>116</v>
      </c>
      <c r="E2229" s="5" t="s">
        <v>35</v>
      </c>
      <c r="F2229" s="5" t="s">
        <v>1143</v>
      </c>
      <c r="H2229" s="5" t="s">
        <v>2397</v>
      </c>
      <c r="J2229" s="10" t="s">
        <v>72</v>
      </c>
    </row>
    <row r="2230" ht="12.75" customHeight="1">
      <c r="A2230" s="5" t="s">
        <v>7258</v>
      </c>
      <c r="B2230" s="10" t="s">
        <v>7259</v>
      </c>
      <c r="D2230" s="5" t="s">
        <v>122</v>
      </c>
      <c r="E2230" s="5" t="s">
        <v>35</v>
      </c>
      <c r="F2230" s="5" t="s">
        <v>605</v>
      </c>
      <c r="H2230" s="5" t="s">
        <v>2397</v>
      </c>
      <c r="J2230" s="10" t="s">
        <v>72</v>
      </c>
    </row>
    <row r="2231" ht="12.75" customHeight="1">
      <c r="A2231" s="5" t="s">
        <v>7260</v>
      </c>
      <c r="B2231" s="10" t="s">
        <v>7261</v>
      </c>
      <c r="D2231" s="5" t="s">
        <v>132</v>
      </c>
      <c r="E2231" s="5" t="s">
        <v>35</v>
      </c>
      <c r="F2231" s="5" t="s">
        <v>616</v>
      </c>
      <c r="H2231" s="5" t="s">
        <v>2397</v>
      </c>
      <c r="J2231" s="10" t="s">
        <v>72</v>
      </c>
    </row>
    <row r="2232" ht="12.75" customHeight="1">
      <c r="A2232" s="5" t="s">
        <v>2397</v>
      </c>
      <c r="B2232" s="10" t="s">
        <v>7262</v>
      </c>
      <c r="C2232" s="5" t="s">
        <v>7263</v>
      </c>
      <c r="D2232" s="5" t="s">
        <v>132</v>
      </c>
      <c r="E2232" s="5" t="s">
        <v>35</v>
      </c>
      <c r="F2232" s="5" t="s">
        <v>1776</v>
      </c>
      <c r="H2232" s="5" t="s">
        <v>2344</v>
      </c>
      <c r="I2232" s="10" t="s">
        <v>72</v>
      </c>
      <c r="J2232" s="10" t="s">
        <v>72</v>
      </c>
      <c r="K2232" s="5" t="s">
        <v>7264</v>
      </c>
      <c r="L2232" s="5" t="s">
        <v>7243</v>
      </c>
    </row>
    <row r="2233" ht="12.75" customHeight="1">
      <c r="A2233" s="5" t="s">
        <v>7243</v>
      </c>
      <c r="B2233" s="5" t="s">
        <v>7265</v>
      </c>
      <c r="C2233" s="5" t="s">
        <v>7187</v>
      </c>
      <c r="D2233" s="5" t="s">
        <v>132</v>
      </c>
      <c r="E2233" s="5" t="s">
        <v>35</v>
      </c>
      <c r="F2233" s="5" t="s">
        <v>1776</v>
      </c>
      <c r="H2233" s="5" t="s">
        <v>2397</v>
      </c>
      <c r="I2233" s="10" t="s">
        <v>72</v>
      </c>
      <c r="J2233" s="10" t="s">
        <v>72</v>
      </c>
      <c r="K2233" s="5" t="s">
        <v>7266</v>
      </c>
    </row>
    <row r="2234" ht="12.75" customHeight="1">
      <c r="A2234" s="5" t="s">
        <v>7267</v>
      </c>
      <c r="B2234" s="5" t="s">
        <v>7268</v>
      </c>
      <c r="D2234" s="5" t="s">
        <v>94</v>
      </c>
      <c r="E2234" s="5" t="s">
        <v>42</v>
      </c>
      <c r="F2234" s="5" t="s">
        <v>199</v>
      </c>
      <c r="H2234" s="5" t="s">
        <v>7269</v>
      </c>
      <c r="J2234" s="10" t="s">
        <v>72</v>
      </c>
    </row>
    <row r="2235" ht="12.75" customHeight="1">
      <c r="A2235" s="5" t="s">
        <v>7270</v>
      </c>
      <c r="B2235" s="5" t="s">
        <v>7271</v>
      </c>
      <c r="D2235" s="5" t="s">
        <v>101</v>
      </c>
      <c r="E2235" s="5" t="s">
        <v>42</v>
      </c>
      <c r="F2235" s="5" t="s">
        <v>2420</v>
      </c>
      <c r="H2235" s="5" t="s">
        <v>7269</v>
      </c>
      <c r="J2235" s="10" t="s">
        <v>72</v>
      </c>
    </row>
    <row r="2236" ht="12.75" customHeight="1">
      <c r="A2236" s="5" t="s">
        <v>7272</v>
      </c>
      <c r="B2236" s="5" t="s">
        <v>7273</v>
      </c>
      <c r="D2236" s="5" t="s">
        <v>116</v>
      </c>
      <c r="E2236" s="5" t="s">
        <v>42</v>
      </c>
      <c r="F2236" s="5" t="s">
        <v>535</v>
      </c>
      <c r="H2236" s="5" t="s">
        <v>7269</v>
      </c>
      <c r="J2236" s="10" t="s">
        <v>72</v>
      </c>
    </row>
    <row r="2237" ht="12.75" customHeight="1">
      <c r="A2237" s="5" t="s">
        <v>7274</v>
      </c>
      <c r="B2237" s="5" t="s">
        <v>7275</v>
      </c>
      <c r="D2237" s="5" t="s">
        <v>122</v>
      </c>
      <c r="E2237" s="5" t="s">
        <v>42</v>
      </c>
      <c r="F2237" s="5" t="s">
        <v>657</v>
      </c>
      <c r="H2237" s="5" t="s">
        <v>7269</v>
      </c>
      <c r="J2237" s="10" t="s">
        <v>72</v>
      </c>
    </row>
    <row r="2238" ht="12.75" customHeight="1">
      <c r="A2238" s="5" t="s">
        <v>7276</v>
      </c>
      <c r="B2238" s="5" t="s">
        <v>7277</v>
      </c>
      <c r="D2238" s="5" t="s">
        <v>132</v>
      </c>
      <c r="E2238" s="5" t="s">
        <v>42</v>
      </c>
      <c r="F2238" s="5" t="s">
        <v>65</v>
      </c>
      <c r="H2238" s="5" t="s">
        <v>7269</v>
      </c>
      <c r="J2238" s="10" t="s">
        <v>72</v>
      </c>
    </row>
    <row r="2239" ht="12.75" customHeight="1">
      <c r="A2239" s="5" t="s">
        <v>7278</v>
      </c>
      <c r="B2239" s="10" t="s">
        <v>7279</v>
      </c>
      <c r="D2239" s="5" t="s">
        <v>94</v>
      </c>
      <c r="E2239" s="5" t="s">
        <v>35</v>
      </c>
      <c r="F2239" s="5" t="s">
        <v>913</v>
      </c>
      <c r="H2239" s="5" t="s">
        <v>2407</v>
      </c>
      <c r="J2239" s="10" t="s">
        <v>72</v>
      </c>
    </row>
    <row r="2240" ht="12.75" customHeight="1">
      <c r="A2240" s="5" t="s">
        <v>7280</v>
      </c>
      <c r="B2240" s="10" t="s">
        <v>7281</v>
      </c>
      <c r="D2240" s="5" t="s">
        <v>101</v>
      </c>
      <c r="E2240" s="5" t="s">
        <v>35</v>
      </c>
      <c r="F2240" s="5" t="s">
        <v>1896</v>
      </c>
      <c r="H2240" s="5" t="s">
        <v>2407</v>
      </c>
      <c r="J2240" s="10" t="s">
        <v>72</v>
      </c>
    </row>
    <row r="2241" ht="12.75" customHeight="1">
      <c r="A2241" s="5" t="s">
        <v>7282</v>
      </c>
      <c r="B2241" s="5" t="s">
        <v>7283</v>
      </c>
      <c r="D2241" s="5" t="s">
        <v>116</v>
      </c>
      <c r="E2241" s="5" t="s">
        <v>35</v>
      </c>
      <c r="F2241" s="5" t="s">
        <v>1334</v>
      </c>
      <c r="H2241" s="5" t="s">
        <v>2407</v>
      </c>
      <c r="J2241" s="10" t="s">
        <v>72</v>
      </c>
    </row>
    <row r="2242" ht="12.75" customHeight="1">
      <c r="A2242" s="5" t="s">
        <v>7284</v>
      </c>
      <c r="B2242" s="5" t="s">
        <v>7285</v>
      </c>
      <c r="D2242" s="5" t="s">
        <v>122</v>
      </c>
      <c r="E2242" s="5" t="s">
        <v>35</v>
      </c>
      <c r="F2242" s="5" t="s">
        <v>713</v>
      </c>
      <c r="H2242" s="5" t="s">
        <v>2407</v>
      </c>
      <c r="J2242" s="10" t="s">
        <v>72</v>
      </c>
    </row>
    <row r="2243" ht="12.75" customHeight="1">
      <c r="A2243" s="5" t="s">
        <v>7286</v>
      </c>
      <c r="B2243" s="5" t="s">
        <v>7287</v>
      </c>
      <c r="D2243" s="5" t="s">
        <v>132</v>
      </c>
      <c r="E2243" s="5" t="s">
        <v>35</v>
      </c>
      <c r="F2243" s="5" t="s">
        <v>36</v>
      </c>
      <c r="H2243" s="5" t="s">
        <v>2407</v>
      </c>
      <c r="J2243" s="10" t="s">
        <v>72</v>
      </c>
    </row>
    <row r="2244" ht="12.75" customHeight="1">
      <c r="A2244" s="5" t="s">
        <v>2407</v>
      </c>
      <c r="B2244" s="10" t="s">
        <v>7288</v>
      </c>
      <c r="C2244" s="5" t="s">
        <v>7289</v>
      </c>
      <c r="D2244" s="5" t="s">
        <v>132</v>
      </c>
      <c r="E2244" s="5" t="s">
        <v>35</v>
      </c>
      <c r="F2244" s="5" t="s">
        <v>1776</v>
      </c>
      <c r="H2244" s="5" t="s">
        <v>2344</v>
      </c>
      <c r="I2244" s="10" t="s">
        <v>72</v>
      </c>
      <c r="J2244" s="10" t="s">
        <v>72</v>
      </c>
      <c r="K2244" s="5" t="s">
        <v>7290</v>
      </c>
      <c r="L2244" s="5" t="s">
        <v>7269</v>
      </c>
    </row>
    <row r="2245" ht="12.75" customHeight="1">
      <c r="A2245" s="5" t="s">
        <v>7269</v>
      </c>
      <c r="B2245" s="5" t="s">
        <v>7291</v>
      </c>
      <c r="C2245" s="5" t="s">
        <v>7292</v>
      </c>
      <c r="D2245" s="5" t="s">
        <v>132</v>
      </c>
      <c r="E2245" s="5" t="s">
        <v>35</v>
      </c>
      <c r="F2245" s="5" t="s">
        <v>1776</v>
      </c>
      <c r="H2245" s="5" t="s">
        <v>2407</v>
      </c>
      <c r="I2245" s="10" t="s">
        <v>72</v>
      </c>
      <c r="J2245" s="10" t="s">
        <v>72</v>
      </c>
      <c r="K2245" s="5" t="s">
        <v>7293</v>
      </c>
    </row>
    <row r="2246" ht="12.75" customHeight="1">
      <c r="A2246" s="5" t="s">
        <v>7294</v>
      </c>
      <c r="B2246" s="5" t="s">
        <v>7295</v>
      </c>
      <c r="C2246" s="5" t="s">
        <v>7296</v>
      </c>
      <c r="D2246" s="5" t="s">
        <v>34</v>
      </c>
      <c r="E2246" s="5" t="s">
        <v>42</v>
      </c>
      <c r="F2246" s="5" t="s">
        <v>228</v>
      </c>
      <c r="J2246" s="10" t="s">
        <v>72</v>
      </c>
      <c r="K2246" s="5" t="s">
        <v>7297</v>
      </c>
      <c r="L2246" s="5" t="s">
        <v>7298</v>
      </c>
    </row>
    <row r="2247" ht="12.75" customHeight="1">
      <c r="A2247" s="5" t="s">
        <v>7299</v>
      </c>
      <c r="B2247" s="5" t="s">
        <v>7300</v>
      </c>
      <c r="D2247" s="5" t="s">
        <v>30</v>
      </c>
      <c r="E2247" s="5" t="s">
        <v>35</v>
      </c>
      <c r="F2247" s="5" t="s">
        <v>545</v>
      </c>
      <c r="H2247" s="5" t="s">
        <v>2522</v>
      </c>
      <c r="J2247" s="10" t="s">
        <v>72</v>
      </c>
      <c r="L2247" s="5" t="s">
        <v>7301</v>
      </c>
    </row>
    <row r="2248" ht="12.75" customHeight="1">
      <c r="A2248" s="5" t="s">
        <v>2522</v>
      </c>
      <c r="B2248" s="5" t="s">
        <v>7302</v>
      </c>
      <c r="D2248" s="5" t="s">
        <v>34</v>
      </c>
      <c r="E2248" s="5" t="s">
        <v>42</v>
      </c>
      <c r="F2248" s="5" t="s">
        <v>228</v>
      </c>
      <c r="H2248" s="5" t="s">
        <v>7294</v>
      </c>
      <c r="I2248" s="10" t="s">
        <v>72</v>
      </c>
      <c r="J2248" s="10" t="s">
        <v>72</v>
      </c>
      <c r="K2248" s="5" t="s">
        <v>7297</v>
      </c>
    </row>
    <row r="2249" ht="12.75" customHeight="1">
      <c r="A2249" s="5" t="s">
        <v>7303</v>
      </c>
      <c r="B2249" s="5" t="s">
        <v>7304</v>
      </c>
      <c r="D2249" s="5" t="s">
        <v>34</v>
      </c>
      <c r="E2249" s="5" t="s">
        <v>35</v>
      </c>
      <c r="F2249" s="5" t="s">
        <v>913</v>
      </c>
      <c r="H2249" s="5" t="s">
        <v>2522</v>
      </c>
      <c r="J2249" s="10" t="s">
        <v>72</v>
      </c>
      <c r="L2249" s="5" t="s">
        <v>7305</v>
      </c>
    </row>
    <row r="2250" ht="12.75" customHeight="1">
      <c r="A2250" s="5" t="s">
        <v>7306</v>
      </c>
      <c r="B2250" s="5" t="s">
        <v>7307</v>
      </c>
      <c r="D2250" s="5" t="s">
        <v>34</v>
      </c>
      <c r="E2250" s="5" t="s">
        <v>42</v>
      </c>
      <c r="F2250" s="5" t="s">
        <v>556</v>
      </c>
      <c r="H2250" s="5" t="s">
        <v>2522</v>
      </c>
      <c r="J2250" s="10" t="s">
        <v>72</v>
      </c>
      <c r="L2250" s="5" t="s">
        <v>7308</v>
      </c>
    </row>
    <row r="2251" ht="12.75" customHeight="1">
      <c r="A2251" s="5" t="s">
        <v>7309</v>
      </c>
      <c r="B2251" s="5" t="s">
        <v>7310</v>
      </c>
      <c r="D2251" s="5" t="s">
        <v>34</v>
      </c>
      <c r="E2251" s="5" t="s">
        <v>42</v>
      </c>
      <c r="F2251" s="5" t="s">
        <v>162</v>
      </c>
      <c r="H2251" s="5" t="s">
        <v>2522</v>
      </c>
      <c r="J2251" s="10" t="s">
        <v>72</v>
      </c>
      <c r="L2251" s="5" t="s">
        <v>7311</v>
      </c>
    </row>
    <row r="2252" ht="12.75" customHeight="1">
      <c r="A2252" s="5" t="s">
        <v>7312</v>
      </c>
      <c r="B2252" s="5" t="s">
        <v>7313</v>
      </c>
      <c r="D2252" s="5" t="s">
        <v>34</v>
      </c>
      <c r="E2252" s="5" t="s">
        <v>42</v>
      </c>
      <c r="F2252" s="5" t="s">
        <v>575</v>
      </c>
      <c r="H2252" s="5" t="s">
        <v>2522</v>
      </c>
      <c r="J2252" s="10" t="s">
        <v>72</v>
      </c>
      <c r="L2252" s="5" t="s">
        <v>7314</v>
      </c>
    </row>
    <row r="2253" ht="12.75" customHeight="1">
      <c r="A2253" s="5" t="s">
        <v>7315</v>
      </c>
      <c r="B2253" s="5" t="s">
        <v>7316</v>
      </c>
      <c r="D2253" s="5" t="s">
        <v>34</v>
      </c>
      <c r="E2253" s="5" t="s">
        <v>42</v>
      </c>
      <c r="F2253" s="5" t="s">
        <v>637</v>
      </c>
      <c r="H2253" s="5" t="s">
        <v>2522</v>
      </c>
      <c r="J2253" s="10" t="s">
        <v>72</v>
      </c>
      <c r="L2253" s="5" t="s">
        <v>7317</v>
      </c>
    </row>
    <row r="2254" ht="12.75" customHeight="1">
      <c r="A2254" s="5" t="s">
        <v>7318</v>
      </c>
      <c r="B2254" s="5" t="s">
        <v>7319</v>
      </c>
      <c r="D2254" s="5" t="s">
        <v>74</v>
      </c>
      <c r="E2254" s="5" t="s">
        <v>35</v>
      </c>
      <c r="F2254" s="5" t="s">
        <v>713</v>
      </c>
      <c r="H2254" s="5" t="s">
        <v>2522</v>
      </c>
      <c r="J2254" s="10" t="s">
        <v>72</v>
      </c>
      <c r="L2254" s="5" t="s">
        <v>7320</v>
      </c>
    </row>
    <row r="2255" ht="12.75" customHeight="1">
      <c r="A2255" s="5" t="s">
        <v>7321</v>
      </c>
      <c r="B2255" s="5" t="s">
        <v>7322</v>
      </c>
      <c r="D2255" s="5" t="s">
        <v>30</v>
      </c>
      <c r="E2255" s="5" t="s">
        <v>35</v>
      </c>
      <c r="F2255" s="5" t="s">
        <v>545</v>
      </c>
      <c r="H2255" s="5" t="s">
        <v>7299</v>
      </c>
      <c r="I2255" s="10" t="s">
        <v>72</v>
      </c>
      <c r="J2255" s="10" t="s">
        <v>72</v>
      </c>
    </row>
    <row r="2256" ht="12.75" customHeight="1">
      <c r="A2256" s="5" t="s">
        <v>7323</v>
      </c>
      <c r="B2256" s="5" t="s">
        <v>7324</v>
      </c>
      <c r="D2256" s="5" t="s">
        <v>34</v>
      </c>
      <c r="E2256" s="5" t="s">
        <v>35</v>
      </c>
      <c r="F2256" s="5" t="s">
        <v>913</v>
      </c>
      <c r="H2256" s="5" t="s">
        <v>7303</v>
      </c>
      <c r="I2256" s="10" t="s">
        <v>72</v>
      </c>
      <c r="J2256" s="10" t="s">
        <v>72</v>
      </c>
    </row>
    <row r="2257" ht="12.75" customHeight="1">
      <c r="A2257" s="5" t="s">
        <v>7325</v>
      </c>
      <c r="B2257" s="5" t="s">
        <v>7326</v>
      </c>
      <c r="D2257" s="5" t="s">
        <v>34</v>
      </c>
      <c r="E2257" s="5" t="s">
        <v>42</v>
      </c>
      <c r="F2257" s="5" t="s">
        <v>556</v>
      </c>
      <c r="H2257" s="5" t="s">
        <v>7306</v>
      </c>
      <c r="I2257" s="10" t="s">
        <v>72</v>
      </c>
      <c r="J2257" s="10" t="s">
        <v>72</v>
      </c>
    </row>
    <row r="2258" ht="12.75" customHeight="1">
      <c r="A2258" s="5" t="s">
        <v>2691</v>
      </c>
      <c r="B2258" s="5" t="s">
        <v>7327</v>
      </c>
      <c r="D2258" s="5" t="s">
        <v>34</v>
      </c>
      <c r="E2258" s="5" t="s">
        <v>42</v>
      </c>
      <c r="F2258" s="5" t="s">
        <v>162</v>
      </c>
      <c r="H2258" s="5" t="s">
        <v>7309</v>
      </c>
      <c r="I2258" s="10" t="s">
        <v>72</v>
      </c>
      <c r="J2258" s="10" t="s">
        <v>72</v>
      </c>
      <c r="L2258" s="5" t="s">
        <v>2688</v>
      </c>
    </row>
    <row r="2259" ht="12.75" customHeight="1">
      <c r="A2259" s="5" t="s">
        <v>7328</v>
      </c>
      <c r="B2259" s="5" t="s">
        <v>7329</v>
      </c>
      <c r="D2259" s="5" t="s">
        <v>34</v>
      </c>
      <c r="E2259" s="5" t="s">
        <v>42</v>
      </c>
      <c r="F2259" s="5" t="s">
        <v>575</v>
      </c>
      <c r="H2259" s="5" t="s">
        <v>7312</v>
      </c>
      <c r="I2259" s="10" t="s">
        <v>72</v>
      </c>
      <c r="J2259" s="10" t="s">
        <v>72</v>
      </c>
    </row>
    <row r="2260" ht="12.75" customHeight="1">
      <c r="A2260" s="5" t="s">
        <v>7330</v>
      </c>
      <c r="B2260" s="5" t="s">
        <v>7331</v>
      </c>
      <c r="D2260" s="5" t="s">
        <v>34</v>
      </c>
      <c r="E2260" s="5" t="s">
        <v>42</v>
      </c>
      <c r="F2260" s="5" t="s">
        <v>637</v>
      </c>
      <c r="H2260" s="5" t="s">
        <v>7315</v>
      </c>
      <c r="I2260" s="10" t="s">
        <v>72</v>
      </c>
      <c r="J2260" s="10" t="s">
        <v>72</v>
      </c>
    </row>
    <row r="2261" ht="12.75" customHeight="1">
      <c r="A2261" s="5" t="s">
        <v>7332</v>
      </c>
      <c r="B2261" s="5" t="s">
        <v>7333</v>
      </c>
      <c r="D2261" s="5" t="s">
        <v>74</v>
      </c>
      <c r="E2261" s="5" t="s">
        <v>35</v>
      </c>
      <c r="F2261" s="5" t="s">
        <v>713</v>
      </c>
      <c r="H2261" s="5" t="s">
        <v>7318</v>
      </c>
      <c r="I2261" s="10" t="s">
        <v>72</v>
      </c>
      <c r="J2261" s="10" t="s">
        <v>72</v>
      </c>
    </row>
    <row r="2262" ht="12.75" customHeight="1">
      <c r="A2262" s="5" t="s">
        <v>7334</v>
      </c>
      <c r="B2262" s="5" t="s">
        <v>7335</v>
      </c>
      <c r="D2262" s="5" t="s">
        <v>30</v>
      </c>
      <c r="E2262" s="5" t="s">
        <v>35</v>
      </c>
      <c r="F2262" s="5" t="s">
        <v>545</v>
      </c>
      <c r="H2262" s="5" t="s">
        <v>7299</v>
      </c>
      <c r="I2262" s="10" t="s">
        <v>72</v>
      </c>
      <c r="J2262" s="10" t="s">
        <v>72</v>
      </c>
    </row>
    <row r="2263" ht="12.75" customHeight="1">
      <c r="A2263" s="5" t="s">
        <v>7336</v>
      </c>
      <c r="B2263" s="5" t="s">
        <v>7337</v>
      </c>
      <c r="D2263" s="5" t="s">
        <v>34</v>
      </c>
      <c r="E2263" s="5" t="s">
        <v>35</v>
      </c>
      <c r="F2263" s="5" t="s">
        <v>913</v>
      </c>
      <c r="H2263" s="5" t="s">
        <v>7303</v>
      </c>
      <c r="I2263" s="10" t="s">
        <v>72</v>
      </c>
      <c r="J2263" s="10" t="s">
        <v>72</v>
      </c>
    </row>
    <row r="2264" ht="12.75" customHeight="1">
      <c r="A2264" s="5" t="s">
        <v>7338</v>
      </c>
      <c r="B2264" s="5" t="s">
        <v>7339</v>
      </c>
      <c r="D2264" s="5" t="s">
        <v>34</v>
      </c>
      <c r="E2264" s="5" t="s">
        <v>42</v>
      </c>
      <c r="F2264" s="5" t="s">
        <v>556</v>
      </c>
      <c r="H2264" s="5" t="s">
        <v>7306</v>
      </c>
      <c r="I2264" s="10" t="s">
        <v>72</v>
      </c>
      <c r="J2264" s="10" t="s">
        <v>72</v>
      </c>
    </row>
    <row r="2265" ht="12.75" customHeight="1">
      <c r="A2265" s="5" t="s">
        <v>7340</v>
      </c>
      <c r="B2265" s="5" t="s">
        <v>7341</v>
      </c>
      <c r="D2265" s="5" t="s">
        <v>34</v>
      </c>
      <c r="E2265" s="5" t="s">
        <v>42</v>
      </c>
      <c r="F2265" s="5" t="s">
        <v>162</v>
      </c>
      <c r="H2265" s="5" t="s">
        <v>7309</v>
      </c>
      <c r="I2265" s="10" t="s">
        <v>72</v>
      </c>
      <c r="J2265" s="10" t="s">
        <v>72</v>
      </c>
    </row>
    <row r="2266" ht="12.75" customHeight="1">
      <c r="A2266" s="5" t="s">
        <v>7342</v>
      </c>
      <c r="B2266" s="5" t="s">
        <v>7343</v>
      </c>
      <c r="D2266" s="5" t="s">
        <v>34</v>
      </c>
      <c r="E2266" s="5" t="s">
        <v>42</v>
      </c>
      <c r="F2266" s="5" t="s">
        <v>575</v>
      </c>
      <c r="H2266" s="5" t="s">
        <v>7312</v>
      </c>
      <c r="I2266" s="10" t="s">
        <v>72</v>
      </c>
      <c r="J2266" s="10" t="s">
        <v>72</v>
      </c>
    </row>
    <row r="2267" ht="12.75" customHeight="1">
      <c r="A2267" s="5" t="s">
        <v>7344</v>
      </c>
      <c r="B2267" s="5" t="s">
        <v>7345</v>
      </c>
      <c r="D2267" s="5" t="s">
        <v>34</v>
      </c>
      <c r="E2267" s="5" t="s">
        <v>42</v>
      </c>
      <c r="F2267" s="5" t="s">
        <v>637</v>
      </c>
      <c r="H2267" s="5" t="s">
        <v>7315</v>
      </c>
      <c r="I2267" s="10" t="s">
        <v>72</v>
      </c>
      <c r="J2267" s="10" t="s">
        <v>72</v>
      </c>
    </row>
    <row r="2268" ht="12.75" customHeight="1">
      <c r="A2268" s="5" t="s">
        <v>7346</v>
      </c>
      <c r="B2268" s="5" t="s">
        <v>7347</v>
      </c>
      <c r="D2268" s="5" t="s">
        <v>74</v>
      </c>
      <c r="E2268" s="5" t="s">
        <v>35</v>
      </c>
      <c r="F2268" s="5" t="s">
        <v>713</v>
      </c>
      <c r="H2268" s="5" t="s">
        <v>7318</v>
      </c>
      <c r="I2268" s="10" t="s">
        <v>72</v>
      </c>
      <c r="J2268" s="10" t="s">
        <v>72</v>
      </c>
    </row>
    <row r="2269" ht="12.75" customHeight="1">
      <c r="A2269" s="5" t="s">
        <v>7348</v>
      </c>
      <c r="B2269" s="5" t="s">
        <v>7349</v>
      </c>
      <c r="D2269" s="5" t="s">
        <v>30</v>
      </c>
      <c r="E2269" s="5" t="s">
        <v>35</v>
      </c>
      <c r="F2269" s="5" t="s">
        <v>545</v>
      </c>
      <c r="H2269" s="5" t="s">
        <v>7299</v>
      </c>
      <c r="I2269" s="10" t="s">
        <v>72</v>
      </c>
      <c r="J2269" s="10" t="s">
        <v>72</v>
      </c>
    </row>
    <row r="2270" ht="12.75" customHeight="1">
      <c r="A2270" s="5" t="s">
        <v>7350</v>
      </c>
      <c r="B2270" s="5" t="s">
        <v>7351</v>
      </c>
      <c r="D2270" s="5" t="s">
        <v>34</v>
      </c>
      <c r="E2270" s="5" t="s">
        <v>35</v>
      </c>
      <c r="F2270" s="5" t="s">
        <v>913</v>
      </c>
      <c r="H2270" s="5" t="s">
        <v>7303</v>
      </c>
      <c r="I2270" s="10" t="s">
        <v>72</v>
      </c>
      <c r="J2270" s="10" t="s">
        <v>72</v>
      </c>
    </row>
    <row r="2271" ht="12.75" customHeight="1">
      <c r="A2271" s="5" t="s">
        <v>7352</v>
      </c>
      <c r="B2271" s="5" t="s">
        <v>7353</v>
      </c>
      <c r="D2271" s="5" t="s">
        <v>34</v>
      </c>
      <c r="E2271" s="5" t="s">
        <v>42</v>
      </c>
      <c r="F2271" s="5" t="s">
        <v>556</v>
      </c>
      <c r="H2271" s="5" t="s">
        <v>7306</v>
      </c>
      <c r="I2271" s="10" t="s">
        <v>72</v>
      </c>
      <c r="J2271" s="10" t="s">
        <v>72</v>
      </c>
    </row>
    <row r="2272" ht="12.75" customHeight="1">
      <c r="A2272" s="5" t="s">
        <v>7354</v>
      </c>
      <c r="B2272" s="5" t="s">
        <v>7355</v>
      </c>
      <c r="D2272" s="5" t="s">
        <v>34</v>
      </c>
      <c r="E2272" s="5" t="s">
        <v>42</v>
      </c>
      <c r="F2272" s="5" t="s">
        <v>162</v>
      </c>
      <c r="H2272" s="5" t="s">
        <v>7309</v>
      </c>
      <c r="I2272" s="10" t="s">
        <v>72</v>
      </c>
      <c r="J2272" s="10" t="s">
        <v>72</v>
      </c>
    </row>
    <row r="2273" ht="12.75" customHeight="1">
      <c r="A2273" s="5" t="s">
        <v>7356</v>
      </c>
      <c r="B2273" s="5" t="s">
        <v>7357</v>
      </c>
      <c r="D2273" s="5" t="s">
        <v>34</v>
      </c>
      <c r="E2273" s="5" t="s">
        <v>42</v>
      </c>
      <c r="F2273" s="5" t="s">
        <v>575</v>
      </c>
      <c r="H2273" s="5" t="s">
        <v>7312</v>
      </c>
      <c r="I2273" s="10" t="s">
        <v>72</v>
      </c>
      <c r="J2273" s="10" t="s">
        <v>72</v>
      </c>
    </row>
    <row r="2274" ht="12.75" customHeight="1">
      <c r="A2274" s="5" t="s">
        <v>7358</v>
      </c>
      <c r="B2274" s="5" t="s">
        <v>7359</v>
      </c>
      <c r="D2274" s="5" t="s">
        <v>34</v>
      </c>
      <c r="E2274" s="5" t="s">
        <v>42</v>
      </c>
      <c r="F2274" s="5" t="s">
        <v>637</v>
      </c>
      <c r="H2274" s="5" t="s">
        <v>7315</v>
      </c>
      <c r="I2274" s="10" t="s">
        <v>72</v>
      </c>
      <c r="J2274" s="10" t="s">
        <v>72</v>
      </c>
    </row>
    <row r="2275" ht="12.75" customHeight="1">
      <c r="A2275" s="5" t="s">
        <v>7360</v>
      </c>
      <c r="B2275" s="5" t="s">
        <v>7361</v>
      </c>
      <c r="D2275" s="5" t="s">
        <v>74</v>
      </c>
      <c r="E2275" s="5" t="s">
        <v>35</v>
      </c>
      <c r="F2275" s="5" t="s">
        <v>713</v>
      </c>
      <c r="H2275" s="5" t="s">
        <v>7318</v>
      </c>
      <c r="I2275" s="10" t="s">
        <v>72</v>
      </c>
      <c r="J2275" s="10" t="s">
        <v>72</v>
      </c>
    </row>
    <row r="2276" ht="12.75" customHeight="1">
      <c r="A2276" s="5" t="s">
        <v>7362</v>
      </c>
      <c r="B2276" s="5" t="s">
        <v>7363</v>
      </c>
      <c r="D2276" s="5" t="s">
        <v>30</v>
      </c>
      <c r="E2276" s="5" t="s">
        <v>35</v>
      </c>
      <c r="F2276" s="5" t="s">
        <v>545</v>
      </c>
      <c r="H2276" s="5" t="s">
        <v>7299</v>
      </c>
      <c r="I2276" s="10" t="s">
        <v>72</v>
      </c>
      <c r="J2276" s="10" t="s">
        <v>72</v>
      </c>
    </row>
    <row r="2277" ht="12.75" customHeight="1">
      <c r="A2277" s="5" t="s">
        <v>7364</v>
      </c>
      <c r="B2277" s="5" t="s">
        <v>7365</v>
      </c>
      <c r="D2277" s="5" t="s">
        <v>34</v>
      </c>
      <c r="E2277" s="5" t="s">
        <v>35</v>
      </c>
      <c r="F2277" s="5" t="s">
        <v>913</v>
      </c>
      <c r="H2277" s="5" t="s">
        <v>7303</v>
      </c>
      <c r="I2277" s="10" t="s">
        <v>72</v>
      </c>
      <c r="J2277" s="10" t="s">
        <v>72</v>
      </c>
    </row>
    <row r="2278" ht="12.75" customHeight="1">
      <c r="A2278" s="5" t="s">
        <v>7366</v>
      </c>
      <c r="B2278" s="5" t="s">
        <v>7367</v>
      </c>
      <c r="D2278" s="5" t="s">
        <v>34</v>
      </c>
      <c r="E2278" s="5" t="s">
        <v>42</v>
      </c>
      <c r="F2278" s="5" t="s">
        <v>556</v>
      </c>
      <c r="H2278" s="5" t="s">
        <v>7306</v>
      </c>
      <c r="I2278" s="10" t="s">
        <v>72</v>
      </c>
      <c r="J2278" s="10" t="s">
        <v>72</v>
      </c>
    </row>
    <row r="2279" ht="12.75" customHeight="1">
      <c r="A2279" s="5" t="s">
        <v>7368</v>
      </c>
      <c r="B2279" s="5" t="s">
        <v>7369</v>
      </c>
      <c r="D2279" s="5" t="s">
        <v>34</v>
      </c>
      <c r="E2279" s="5" t="s">
        <v>42</v>
      </c>
      <c r="F2279" s="5" t="s">
        <v>162</v>
      </c>
      <c r="H2279" s="5" t="s">
        <v>7309</v>
      </c>
      <c r="I2279" s="10" t="s">
        <v>72</v>
      </c>
      <c r="J2279" s="10" t="s">
        <v>72</v>
      </c>
    </row>
    <row r="2280" ht="12.75" customHeight="1">
      <c r="A2280" s="5" t="s">
        <v>7370</v>
      </c>
      <c r="B2280" s="5" t="s">
        <v>7371</v>
      </c>
      <c r="D2280" s="5" t="s">
        <v>34</v>
      </c>
      <c r="E2280" s="5" t="s">
        <v>42</v>
      </c>
      <c r="F2280" s="5" t="s">
        <v>575</v>
      </c>
      <c r="H2280" s="5" t="s">
        <v>7312</v>
      </c>
      <c r="I2280" s="10" t="s">
        <v>72</v>
      </c>
      <c r="J2280" s="10" t="s">
        <v>72</v>
      </c>
    </row>
    <row r="2281" ht="12.75" customHeight="1">
      <c r="A2281" s="5" t="s">
        <v>7372</v>
      </c>
      <c r="B2281" s="5" t="s">
        <v>7373</v>
      </c>
      <c r="D2281" s="5" t="s">
        <v>34</v>
      </c>
      <c r="E2281" s="5" t="s">
        <v>42</v>
      </c>
      <c r="F2281" s="5" t="s">
        <v>637</v>
      </c>
      <c r="H2281" s="5" t="s">
        <v>7315</v>
      </c>
      <c r="I2281" s="10" t="s">
        <v>72</v>
      </c>
      <c r="J2281" s="10" t="s">
        <v>72</v>
      </c>
    </row>
    <row r="2282" ht="12.75" customHeight="1">
      <c r="A2282" s="5" t="s">
        <v>7374</v>
      </c>
      <c r="B2282" s="5" t="s">
        <v>7375</v>
      </c>
      <c r="D2282" s="5" t="s">
        <v>74</v>
      </c>
      <c r="E2282" s="5" t="s">
        <v>35</v>
      </c>
      <c r="F2282" s="5" t="s">
        <v>713</v>
      </c>
      <c r="H2282" s="5" t="s">
        <v>7318</v>
      </c>
      <c r="I2282" s="10" t="s">
        <v>72</v>
      </c>
      <c r="J2282" s="10" t="s">
        <v>72</v>
      </c>
    </row>
    <row r="2283" ht="12.75" customHeight="1">
      <c r="A2283" s="5" t="s">
        <v>7376</v>
      </c>
      <c r="B2283" s="5" t="s">
        <v>7377</v>
      </c>
      <c r="C2283" s="5" t="s">
        <v>4051</v>
      </c>
      <c r="D2283" s="5" t="s">
        <v>34</v>
      </c>
      <c r="E2283" s="5" t="s">
        <v>42</v>
      </c>
      <c r="F2283" s="5" t="s">
        <v>657</v>
      </c>
      <c r="J2283" s="10" t="s">
        <v>72</v>
      </c>
      <c r="K2283" s="5" t="s">
        <v>7378</v>
      </c>
    </row>
    <row r="2284" ht="12.75" customHeight="1">
      <c r="A2284" s="5" t="s">
        <v>7379</v>
      </c>
      <c r="B2284" s="5" t="s">
        <v>7380</v>
      </c>
      <c r="C2284" s="5" t="s">
        <v>7381</v>
      </c>
      <c r="D2284" s="5" t="s">
        <v>22</v>
      </c>
      <c r="E2284" s="5" t="s">
        <v>42</v>
      </c>
      <c r="F2284" s="5" t="s">
        <v>54</v>
      </c>
      <c r="H2284" s="5" t="s">
        <v>7376</v>
      </c>
      <c r="J2284" s="10" t="s">
        <v>72</v>
      </c>
      <c r="K2284" s="5" t="s">
        <v>7382</v>
      </c>
    </row>
    <row r="2285" ht="12.75" customHeight="1">
      <c r="A2285" s="5" t="s">
        <v>7383</v>
      </c>
      <c r="B2285" s="5" t="s">
        <v>7384</v>
      </c>
      <c r="C2285" s="5" t="s">
        <v>7385</v>
      </c>
      <c r="D2285" s="5" t="s">
        <v>30</v>
      </c>
      <c r="E2285" s="5" t="s">
        <v>42</v>
      </c>
      <c r="F2285" s="5" t="s">
        <v>2638</v>
      </c>
      <c r="H2285" s="5" t="s">
        <v>7376</v>
      </c>
      <c r="J2285" s="10" t="s">
        <v>72</v>
      </c>
      <c r="K2285" s="5" t="s">
        <v>7386</v>
      </c>
    </row>
    <row r="2286" ht="12.75" customHeight="1">
      <c r="A2286" s="5" t="s">
        <v>7387</v>
      </c>
      <c r="B2286" s="5" t="s">
        <v>7388</v>
      </c>
      <c r="C2286" s="5" t="s">
        <v>7389</v>
      </c>
      <c r="D2286" s="5" t="s">
        <v>34</v>
      </c>
      <c r="E2286" s="5" t="s">
        <v>42</v>
      </c>
      <c r="F2286" s="5" t="s">
        <v>238</v>
      </c>
      <c r="H2286" s="5" t="s">
        <v>7376</v>
      </c>
      <c r="J2286" s="10" t="s">
        <v>72</v>
      </c>
      <c r="K2286" s="5" t="s">
        <v>7390</v>
      </c>
    </row>
    <row r="2287" ht="12.75" customHeight="1">
      <c r="A2287" s="5" t="s">
        <v>4681</v>
      </c>
      <c r="B2287" s="5" t="s">
        <v>7391</v>
      </c>
      <c r="C2287" s="5" t="s">
        <v>4679</v>
      </c>
      <c r="D2287" s="5" t="s">
        <v>22</v>
      </c>
      <c r="E2287" s="5" t="s">
        <v>42</v>
      </c>
      <c r="F2287" s="5" t="s">
        <v>572</v>
      </c>
      <c r="H2287" s="5" t="s">
        <v>7376</v>
      </c>
      <c r="J2287" s="10" t="s">
        <v>72</v>
      </c>
      <c r="K2287" s="5" t="s">
        <v>7392</v>
      </c>
    </row>
    <row r="2288" ht="12.75" customHeight="1">
      <c r="A2288" s="5" t="s">
        <v>7393</v>
      </c>
      <c r="B2288" s="5" t="s">
        <v>7394</v>
      </c>
      <c r="C2288" s="5" t="s">
        <v>7395</v>
      </c>
      <c r="D2288" s="5" t="s">
        <v>46</v>
      </c>
      <c r="E2288" s="5" t="s">
        <v>42</v>
      </c>
      <c r="F2288" s="5" t="s">
        <v>157</v>
      </c>
      <c r="H2288" s="5" t="s">
        <v>7376</v>
      </c>
      <c r="J2288" s="10" t="s">
        <v>72</v>
      </c>
      <c r="K2288" s="5" t="s">
        <v>7396</v>
      </c>
    </row>
    <row r="2289" ht="12.75" customHeight="1">
      <c r="A2289" s="5" t="s">
        <v>7397</v>
      </c>
      <c r="B2289" s="5" t="s">
        <v>7398</v>
      </c>
      <c r="C2289" s="5" t="s">
        <v>7399</v>
      </c>
      <c r="D2289" s="5" t="s">
        <v>38</v>
      </c>
      <c r="E2289" s="5" t="s">
        <v>42</v>
      </c>
      <c r="F2289" s="5" t="s">
        <v>445</v>
      </c>
      <c r="H2289" s="5" t="s">
        <v>7400</v>
      </c>
      <c r="J2289" s="10" t="s">
        <v>72</v>
      </c>
      <c r="K2289" s="5" t="s">
        <v>7401</v>
      </c>
    </row>
    <row r="2290" ht="12.75" customHeight="1">
      <c r="A2290" s="5" t="s">
        <v>7402</v>
      </c>
      <c r="B2290" s="5" t="s">
        <v>7403</v>
      </c>
      <c r="C2290" s="5" t="s">
        <v>7404</v>
      </c>
      <c r="D2290" s="5" t="s">
        <v>38</v>
      </c>
      <c r="E2290" s="5" t="s">
        <v>42</v>
      </c>
      <c r="F2290" s="5" t="s">
        <v>228</v>
      </c>
      <c r="H2290" s="5" t="s">
        <v>1077</v>
      </c>
      <c r="J2290" s="10" t="s">
        <v>72</v>
      </c>
      <c r="K2290" s="5" t="s">
        <v>7405</v>
      </c>
    </row>
    <row r="2291" ht="12.75" customHeight="1">
      <c r="A2291" s="5" t="s">
        <v>7406</v>
      </c>
      <c r="B2291" s="5" t="s">
        <v>7407</v>
      </c>
      <c r="C2291" s="5" t="s">
        <v>7408</v>
      </c>
      <c r="D2291" s="5" t="s">
        <v>38</v>
      </c>
      <c r="E2291" s="5" t="s">
        <v>42</v>
      </c>
      <c r="F2291" s="5" t="s">
        <v>228</v>
      </c>
      <c r="H2291" s="5" t="s">
        <v>1097</v>
      </c>
      <c r="J2291" s="10" t="s">
        <v>72</v>
      </c>
      <c r="K2291" s="5" t="s">
        <v>7409</v>
      </c>
    </row>
    <row r="2292" ht="12.75" customHeight="1">
      <c r="A2292" s="5" t="s">
        <v>7410</v>
      </c>
      <c r="B2292" s="5" t="s">
        <v>7411</v>
      </c>
      <c r="C2292" s="5" t="s">
        <v>7412</v>
      </c>
      <c r="D2292" s="5" t="s">
        <v>38</v>
      </c>
      <c r="E2292" s="5" t="s">
        <v>42</v>
      </c>
      <c r="F2292" s="5" t="s">
        <v>572</v>
      </c>
      <c r="H2292" s="5" t="s">
        <v>7413</v>
      </c>
      <c r="J2292" s="10" t="s">
        <v>72</v>
      </c>
      <c r="K2292" s="5" t="s">
        <v>7414</v>
      </c>
    </row>
    <row r="2293" ht="12.75" customHeight="1">
      <c r="A2293" s="5" t="s">
        <v>7415</v>
      </c>
      <c r="B2293" s="5" t="s">
        <v>7416</v>
      </c>
      <c r="C2293" s="5" t="s">
        <v>7417</v>
      </c>
      <c r="D2293" s="5" t="s">
        <v>38</v>
      </c>
      <c r="E2293" s="5" t="s">
        <v>42</v>
      </c>
      <c r="F2293" s="5" t="s">
        <v>228</v>
      </c>
      <c r="H2293" s="5" t="s">
        <v>7418</v>
      </c>
      <c r="J2293" s="10" t="s">
        <v>72</v>
      </c>
      <c r="K2293" s="5" t="s">
        <v>7419</v>
      </c>
    </row>
    <row r="2294" ht="12.75" customHeight="1">
      <c r="A2294" s="5" t="s">
        <v>7400</v>
      </c>
      <c r="B2294" s="5" t="s">
        <v>7420</v>
      </c>
      <c r="C2294" s="5" t="s">
        <v>7399</v>
      </c>
      <c r="D2294" s="5" t="s">
        <v>22</v>
      </c>
      <c r="E2294" s="5" t="s">
        <v>42</v>
      </c>
      <c r="F2294" s="5" t="s">
        <v>113</v>
      </c>
      <c r="H2294" s="5" t="s">
        <v>7376</v>
      </c>
      <c r="J2294" s="10" t="s">
        <v>72</v>
      </c>
      <c r="K2294" s="5" t="s">
        <v>7421</v>
      </c>
    </row>
    <row r="2295" ht="12.75" customHeight="1">
      <c r="A2295" s="5" t="s">
        <v>1077</v>
      </c>
      <c r="B2295" s="5" t="s">
        <v>7422</v>
      </c>
      <c r="C2295" s="5" t="s">
        <v>7404</v>
      </c>
      <c r="D2295" s="5" t="s">
        <v>30</v>
      </c>
      <c r="E2295" s="5" t="s">
        <v>42</v>
      </c>
      <c r="F2295" s="5" t="s">
        <v>1911</v>
      </c>
      <c r="H2295" s="5" t="s">
        <v>7376</v>
      </c>
      <c r="J2295" s="10" t="s">
        <v>72</v>
      </c>
      <c r="K2295" s="5" t="s">
        <v>7423</v>
      </c>
    </row>
    <row r="2296" ht="12.75" customHeight="1">
      <c r="A2296" s="5" t="s">
        <v>1097</v>
      </c>
      <c r="B2296" s="5" t="s">
        <v>7424</v>
      </c>
      <c r="C2296" s="5" t="s">
        <v>7408</v>
      </c>
      <c r="D2296" s="5" t="s">
        <v>34</v>
      </c>
      <c r="E2296" s="5" t="s">
        <v>42</v>
      </c>
      <c r="F2296" s="5" t="s">
        <v>445</v>
      </c>
      <c r="H2296" s="5" t="s">
        <v>7376</v>
      </c>
      <c r="J2296" s="10" t="s">
        <v>72</v>
      </c>
      <c r="K2296" s="5" t="s">
        <v>7425</v>
      </c>
    </row>
    <row r="2297" ht="12.75" customHeight="1">
      <c r="A2297" s="5" t="s">
        <v>7413</v>
      </c>
      <c r="B2297" s="5" t="s">
        <v>7426</v>
      </c>
      <c r="C2297" s="5" t="s">
        <v>7412</v>
      </c>
      <c r="D2297" s="5" t="s">
        <v>22</v>
      </c>
      <c r="E2297" s="5" t="s">
        <v>42</v>
      </c>
      <c r="F2297" s="5" t="s">
        <v>423</v>
      </c>
      <c r="H2297" s="5" t="s">
        <v>7376</v>
      </c>
      <c r="J2297" s="10" t="s">
        <v>72</v>
      </c>
      <c r="K2297" s="5" t="s">
        <v>7427</v>
      </c>
    </row>
    <row r="2298" ht="12.75" customHeight="1">
      <c r="A2298" s="5" t="s">
        <v>7418</v>
      </c>
      <c r="B2298" s="5" t="s">
        <v>7428</v>
      </c>
      <c r="C2298" s="5" t="s">
        <v>7417</v>
      </c>
      <c r="D2298" s="5" t="s">
        <v>46</v>
      </c>
      <c r="E2298" s="5" t="s">
        <v>42</v>
      </c>
      <c r="F2298" s="5" t="s">
        <v>3107</v>
      </c>
      <c r="H2298" s="5" t="s">
        <v>7376</v>
      </c>
      <c r="J2298" s="10" t="s">
        <v>72</v>
      </c>
      <c r="K2298" s="5" t="s">
        <v>7429</v>
      </c>
    </row>
    <row r="2299" ht="12.75" customHeight="1">
      <c r="A2299" s="5" t="s">
        <v>7430</v>
      </c>
      <c r="B2299" s="5" t="s">
        <v>7431</v>
      </c>
      <c r="C2299" s="5" t="s">
        <v>7432</v>
      </c>
      <c r="D2299" s="5" t="s">
        <v>38</v>
      </c>
      <c r="E2299" s="5" t="s">
        <v>42</v>
      </c>
      <c r="F2299" s="5" t="s">
        <v>572</v>
      </c>
      <c r="H2299" s="5" t="s">
        <v>7400</v>
      </c>
      <c r="J2299" s="10" t="s">
        <v>72</v>
      </c>
      <c r="K2299" s="5" t="s">
        <v>7433</v>
      </c>
    </row>
    <row r="2300" ht="12.75" customHeight="1">
      <c r="A2300" s="5" t="s">
        <v>7434</v>
      </c>
      <c r="B2300" s="5" t="s">
        <v>7435</v>
      </c>
      <c r="C2300" s="5" t="s">
        <v>7436</v>
      </c>
      <c r="D2300" s="5" t="s">
        <v>30</v>
      </c>
      <c r="E2300" s="5" t="s">
        <v>42</v>
      </c>
      <c r="F2300" s="5" t="s">
        <v>157</v>
      </c>
      <c r="H2300" s="5" t="s">
        <v>7437</v>
      </c>
      <c r="J2300" s="10" t="s">
        <v>72</v>
      </c>
      <c r="K2300" s="5" t="s">
        <v>7438</v>
      </c>
    </row>
    <row r="2301" ht="12.75" customHeight="1">
      <c r="A2301" s="5" t="s">
        <v>7439</v>
      </c>
      <c r="B2301" s="5" t="s">
        <v>7440</v>
      </c>
      <c r="C2301" s="5" t="s">
        <v>7441</v>
      </c>
      <c r="D2301" s="5" t="s">
        <v>34</v>
      </c>
      <c r="E2301" s="5" t="s">
        <v>42</v>
      </c>
      <c r="F2301" s="5" t="s">
        <v>599</v>
      </c>
      <c r="H2301" s="5" t="s">
        <v>7442</v>
      </c>
      <c r="J2301" s="10" t="s">
        <v>72</v>
      </c>
      <c r="K2301" s="5" t="s">
        <v>7443</v>
      </c>
    </row>
    <row r="2302" ht="12.75" customHeight="1">
      <c r="A2302" s="5" t="s">
        <v>7444</v>
      </c>
      <c r="B2302" s="5" t="s">
        <v>7445</v>
      </c>
      <c r="C2302" s="5" t="s">
        <v>7446</v>
      </c>
      <c r="D2302" s="5" t="s">
        <v>22</v>
      </c>
      <c r="E2302" s="5" t="s">
        <v>42</v>
      </c>
      <c r="F2302" s="5" t="s">
        <v>720</v>
      </c>
      <c r="H2302" s="5" t="s">
        <v>7447</v>
      </c>
      <c r="J2302" s="10" t="s">
        <v>72</v>
      </c>
      <c r="K2302" s="5" t="s">
        <v>7448</v>
      </c>
    </row>
    <row r="2303" ht="12.75" customHeight="1">
      <c r="A2303" s="5" t="s">
        <v>7449</v>
      </c>
      <c r="B2303" s="5" t="s">
        <v>7450</v>
      </c>
      <c r="C2303" s="5" t="s">
        <v>7451</v>
      </c>
      <c r="D2303" s="5" t="s">
        <v>46</v>
      </c>
      <c r="E2303" s="5" t="s">
        <v>42</v>
      </c>
      <c r="F2303" s="5" t="s">
        <v>967</v>
      </c>
      <c r="H2303" s="5" t="s">
        <v>7452</v>
      </c>
      <c r="J2303" s="10" t="s">
        <v>72</v>
      </c>
      <c r="K2303" s="5" t="s">
        <v>7453</v>
      </c>
    </row>
    <row r="2304" ht="12.75" customHeight="1">
      <c r="A2304" s="5" t="s">
        <v>7454</v>
      </c>
      <c r="B2304" s="5" t="s">
        <v>7455</v>
      </c>
      <c r="C2304" s="5" t="s">
        <v>7432</v>
      </c>
      <c r="D2304" s="5" t="s">
        <v>22</v>
      </c>
      <c r="E2304" s="5" t="s">
        <v>42</v>
      </c>
      <c r="F2304" s="5" t="s">
        <v>423</v>
      </c>
      <c r="H2304" s="5" t="s">
        <v>7376</v>
      </c>
      <c r="J2304" s="10" t="s">
        <v>72</v>
      </c>
      <c r="K2304" s="5" t="s">
        <v>7456</v>
      </c>
    </row>
    <row r="2305" ht="12.75" customHeight="1">
      <c r="A2305" s="5" t="s">
        <v>7437</v>
      </c>
      <c r="B2305" s="5" t="s">
        <v>7457</v>
      </c>
      <c r="C2305" s="5" t="s">
        <v>7436</v>
      </c>
      <c r="D2305" s="5" t="s">
        <v>30</v>
      </c>
      <c r="E2305" s="5" t="s">
        <v>42</v>
      </c>
      <c r="F2305" s="5" t="s">
        <v>967</v>
      </c>
      <c r="H2305" s="5" t="s">
        <v>7376</v>
      </c>
      <c r="J2305" s="10" t="s">
        <v>72</v>
      </c>
      <c r="K2305" s="5" t="s">
        <v>7458</v>
      </c>
    </row>
    <row r="2306" ht="12.75" customHeight="1">
      <c r="A2306" s="5" t="s">
        <v>7442</v>
      </c>
      <c r="B2306" s="5" t="s">
        <v>7459</v>
      </c>
      <c r="C2306" s="5" t="s">
        <v>7441</v>
      </c>
      <c r="D2306" s="5" t="s">
        <v>34</v>
      </c>
      <c r="E2306" s="5" t="s">
        <v>42</v>
      </c>
      <c r="F2306" s="5" t="s">
        <v>672</v>
      </c>
      <c r="H2306" s="5" t="s">
        <v>7376</v>
      </c>
      <c r="J2306" s="10" t="s">
        <v>72</v>
      </c>
      <c r="K2306" s="5" t="s">
        <v>7460</v>
      </c>
    </row>
    <row r="2307" ht="12.75" customHeight="1">
      <c r="A2307" s="5" t="s">
        <v>7447</v>
      </c>
      <c r="B2307" s="5" t="s">
        <v>7461</v>
      </c>
      <c r="C2307" s="5" t="s">
        <v>7446</v>
      </c>
      <c r="D2307" s="5" t="s">
        <v>22</v>
      </c>
      <c r="E2307" s="5" t="s">
        <v>42</v>
      </c>
      <c r="F2307" s="5" t="s">
        <v>54</v>
      </c>
      <c r="H2307" s="5" t="s">
        <v>7376</v>
      </c>
      <c r="J2307" s="10" t="s">
        <v>72</v>
      </c>
      <c r="K2307" s="5" t="s">
        <v>7462</v>
      </c>
    </row>
    <row r="2308" ht="12.75" customHeight="1">
      <c r="A2308" s="5" t="s">
        <v>7452</v>
      </c>
      <c r="B2308" s="5" t="s">
        <v>7463</v>
      </c>
      <c r="C2308" s="5" t="s">
        <v>7451</v>
      </c>
      <c r="D2308" s="5" t="s">
        <v>46</v>
      </c>
      <c r="E2308" s="5" t="s">
        <v>42</v>
      </c>
      <c r="F2308" s="5" t="s">
        <v>157</v>
      </c>
      <c r="H2308" s="5" t="s">
        <v>7376</v>
      </c>
      <c r="J2308" s="10" t="s">
        <v>72</v>
      </c>
      <c r="K2308" s="5" t="s">
        <v>7464</v>
      </c>
    </row>
    <row r="2309" ht="12.75" customHeight="1">
      <c r="A2309" s="5" t="s">
        <v>7465</v>
      </c>
      <c r="B2309" s="5" t="s">
        <v>7466</v>
      </c>
      <c r="C2309" s="5" t="s">
        <v>7467</v>
      </c>
      <c r="D2309" s="5" t="s">
        <v>22</v>
      </c>
      <c r="E2309" s="5" t="s">
        <v>42</v>
      </c>
      <c r="F2309" s="5" t="s">
        <v>672</v>
      </c>
      <c r="H2309" s="5" t="s">
        <v>7468</v>
      </c>
      <c r="J2309" s="10" t="s">
        <v>72</v>
      </c>
      <c r="K2309" s="5" t="s">
        <v>7469</v>
      </c>
    </row>
    <row r="2310" ht="12.75" customHeight="1">
      <c r="A2310" s="5" t="s">
        <v>7470</v>
      </c>
      <c r="B2310" s="5" t="s">
        <v>7471</v>
      </c>
      <c r="C2310" s="5" t="s">
        <v>7472</v>
      </c>
      <c r="D2310" s="5" t="s">
        <v>30</v>
      </c>
      <c r="E2310" s="5" t="s">
        <v>42</v>
      </c>
      <c r="F2310" s="5" t="s">
        <v>967</v>
      </c>
      <c r="H2310" s="5" t="s">
        <v>7473</v>
      </c>
      <c r="J2310" s="10" t="s">
        <v>72</v>
      </c>
      <c r="K2310" s="5" t="s">
        <v>7474</v>
      </c>
    </row>
    <row r="2311" ht="12.75" customHeight="1">
      <c r="A2311" s="5" t="s">
        <v>7475</v>
      </c>
      <c r="B2311" s="5" t="s">
        <v>7476</v>
      </c>
      <c r="C2311" s="5" t="s">
        <v>7477</v>
      </c>
      <c r="D2311" s="5" t="s">
        <v>34</v>
      </c>
      <c r="E2311" s="5" t="s">
        <v>42</v>
      </c>
      <c r="F2311" s="5" t="s">
        <v>556</v>
      </c>
      <c r="H2311" s="5" t="s">
        <v>7478</v>
      </c>
      <c r="J2311" s="10" t="s">
        <v>72</v>
      </c>
      <c r="K2311" s="5" t="s">
        <v>7479</v>
      </c>
    </row>
    <row r="2312" ht="12.75" customHeight="1">
      <c r="A2312" s="5" t="s">
        <v>7480</v>
      </c>
      <c r="B2312" s="5" t="s">
        <v>7481</v>
      </c>
      <c r="C2312" s="5" t="s">
        <v>7482</v>
      </c>
      <c r="D2312" s="5" t="s">
        <v>22</v>
      </c>
      <c r="E2312" s="5" t="s">
        <v>42</v>
      </c>
      <c r="F2312" s="5" t="s">
        <v>400</v>
      </c>
      <c r="H2312" s="5" t="s">
        <v>7483</v>
      </c>
      <c r="J2312" s="10" t="s">
        <v>72</v>
      </c>
      <c r="K2312" s="5" t="s">
        <v>7484</v>
      </c>
    </row>
    <row r="2313" ht="12.75" customHeight="1">
      <c r="A2313" s="5" t="s">
        <v>7485</v>
      </c>
      <c r="B2313" s="5" t="s">
        <v>7486</v>
      </c>
      <c r="C2313" s="5" t="s">
        <v>7487</v>
      </c>
      <c r="D2313" s="5" t="s">
        <v>46</v>
      </c>
      <c r="E2313" s="5" t="s">
        <v>42</v>
      </c>
      <c r="F2313" s="5" t="s">
        <v>2638</v>
      </c>
      <c r="H2313" s="5" t="s">
        <v>7488</v>
      </c>
      <c r="J2313" s="10" t="s">
        <v>72</v>
      </c>
      <c r="K2313" s="5" t="s">
        <v>7489</v>
      </c>
    </row>
    <row r="2314" ht="12.75" customHeight="1">
      <c r="A2314" s="5" t="s">
        <v>7468</v>
      </c>
      <c r="B2314" s="5" t="s">
        <v>7490</v>
      </c>
      <c r="C2314" s="5" t="s">
        <v>7467</v>
      </c>
      <c r="D2314" s="5" t="s">
        <v>22</v>
      </c>
      <c r="E2314" s="5" t="s">
        <v>42</v>
      </c>
      <c r="F2314" s="5" t="s">
        <v>113</v>
      </c>
      <c r="H2314" s="5" t="s">
        <v>7376</v>
      </c>
      <c r="J2314" s="10" t="s">
        <v>72</v>
      </c>
      <c r="K2314" s="5" t="s">
        <v>7491</v>
      </c>
    </row>
    <row r="2315" ht="12.75" customHeight="1">
      <c r="A2315" s="5" t="s">
        <v>7473</v>
      </c>
      <c r="B2315" s="5" t="s">
        <v>7492</v>
      </c>
      <c r="C2315" s="5" t="s">
        <v>7472</v>
      </c>
      <c r="D2315" s="5" t="s">
        <v>30</v>
      </c>
      <c r="E2315" s="5" t="s">
        <v>42</v>
      </c>
      <c r="F2315" s="5" t="s">
        <v>535</v>
      </c>
      <c r="H2315" s="5" t="s">
        <v>7376</v>
      </c>
      <c r="J2315" s="10" t="s">
        <v>72</v>
      </c>
      <c r="K2315" s="5" t="s">
        <v>7493</v>
      </c>
    </row>
    <row r="2316" ht="12.75" customHeight="1">
      <c r="A2316" s="5" t="s">
        <v>7478</v>
      </c>
      <c r="B2316" s="5" t="s">
        <v>7494</v>
      </c>
      <c r="C2316" s="5" t="s">
        <v>7477</v>
      </c>
      <c r="D2316" s="5" t="s">
        <v>34</v>
      </c>
      <c r="E2316" s="5" t="s">
        <v>42</v>
      </c>
      <c r="F2316" s="5" t="s">
        <v>400</v>
      </c>
      <c r="H2316" s="5" t="s">
        <v>7376</v>
      </c>
      <c r="J2316" s="10" t="s">
        <v>72</v>
      </c>
      <c r="K2316" s="5" t="s">
        <v>7495</v>
      </c>
    </row>
    <row r="2317" ht="12.75" customHeight="1">
      <c r="A2317" s="5" t="s">
        <v>7483</v>
      </c>
      <c r="B2317" s="5" t="s">
        <v>7496</v>
      </c>
      <c r="C2317" s="5" t="s">
        <v>7482</v>
      </c>
      <c r="D2317" s="5" t="s">
        <v>22</v>
      </c>
      <c r="E2317" s="5" t="s">
        <v>42</v>
      </c>
      <c r="F2317" s="5" t="s">
        <v>113</v>
      </c>
      <c r="H2317" s="5" t="s">
        <v>7376</v>
      </c>
      <c r="J2317" s="10" t="s">
        <v>72</v>
      </c>
      <c r="K2317" s="5" t="s">
        <v>7497</v>
      </c>
    </row>
    <row r="2318" ht="12.75" customHeight="1">
      <c r="A2318" s="5" t="s">
        <v>7488</v>
      </c>
      <c r="B2318" s="5" t="s">
        <v>7498</v>
      </c>
      <c r="C2318" s="5" t="s">
        <v>7487</v>
      </c>
      <c r="D2318" s="5" t="s">
        <v>46</v>
      </c>
      <c r="E2318" s="5" t="s">
        <v>42</v>
      </c>
      <c r="F2318" s="5" t="s">
        <v>211</v>
      </c>
      <c r="H2318" s="5" t="s">
        <v>7376</v>
      </c>
      <c r="J2318" s="10" t="s">
        <v>72</v>
      </c>
      <c r="K2318" s="5" t="s">
        <v>7499</v>
      </c>
    </row>
    <row r="2319" ht="12.75" customHeight="1">
      <c r="A2319" s="5" t="s">
        <v>7500</v>
      </c>
      <c r="B2319" s="5" t="s">
        <v>7501</v>
      </c>
      <c r="C2319" s="5" t="s">
        <v>7502</v>
      </c>
      <c r="D2319" s="5" t="s">
        <v>22</v>
      </c>
      <c r="E2319" s="5" t="s">
        <v>42</v>
      </c>
      <c r="F2319" s="5" t="s">
        <v>43</v>
      </c>
      <c r="H2319" s="5" t="s">
        <v>7503</v>
      </c>
      <c r="J2319" s="10" t="s">
        <v>72</v>
      </c>
      <c r="K2319" s="5" t="s">
        <v>7504</v>
      </c>
    </row>
    <row r="2320" ht="12.75" customHeight="1">
      <c r="A2320" s="5" t="s">
        <v>7505</v>
      </c>
      <c r="B2320" s="5" t="s">
        <v>7506</v>
      </c>
      <c r="C2320" s="5" t="s">
        <v>7507</v>
      </c>
      <c r="D2320" s="5" t="s">
        <v>30</v>
      </c>
      <c r="E2320" s="5" t="s">
        <v>42</v>
      </c>
      <c r="F2320" s="5" t="s">
        <v>3107</v>
      </c>
      <c r="H2320" s="5" t="s">
        <v>7508</v>
      </c>
      <c r="J2320" s="10" t="s">
        <v>72</v>
      </c>
      <c r="K2320" s="5" t="s">
        <v>7509</v>
      </c>
    </row>
    <row r="2321" ht="12.75" customHeight="1">
      <c r="A2321" s="5" t="s">
        <v>7510</v>
      </c>
      <c r="B2321" s="5" t="s">
        <v>7511</v>
      </c>
      <c r="C2321" s="5" t="s">
        <v>7512</v>
      </c>
      <c r="D2321" s="5" t="s">
        <v>34</v>
      </c>
      <c r="E2321" s="5" t="s">
        <v>42</v>
      </c>
      <c r="F2321" s="5" t="s">
        <v>672</v>
      </c>
      <c r="H2321" s="5" t="s">
        <v>7513</v>
      </c>
      <c r="J2321" s="10" t="s">
        <v>72</v>
      </c>
      <c r="K2321" s="5" t="s">
        <v>7514</v>
      </c>
    </row>
    <row r="2322" ht="12.75" customHeight="1">
      <c r="A2322" s="5" t="s">
        <v>7515</v>
      </c>
      <c r="B2322" s="5" t="s">
        <v>7516</v>
      </c>
      <c r="C2322" s="5" t="s">
        <v>7517</v>
      </c>
      <c r="D2322" s="5" t="s">
        <v>22</v>
      </c>
      <c r="E2322" s="5" t="s">
        <v>42</v>
      </c>
      <c r="F2322" s="5" t="s">
        <v>43</v>
      </c>
      <c r="H2322" s="5" t="s">
        <v>7518</v>
      </c>
      <c r="J2322" s="10" t="s">
        <v>72</v>
      </c>
      <c r="K2322" s="5" t="s">
        <v>7519</v>
      </c>
    </row>
    <row r="2323" ht="12.75" customHeight="1">
      <c r="A2323" s="5" t="s">
        <v>7520</v>
      </c>
      <c r="B2323" s="5" t="s">
        <v>7521</v>
      </c>
      <c r="C2323" s="5" t="s">
        <v>7522</v>
      </c>
      <c r="D2323" s="5" t="s">
        <v>46</v>
      </c>
      <c r="E2323" s="5" t="s">
        <v>42</v>
      </c>
      <c r="F2323" s="5" t="s">
        <v>211</v>
      </c>
      <c r="H2323" s="5" t="s">
        <v>7523</v>
      </c>
      <c r="J2323" s="10" t="s">
        <v>72</v>
      </c>
      <c r="K2323" s="5" t="s">
        <v>7524</v>
      </c>
    </row>
    <row r="2324" ht="12.75" customHeight="1">
      <c r="A2324" s="5" t="s">
        <v>7503</v>
      </c>
      <c r="B2324" s="5" t="s">
        <v>7525</v>
      </c>
      <c r="C2324" s="5" t="s">
        <v>7502</v>
      </c>
      <c r="D2324" s="5" t="s">
        <v>22</v>
      </c>
      <c r="E2324" s="5" t="s">
        <v>42</v>
      </c>
      <c r="F2324" s="5" t="s">
        <v>228</v>
      </c>
      <c r="H2324" s="5" t="s">
        <v>7376</v>
      </c>
      <c r="J2324" s="10" t="s">
        <v>72</v>
      </c>
      <c r="K2324" s="5" t="s">
        <v>7526</v>
      </c>
    </row>
    <row r="2325" ht="12.75" customHeight="1">
      <c r="A2325" s="5" t="s">
        <v>7508</v>
      </c>
      <c r="B2325" s="5" t="s">
        <v>7527</v>
      </c>
      <c r="C2325" s="5" t="s">
        <v>7507</v>
      </c>
      <c r="D2325" s="5" t="s">
        <v>30</v>
      </c>
      <c r="E2325" s="5" t="s">
        <v>42</v>
      </c>
      <c r="F2325" s="5" t="s">
        <v>157</v>
      </c>
      <c r="H2325" s="5" t="s">
        <v>7376</v>
      </c>
      <c r="J2325" s="10" t="s">
        <v>72</v>
      </c>
      <c r="K2325" s="5" t="s">
        <v>7528</v>
      </c>
    </row>
    <row r="2326" ht="12.75" customHeight="1">
      <c r="A2326" s="5" t="s">
        <v>7513</v>
      </c>
      <c r="B2326" s="5" t="s">
        <v>7529</v>
      </c>
      <c r="C2326" s="5" t="s">
        <v>7512</v>
      </c>
      <c r="D2326" s="5" t="s">
        <v>34</v>
      </c>
      <c r="E2326" s="5" t="s">
        <v>42</v>
      </c>
      <c r="F2326" s="5" t="s">
        <v>599</v>
      </c>
      <c r="H2326" s="5" t="s">
        <v>7376</v>
      </c>
      <c r="J2326" s="10" t="s">
        <v>72</v>
      </c>
      <c r="K2326" s="5" t="s">
        <v>7530</v>
      </c>
    </row>
    <row r="2327" ht="12.75" customHeight="1">
      <c r="A2327" s="5" t="s">
        <v>7518</v>
      </c>
      <c r="B2327" s="5" t="s">
        <v>7531</v>
      </c>
      <c r="C2327" s="5" t="s">
        <v>7517</v>
      </c>
      <c r="D2327" s="5" t="s">
        <v>22</v>
      </c>
      <c r="E2327" s="5" t="s">
        <v>42</v>
      </c>
      <c r="F2327" s="5" t="s">
        <v>167</v>
      </c>
      <c r="H2327" s="5" t="s">
        <v>7376</v>
      </c>
      <c r="J2327" s="10" t="s">
        <v>72</v>
      </c>
      <c r="K2327" s="5" t="s">
        <v>7532</v>
      </c>
    </row>
    <row r="2328" ht="12.75" customHeight="1">
      <c r="A2328" s="5" t="s">
        <v>7523</v>
      </c>
      <c r="B2328" s="5" t="s">
        <v>7533</v>
      </c>
      <c r="C2328" s="5" t="s">
        <v>7522</v>
      </c>
      <c r="D2328" s="5" t="s">
        <v>46</v>
      </c>
      <c r="E2328" s="5" t="s">
        <v>42</v>
      </c>
      <c r="F2328" s="5" t="s">
        <v>157</v>
      </c>
      <c r="H2328" s="5" t="s">
        <v>7376</v>
      </c>
      <c r="J2328" s="10" t="s">
        <v>72</v>
      </c>
      <c r="K2328" s="5" t="s">
        <v>7534</v>
      </c>
    </row>
    <row r="2329" ht="12.75" customHeight="1">
      <c r="A2329" s="5" t="s">
        <v>7535</v>
      </c>
      <c r="B2329" s="5" t="s">
        <v>7536</v>
      </c>
      <c r="C2329" s="5" t="s">
        <v>7537</v>
      </c>
      <c r="D2329" s="5" t="s">
        <v>22</v>
      </c>
      <c r="E2329" s="5" t="s">
        <v>42</v>
      </c>
      <c r="F2329" s="5" t="s">
        <v>423</v>
      </c>
      <c r="H2329" s="5" t="s">
        <v>7538</v>
      </c>
      <c r="J2329" s="10" t="s">
        <v>72</v>
      </c>
      <c r="K2329" s="5" t="s">
        <v>7539</v>
      </c>
    </row>
    <row r="2330" ht="12.75" customHeight="1">
      <c r="A2330" s="5" t="s">
        <v>7540</v>
      </c>
      <c r="B2330" s="5" t="s">
        <v>7541</v>
      </c>
      <c r="C2330" s="5" t="s">
        <v>7542</v>
      </c>
      <c r="D2330" s="5" t="s">
        <v>30</v>
      </c>
      <c r="E2330" s="5" t="s">
        <v>42</v>
      </c>
      <c r="F2330" s="5" t="s">
        <v>1933</v>
      </c>
      <c r="H2330" s="5" t="s">
        <v>7543</v>
      </c>
      <c r="J2330" s="10" t="s">
        <v>72</v>
      </c>
      <c r="K2330" s="5" t="s">
        <v>7544</v>
      </c>
    </row>
    <row r="2331" ht="12.75" customHeight="1">
      <c r="A2331" s="5" t="s">
        <v>7545</v>
      </c>
      <c r="B2331" s="5" t="s">
        <v>7546</v>
      </c>
      <c r="C2331" s="5" t="s">
        <v>7547</v>
      </c>
      <c r="D2331" s="5" t="s">
        <v>34</v>
      </c>
      <c r="E2331" s="5" t="s">
        <v>42</v>
      </c>
      <c r="F2331" s="5" t="s">
        <v>43</v>
      </c>
      <c r="H2331" s="5" t="s">
        <v>7548</v>
      </c>
      <c r="J2331" s="10" t="s">
        <v>72</v>
      </c>
      <c r="K2331" s="5" t="s">
        <v>7549</v>
      </c>
    </row>
    <row r="2332" ht="12.75" customHeight="1">
      <c r="A2332" s="5" t="s">
        <v>7550</v>
      </c>
      <c r="B2332" s="5" t="s">
        <v>7551</v>
      </c>
      <c r="C2332" s="5" t="s">
        <v>7552</v>
      </c>
      <c r="D2332" s="5" t="s">
        <v>22</v>
      </c>
      <c r="E2332" s="5" t="s">
        <v>42</v>
      </c>
      <c r="F2332" s="5" t="s">
        <v>445</v>
      </c>
      <c r="H2332" s="5" t="s">
        <v>7553</v>
      </c>
      <c r="J2332" s="10" t="s">
        <v>72</v>
      </c>
      <c r="K2332" s="5" t="s">
        <v>7554</v>
      </c>
    </row>
    <row r="2333" ht="12.75" customHeight="1">
      <c r="A2333" s="5" t="s">
        <v>7555</v>
      </c>
      <c r="B2333" s="5" t="s">
        <v>7556</v>
      </c>
      <c r="C2333" s="5" t="s">
        <v>7557</v>
      </c>
      <c r="D2333" s="5" t="s">
        <v>46</v>
      </c>
      <c r="E2333" s="5" t="s">
        <v>42</v>
      </c>
      <c r="F2333" s="5" t="s">
        <v>211</v>
      </c>
      <c r="H2333" s="5" t="s">
        <v>7558</v>
      </c>
      <c r="J2333" s="10" t="s">
        <v>72</v>
      </c>
      <c r="K2333" s="5" t="s">
        <v>7559</v>
      </c>
    </row>
    <row r="2334" ht="12.75" customHeight="1">
      <c r="A2334" s="5" t="s">
        <v>7538</v>
      </c>
      <c r="B2334" s="5" t="s">
        <v>7560</v>
      </c>
      <c r="C2334" s="5" t="s">
        <v>7537</v>
      </c>
      <c r="D2334" s="5" t="s">
        <v>22</v>
      </c>
      <c r="E2334" s="5" t="s">
        <v>42</v>
      </c>
      <c r="F2334" s="5" t="s">
        <v>672</v>
      </c>
      <c r="H2334" s="5" t="s">
        <v>7376</v>
      </c>
      <c r="J2334" s="10" t="s">
        <v>72</v>
      </c>
      <c r="K2334" s="5" t="s">
        <v>7561</v>
      </c>
    </row>
    <row r="2335" ht="12.75" customHeight="1">
      <c r="A2335" s="5" t="s">
        <v>7543</v>
      </c>
      <c r="B2335" s="5" t="s">
        <v>7562</v>
      </c>
      <c r="C2335" s="5" t="s">
        <v>7542</v>
      </c>
      <c r="D2335" s="5" t="s">
        <v>30</v>
      </c>
      <c r="E2335" s="5" t="s">
        <v>42</v>
      </c>
      <c r="F2335" s="5" t="s">
        <v>157</v>
      </c>
      <c r="H2335" s="5" t="s">
        <v>7376</v>
      </c>
      <c r="J2335" s="10" t="s">
        <v>72</v>
      </c>
      <c r="K2335" s="5" t="s">
        <v>7563</v>
      </c>
    </row>
    <row r="2336" ht="12.75" customHeight="1">
      <c r="A2336" s="5" t="s">
        <v>7548</v>
      </c>
      <c r="B2336" s="5" t="s">
        <v>7564</v>
      </c>
      <c r="C2336" s="5" t="s">
        <v>7547</v>
      </c>
      <c r="D2336" s="5" t="s">
        <v>34</v>
      </c>
      <c r="E2336" s="5" t="s">
        <v>42</v>
      </c>
      <c r="F2336" s="5" t="s">
        <v>599</v>
      </c>
      <c r="H2336" s="5" t="s">
        <v>7376</v>
      </c>
      <c r="J2336" s="10" t="s">
        <v>72</v>
      </c>
      <c r="K2336" s="5" t="s">
        <v>7565</v>
      </c>
    </row>
    <row r="2337" ht="12.75" customHeight="1">
      <c r="A2337" s="5" t="s">
        <v>7553</v>
      </c>
      <c r="B2337" s="5" t="s">
        <v>7566</v>
      </c>
      <c r="C2337" s="5" t="s">
        <v>7552</v>
      </c>
      <c r="D2337" s="5" t="s">
        <v>22</v>
      </c>
      <c r="E2337" s="5" t="s">
        <v>42</v>
      </c>
      <c r="F2337" s="5" t="s">
        <v>162</v>
      </c>
      <c r="H2337" s="5" t="s">
        <v>7376</v>
      </c>
      <c r="J2337" s="10" t="s">
        <v>72</v>
      </c>
      <c r="K2337" s="5" t="s">
        <v>7567</v>
      </c>
    </row>
    <row r="2338" ht="12.75" customHeight="1">
      <c r="A2338" s="5" t="s">
        <v>7558</v>
      </c>
      <c r="B2338" s="5" t="s">
        <v>7568</v>
      </c>
      <c r="C2338" s="5" t="s">
        <v>7557</v>
      </c>
      <c r="D2338" s="5" t="s">
        <v>46</v>
      </c>
      <c r="E2338" s="5" t="s">
        <v>42</v>
      </c>
      <c r="F2338" s="5" t="s">
        <v>157</v>
      </c>
      <c r="H2338" s="5" t="s">
        <v>7376</v>
      </c>
      <c r="J2338" s="10" t="s">
        <v>72</v>
      </c>
      <c r="K2338" s="5" t="s">
        <v>7569</v>
      </c>
    </row>
    <row r="2339" ht="12.75" customHeight="1">
      <c r="A2339" s="5" t="s">
        <v>7570</v>
      </c>
      <c r="B2339" s="5" t="s">
        <v>7571</v>
      </c>
      <c r="C2339" s="5" t="s">
        <v>7572</v>
      </c>
      <c r="D2339" s="5" t="s">
        <v>22</v>
      </c>
      <c r="E2339" s="5" t="s">
        <v>42</v>
      </c>
      <c r="F2339" s="5" t="s">
        <v>423</v>
      </c>
      <c r="H2339" s="5" t="s">
        <v>7573</v>
      </c>
      <c r="J2339" s="10" t="s">
        <v>72</v>
      </c>
      <c r="K2339" s="5" t="s">
        <v>7574</v>
      </c>
    </row>
    <row r="2340" ht="12.75" customHeight="1">
      <c r="A2340" s="5" t="s">
        <v>7575</v>
      </c>
      <c r="B2340" s="5" t="s">
        <v>7576</v>
      </c>
      <c r="C2340" s="5" t="s">
        <v>7577</v>
      </c>
      <c r="D2340" s="5" t="s">
        <v>30</v>
      </c>
      <c r="E2340" s="5" t="s">
        <v>42</v>
      </c>
      <c r="F2340" s="5" t="s">
        <v>1933</v>
      </c>
      <c r="H2340" s="5" t="s">
        <v>7578</v>
      </c>
      <c r="J2340" s="10" t="s">
        <v>72</v>
      </c>
      <c r="K2340" s="5" t="s">
        <v>7579</v>
      </c>
    </row>
    <row r="2341" ht="12.75" customHeight="1">
      <c r="A2341" s="5" t="s">
        <v>7580</v>
      </c>
      <c r="B2341" s="5" t="s">
        <v>7581</v>
      </c>
      <c r="C2341" s="5" t="s">
        <v>7582</v>
      </c>
      <c r="D2341" s="5" t="s">
        <v>34</v>
      </c>
      <c r="E2341" s="5" t="s">
        <v>42</v>
      </c>
      <c r="F2341" s="5" t="s">
        <v>43</v>
      </c>
      <c r="H2341" s="5" t="s">
        <v>7583</v>
      </c>
      <c r="J2341" s="10" t="s">
        <v>72</v>
      </c>
      <c r="K2341" s="5" t="s">
        <v>7584</v>
      </c>
    </row>
    <row r="2342" ht="12.75" customHeight="1">
      <c r="A2342" s="5" t="s">
        <v>7585</v>
      </c>
      <c r="B2342" s="5" t="s">
        <v>7586</v>
      </c>
      <c r="C2342" s="5" t="s">
        <v>7587</v>
      </c>
      <c r="D2342" s="5" t="s">
        <v>22</v>
      </c>
      <c r="E2342" s="5" t="s">
        <v>42</v>
      </c>
      <c r="F2342" s="5" t="s">
        <v>445</v>
      </c>
      <c r="H2342" s="5" t="s">
        <v>7588</v>
      </c>
      <c r="K2342" s="5" t="s">
        <v>7589</v>
      </c>
    </row>
    <row r="2343" ht="12.75" customHeight="1">
      <c r="A2343" s="5" t="s">
        <v>7590</v>
      </c>
      <c r="B2343" s="5" t="s">
        <v>7591</v>
      </c>
      <c r="C2343" s="5" t="s">
        <v>7592</v>
      </c>
      <c r="D2343" s="5" t="s">
        <v>46</v>
      </c>
      <c r="E2343" s="5" t="s">
        <v>42</v>
      </c>
      <c r="F2343" s="5" t="s">
        <v>211</v>
      </c>
      <c r="H2343" s="5" t="s">
        <v>7593</v>
      </c>
      <c r="J2343" s="10" t="s">
        <v>72</v>
      </c>
      <c r="K2343" s="5" t="s">
        <v>7594</v>
      </c>
    </row>
    <row r="2344" ht="12.75" customHeight="1">
      <c r="A2344" s="5" t="s">
        <v>7573</v>
      </c>
      <c r="B2344" s="5" t="s">
        <v>7595</v>
      </c>
      <c r="C2344" s="5" t="s">
        <v>7572</v>
      </c>
      <c r="D2344" s="5" t="s">
        <v>22</v>
      </c>
      <c r="E2344" s="5" t="s">
        <v>42</v>
      </c>
      <c r="F2344" s="5" t="s">
        <v>672</v>
      </c>
      <c r="H2344" s="5" t="s">
        <v>7376</v>
      </c>
      <c r="J2344" s="10" t="s">
        <v>72</v>
      </c>
      <c r="K2344" s="5" t="s">
        <v>7596</v>
      </c>
    </row>
    <row r="2345" ht="12.75" customHeight="1">
      <c r="A2345" s="5" t="s">
        <v>7578</v>
      </c>
      <c r="B2345" s="5" t="s">
        <v>7597</v>
      </c>
      <c r="C2345" s="5" t="s">
        <v>7577</v>
      </c>
      <c r="D2345" s="5" t="s">
        <v>30</v>
      </c>
      <c r="E2345" s="5" t="s">
        <v>42</v>
      </c>
      <c r="F2345" s="5" t="s">
        <v>157</v>
      </c>
      <c r="H2345" s="5" t="s">
        <v>7376</v>
      </c>
      <c r="J2345" s="10" t="s">
        <v>72</v>
      </c>
      <c r="K2345" s="5" t="s">
        <v>7598</v>
      </c>
    </row>
    <row r="2346" ht="12.75" customHeight="1">
      <c r="A2346" s="5" t="s">
        <v>7583</v>
      </c>
      <c r="B2346" s="5" t="s">
        <v>7599</v>
      </c>
      <c r="C2346" s="5" t="s">
        <v>7582</v>
      </c>
      <c r="D2346" s="5" t="s">
        <v>34</v>
      </c>
      <c r="E2346" s="5" t="s">
        <v>42</v>
      </c>
      <c r="F2346" s="5" t="s">
        <v>599</v>
      </c>
      <c r="H2346" s="5" t="s">
        <v>7376</v>
      </c>
      <c r="J2346" s="10" t="s">
        <v>72</v>
      </c>
      <c r="K2346" s="5" t="s">
        <v>7600</v>
      </c>
    </row>
    <row r="2347" ht="12.75" customHeight="1">
      <c r="A2347" s="5" t="s">
        <v>7588</v>
      </c>
      <c r="B2347" s="5" t="s">
        <v>7601</v>
      </c>
      <c r="C2347" s="5" t="s">
        <v>7587</v>
      </c>
      <c r="D2347" s="5" t="s">
        <v>22</v>
      </c>
      <c r="E2347" s="5" t="s">
        <v>42</v>
      </c>
      <c r="F2347" s="5" t="s">
        <v>162</v>
      </c>
      <c r="H2347" s="5" t="s">
        <v>7376</v>
      </c>
      <c r="J2347" s="10" t="s">
        <v>72</v>
      </c>
      <c r="K2347" s="5" t="s">
        <v>7602</v>
      </c>
    </row>
    <row r="2348" ht="12.75" customHeight="1">
      <c r="A2348" s="5" t="s">
        <v>7593</v>
      </c>
      <c r="B2348" s="5" t="s">
        <v>7603</v>
      </c>
      <c r="C2348" s="5" t="s">
        <v>7592</v>
      </c>
      <c r="D2348" s="5" t="s">
        <v>46</v>
      </c>
      <c r="E2348" s="5" t="s">
        <v>42</v>
      </c>
      <c r="F2348" s="5" t="s">
        <v>157</v>
      </c>
      <c r="H2348" s="5" t="s">
        <v>7376</v>
      </c>
      <c r="J2348" s="10" t="s">
        <v>72</v>
      </c>
      <c r="K2348" s="5" t="s">
        <v>7604</v>
      </c>
    </row>
    <row r="2349" ht="12.75" customHeight="1">
      <c r="A2349" s="5" t="s">
        <v>2535</v>
      </c>
      <c r="B2349" s="5" t="s">
        <v>7605</v>
      </c>
      <c r="D2349" s="5" t="s">
        <v>22</v>
      </c>
      <c r="E2349" s="5" t="s">
        <v>35</v>
      </c>
      <c r="F2349" s="5" t="s">
        <v>619</v>
      </c>
      <c r="H2349" s="5" t="s">
        <v>7379</v>
      </c>
      <c r="J2349" s="10" t="s">
        <v>72</v>
      </c>
      <c r="K2349" s="5" t="s">
        <v>2533</v>
      </c>
      <c r="L2349" s="5" t="s">
        <v>7606</v>
      </c>
    </row>
    <row r="2350" ht="12.75" customHeight="1">
      <c r="A2350" s="5" t="s">
        <v>4653</v>
      </c>
      <c r="B2350" s="5" t="s">
        <v>7607</v>
      </c>
      <c r="D2350" s="5" t="s">
        <v>22</v>
      </c>
      <c r="E2350" s="5" t="s">
        <v>42</v>
      </c>
      <c r="F2350" s="5" t="s">
        <v>637</v>
      </c>
      <c r="H2350" s="5" t="s">
        <v>7379</v>
      </c>
      <c r="J2350" s="10" t="s">
        <v>72</v>
      </c>
      <c r="L2350" s="5" t="s">
        <v>7608</v>
      </c>
    </row>
    <row r="2351" ht="12.75" customHeight="1">
      <c r="A2351" s="5" t="s">
        <v>7609</v>
      </c>
      <c r="B2351" s="5" t="s">
        <v>7610</v>
      </c>
      <c r="D2351" s="5" t="s">
        <v>30</v>
      </c>
      <c r="E2351" s="5" t="s">
        <v>35</v>
      </c>
      <c r="F2351" s="5" t="s">
        <v>680</v>
      </c>
      <c r="H2351" s="5" t="s">
        <v>7379</v>
      </c>
      <c r="J2351" s="10" t="s">
        <v>72</v>
      </c>
      <c r="L2351" s="5" t="s">
        <v>7611</v>
      </c>
    </row>
    <row r="2352" ht="12.75" customHeight="1">
      <c r="A2352" s="5" t="s">
        <v>7612</v>
      </c>
      <c r="B2352" s="5" t="s">
        <v>7613</v>
      </c>
      <c r="D2352" s="5" t="s">
        <v>30</v>
      </c>
      <c r="E2352" s="5" t="s">
        <v>42</v>
      </c>
      <c r="F2352" s="5" t="s">
        <v>974</v>
      </c>
      <c r="H2352" s="5" t="s">
        <v>7379</v>
      </c>
      <c r="J2352" s="10" t="s">
        <v>72</v>
      </c>
      <c r="K2352" s="5" t="s">
        <v>4316</v>
      </c>
      <c r="L2352" s="5" t="s">
        <v>7614</v>
      </c>
      <c r="M2352" s="5" t="s">
        <v>4435</v>
      </c>
    </row>
    <row r="2353" ht="12.75" customHeight="1">
      <c r="A2353" s="5" t="s">
        <v>7615</v>
      </c>
      <c r="B2353" s="5" t="s">
        <v>7616</v>
      </c>
      <c r="D2353" s="5" t="s">
        <v>46</v>
      </c>
      <c r="E2353" s="5" t="s">
        <v>35</v>
      </c>
      <c r="F2353" s="5" t="s">
        <v>2390</v>
      </c>
      <c r="H2353" s="5" t="s">
        <v>7379</v>
      </c>
      <c r="J2353" s="10" t="s">
        <v>72</v>
      </c>
    </row>
    <row r="2354" ht="12.75" customHeight="1">
      <c r="A2354" s="5" t="s">
        <v>7617</v>
      </c>
      <c r="B2354" s="5" t="s">
        <v>7618</v>
      </c>
      <c r="D2354" s="5" t="s">
        <v>46</v>
      </c>
      <c r="E2354" s="5" t="s">
        <v>42</v>
      </c>
      <c r="F2354" s="5" t="s">
        <v>2218</v>
      </c>
      <c r="H2354" s="5" t="s">
        <v>7379</v>
      </c>
      <c r="J2354" s="10" t="s">
        <v>72</v>
      </c>
      <c r="K2354" s="5" t="s">
        <v>7619</v>
      </c>
      <c r="L2354" s="5" t="s">
        <v>7620</v>
      </c>
    </row>
    <row r="2355" ht="12.75" customHeight="1">
      <c r="A2355" s="5" t="s">
        <v>7621</v>
      </c>
      <c r="B2355" s="5" t="s">
        <v>7622</v>
      </c>
      <c r="D2355" s="5" t="s">
        <v>50</v>
      </c>
      <c r="E2355" s="5" t="s">
        <v>35</v>
      </c>
      <c r="F2355" s="5" t="s">
        <v>71</v>
      </c>
      <c r="H2355" s="5" t="s">
        <v>7379</v>
      </c>
      <c r="J2355" s="10" t="s">
        <v>72</v>
      </c>
      <c r="L2355" s="5" t="s">
        <v>7623</v>
      </c>
    </row>
    <row r="2356" ht="12.75" customHeight="1">
      <c r="A2356" s="5" t="s">
        <v>7624</v>
      </c>
      <c r="B2356" s="5" t="s">
        <v>7625</v>
      </c>
      <c r="D2356" s="5" t="s">
        <v>50</v>
      </c>
      <c r="E2356" s="5" t="s">
        <v>42</v>
      </c>
      <c r="F2356" s="5" t="s">
        <v>43</v>
      </c>
      <c r="H2356" s="5" t="s">
        <v>7379</v>
      </c>
      <c r="J2356" s="10" t="s">
        <v>72</v>
      </c>
      <c r="L2356" s="5" t="s">
        <v>7626</v>
      </c>
    </row>
    <row r="2357" ht="12.75" customHeight="1">
      <c r="A2357" s="5" t="s">
        <v>7627</v>
      </c>
      <c r="B2357" s="5" t="s">
        <v>7628</v>
      </c>
      <c r="D2357" s="5" t="s">
        <v>22</v>
      </c>
      <c r="E2357" s="5" t="s">
        <v>35</v>
      </c>
      <c r="F2357" s="5" t="s">
        <v>868</v>
      </c>
      <c r="H2357" s="5" t="s">
        <v>7397</v>
      </c>
      <c r="J2357" s="10" t="s">
        <v>72</v>
      </c>
    </row>
    <row r="2358" ht="12.75" customHeight="1">
      <c r="A2358" s="5" t="s">
        <v>7629</v>
      </c>
      <c r="B2358" s="5" t="s">
        <v>7630</v>
      </c>
      <c r="D2358" s="5" t="s">
        <v>22</v>
      </c>
      <c r="E2358" s="5" t="s">
        <v>42</v>
      </c>
      <c r="F2358" s="5" t="s">
        <v>556</v>
      </c>
      <c r="H2358" s="5" t="s">
        <v>7397</v>
      </c>
      <c r="J2358" s="10" t="s">
        <v>72</v>
      </c>
    </row>
    <row r="2359" ht="12.75" customHeight="1">
      <c r="A2359" s="5" t="s">
        <v>7631</v>
      </c>
      <c r="B2359" s="5" t="s">
        <v>7632</v>
      </c>
      <c r="D2359" s="5" t="s">
        <v>46</v>
      </c>
      <c r="E2359" s="5" t="s">
        <v>35</v>
      </c>
      <c r="F2359" s="5" t="s">
        <v>263</v>
      </c>
      <c r="H2359" s="5" t="s">
        <v>7397</v>
      </c>
      <c r="J2359" s="10" t="s">
        <v>72</v>
      </c>
    </row>
    <row r="2360" ht="12.75" customHeight="1">
      <c r="A2360" s="5" t="s">
        <v>7633</v>
      </c>
      <c r="B2360" s="5" t="s">
        <v>7634</v>
      </c>
      <c r="D2360" s="5" t="s">
        <v>46</v>
      </c>
      <c r="E2360" s="5" t="s">
        <v>42</v>
      </c>
      <c r="F2360" s="5" t="s">
        <v>1933</v>
      </c>
      <c r="H2360" s="5" t="s">
        <v>7397</v>
      </c>
      <c r="J2360" s="10" t="s">
        <v>72</v>
      </c>
    </row>
    <row r="2361" ht="12.75" customHeight="1">
      <c r="A2361" s="5" t="s">
        <v>7635</v>
      </c>
      <c r="B2361" s="5" t="s">
        <v>7636</v>
      </c>
      <c r="D2361" s="5" t="s">
        <v>22</v>
      </c>
      <c r="E2361" s="5" t="s">
        <v>35</v>
      </c>
      <c r="F2361" s="5" t="s">
        <v>1776</v>
      </c>
      <c r="H2361" s="5" t="s">
        <v>7400</v>
      </c>
      <c r="J2361" s="10" t="s">
        <v>72</v>
      </c>
    </row>
    <row r="2362" ht="12.75" customHeight="1">
      <c r="A2362" s="5" t="s">
        <v>7637</v>
      </c>
      <c r="B2362" s="5" t="s">
        <v>7638</v>
      </c>
      <c r="D2362" s="5" t="s">
        <v>22</v>
      </c>
      <c r="E2362" s="5" t="s">
        <v>42</v>
      </c>
      <c r="F2362" s="5" t="s">
        <v>54</v>
      </c>
      <c r="H2362" s="5" t="s">
        <v>7400</v>
      </c>
      <c r="J2362" s="10" t="s">
        <v>72</v>
      </c>
    </row>
    <row r="2363" ht="12.75" customHeight="1">
      <c r="A2363" s="5" t="s">
        <v>7639</v>
      </c>
      <c r="B2363" s="5" t="s">
        <v>7640</v>
      </c>
      <c r="D2363" s="5" t="s">
        <v>30</v>
      </c>
      <c r="E2363" s="5" t="s">
        <v>35</v>
      </c>
      <c r="F2363" s="5" t="s">
        <v>545</v>
      </c>
      <c r="H2363" s="5" t="s">
        <v>7400</v>
      </c>
      <c r="J2363" s="10" t="s">
        <v>72</v>
      </c>
    </row>
    <row r="2364" ht="12.75" customHeight="1">
      <c r="A2364" s="5" t="s">
        <v>7641</v>
      </c>
      <c r="B2364" s="5" t="s">
        <v>7642</v>
      </c>
      <c r="D2364" s="5" t="s">
        <v>30</v>
      </c>
      <c r="E2364" s="5" t="s">
        <v>42</v>
      </c>
      <c r="F2364" s="5" t="s">
        <v>535</v>
      </c>
      <c r="H2364" s="5" t="s">
        <v>7400</v>
      </c>
      <c r="J2364" s="10" t="s">
        <v>72</v>
      </c>
    </row>
    <row r="2365" ht="12.75" customHeight="1">
      <c r="A2365" s="5" t="s">
        <v>7643</v>
      </c>
      <c r="B2365" s="5" t="s">
        <v>7644</v>
      </c>
      <c r="D2365" s="5" t="s">
        <v>46</v>
      </c>
      <c r="E2365" s="5" t="s">
        <v>35</v>
      </c>
      <c r="F2365" s="5" t="s">
        <v>96</v>
      </c>
      <c r="H2365" s="5" t="s">
        <v>7400</v>
      </c>
      <c r="J2365" s="10" t="s">
        <v>72</v>
      </c>
    </row>
    <row r="2366" ht="12.75" customHeight="1">
      <c r="A2366" s="5" t="s">
        <v>7645</v>
      </c>
      <c r="B2366" s="5" t="s">
        <v>7646</v>
      </c>
      <c r="D2366" s="5" t="s">
        <v>46</v>
      </c>
      <c r="E2366" s="5" t="s">
        <v>42</v>
      </c>
      <c r="F2366" s="5" t="s">
        <v>157</v>
      </c>
      <c r="H2366" s="5" t="s">
        <v>7400</v>
      </c>
      <c r="J2366" s="10" t="s">
        <v>72</v>
      </c>
    </row>
    <row r="2367" ht="12.75" customHeight="1">
      <c r="A2367" s="5" t="s">
        <v>7647</v>
      </c>
      <c r="B2367" s="5" t="s">
        <v>7648</v>
      </c>
      <c r="D2367" s="5" t="s">
        <v>50</v>
      </c>
      <c r="E2367" s="5" t="s">
        <v>35</v>
      </c>
      <c r="F2367" s="5" t="s">
        <v>36</v>
      </c>
      <c r="H2367" s="5" t="s">
        <v>7400</v>
      </c>
      <c r="J2367" s="10" t="s">
        <v>72</v>
      </c>
    </row>
    <row r="2368" ht="12.75" customHeight="1">
      <c r="A2368" s="5" t="s">
        <v>7649</v>
      </c>
      <c r="B2368" s="5" t="s">
        <v>7650</v>
      </c>
      <c r="D2368" s="5" t="s">
        <v>50</v>
      </c>
      <c r="E2368" s="5" t="s">
        <v>42</v>
      </c>
      <c r="F2368" s="5" t="s">
        <v>167</v>
      </c>
      <c r="H2368" s="5" t="s">
        <v>7400</v>
      </c>
      <c r="J2368" s="10" t="s">
        <v>72</v>
      </c>
    </row>
    <row r="2369" ht="12.75" customHeight="1">
      <c r="A2369" s="5" t="s">
        <v>7651</v>
      </c>
      <c r="B2369" s="5" t="s">
        <v>7652</v>
      </c>
      <c r="D2369" s="5" t="s">
        <v>22</v>
      </c>
      <c r="E2369" s="5" t="s">
        <v>35</v>
      </c>
      <c r="F2369" s="5" t="s">
        <v>813</v>
      </c>
      <c r="H2369" s="5" t="s">
        <v>7430</v>
      </c>
      <c r="J2369" s="10" t="s">
        <v>72</v>
      </c>
    </row>
    <row r="2370" ht="12.75" customHeight="1">
      <c r="A2370" s="5" t="s">
        <v>7653</v>
      </c>
      <c r="B2370" s="5" t="s">
        <v>7654</v>
      </c>
      <c r="D2370" s="5" t="s">
        <v>22</v>
      </c>
      <c r="E2370" s="5" t="s">
        <v>42</v>
      </c>
      <c r="F2370" s="5" t="s">
        <v>556</v>
      </c>
      <c r="H2370" s="5" t="s">
        <v>7430</v>
      </c>
      <c r="J2370" s="10" t="s">
        <v>72</v>
      </c>
    </row>
    <row r="2371" ht="12.75" customHeight="1">
      <c r="A2371" s="5" t="s">
        <v>7655</v>
      </c>
      <c r="B2371" s="5" t="s">
        <v>7656</v>
      </c>
      <c r="D2371" s="5" t="s">
        <v>46</v>
      </c>
      <c r="E2371" s="5" t="s">
        <v>35</v>
      </c>
      <c r="F2371" s="5" t="s">
        <v>96</v>
      </c>
      <c r="H2371" s="5" t="s">
        <v>7430</v>
      </c>
      <c r="J2371" s="10" t="s">
        <v>72</v>
      </c>
    </row>
    <row r="2372" ht="12.75" customHeight="1">
      <c r="A2372" s="5" t="s">
        <v>7657</v>
      </c>
      <c r="B2372" s="5" t="s">
        <v>7658</v>
      </c>
      <c r="D2372" s="5" t="s">
        <v>46</v>
      </c>
      <c r="E2372" s="5" t="s">
        <v>42</v>
      </c>
      <c r="F2372" s="5" t="s">
        <v>157</v>
      </c>
      <c r="H2372" s="5" t="s">
        <v>7430</v>
      </c>
      <c r="J2372" s="10" t="s">
        <v>72</v>
      </c>
    </row>
    <row r="2373" ht="12.75" customHeight="1">
      <c r="A2373" s="5" t="s">
        <v>7659</v>
      </c>
      <c r="B2373" s="5" t="s">
        <v>7660</v>
      </c>
      <c r="D2373" s="5" t="s">
        <v>22</v>
      </c>
      <c r="E2373" s="5" t="s">
        <v>35</v>
      </c>
      <c r="F2373" s="5" t="s">
        <v>1776</v>
      </c>
      <c r="H2373" s="5" t="s">
        <v>7454</v>
      </c>
      <c r="J2373" s="10" t="s">
        <v>72</v>
      </c>
    </row>
    <row r="2374" ht="12.75" customHeight="1">
      <c r="A2374" s="5" t="s">
        <v>7661</v>
      </c>
      <c r="B2374" s="5" t="s">
        <v>7662</v>
      </c>
      <c r="D2374" s="5" t="s">
        <v>22</v>
      </c>
      <c r="E2374" s="5" t="s">
        <v>42</v>
      </c>
      <c r="F2374" s="5" t="s">
        <v>599</v>
      </c>
      <c r="H2374" s="5" t="s">
        <v>7454</v>
      </c>
      <c r="J2374" s="10" t="s">
        <v>72</v>
      </c>
    </row>
    <row r="2375" ht="12.75" customHeight="1">
      <c r="A2375" s="5" t="s">
        <v>7663</v>
      </c>
      <c r="B2375" s="5" t="s">
        <v>7664</v>
      </c>
      <c r="D2375" s="5" t="s">
        <v>30</v>
      </c>
      <c r="E2375" s="5" t="s">
        <v>35</v>
      </c>
      <c r="F2375" s="5" t="s">
        <v>924</v>
      </c>
      <c r="H2375" s="5" t="s">
        <v>7454</v>
      </c>
      <c r="J2375" s="10" t="s">
        <v>72</v>
      </c>
    </row>
    <row r="2376" ht="12.75" customHeight="1">
      <c r="A2376" s="5" t="s">
        <v>7665</v>
      </c>
      <c r="B2376" s="5" t="s">
        <v>7666</v>
      </c>
      <c r="D2376" s="5" t="s">
        <v>30</v>
      </c>
      <c r="E2376" s="5" t="s">
        <v>42</v>
      </c>
      <c r="F2376" s="5" t="s">
        <v>157</v>
      </c>
      <c r="H2376" s="5" t="s">
        <v>7454</v>
      </c>
      <c r="J2376" s="10" t="s">
        <v>72</v>
      </c>
    </row>
    <row r="2377" ht="12.75" customHeight="1">
      <c r="A2377" s="5" t="s">
        <v>7667</v>
      </c>
      <c r="B2377" s="5" t="s">
        <v>7668</v>
      </c>
      <c r="D2377" s="5" t="s">
        <v>46</v>
      </c>
      <c r="E2377" s="5" t="s">
        <v>35</v>
      </c>
      <c r="F2377" s="5" t="s">
        <v>263</v>
      </c>
      <c r="H2377" s="5" t="s">
        <v>7454</v>
      </c>
      <c r="J2377" s="10" t="s">
        <v>72</v>
      </c>
    </row>
    <row r="2378" ht="12.75" customHeight="1">
      <c r="A2378" s="5" t="s">
        <v>7669</v>
      </c>
      <c r="B2378" s="5" t="s">
        <v>7670</v>
      </c>
      <c r="D2378" s="5" t="s">
        <v>46</v>
      </c>
      <c r="E2378" s="5" t="s">
        <v>42</v>
      </c>
      <c r="F2378" s="5" t="s">
        <v>2701</v>
      </c>
      <c r="H2378" s="5" t="s">
        <v>7454</v>
      </c>
      <c r="J2378" s="10" t="s">
        <v>72</v>
      </c>
    </row>
    <row r="2379" ht="12.75" customHeight="1">
      <c r="A2379" s="5" t="s">
        <v>7671</v>
      </c>
      <c r="B2379" s="5" t="s">
        <v>7672</v>
      </c>
      <c r="D2379" s="5" t="s">
        <v>50</v>
      </c>
      <c r="E2379" s="5" t="s">
        <v>35</v>
      </c>
      <c r="F2379" s="5" t="s">
        <v>616</v>
      </c>
      <c r="H2379" s="5" t="s">
        <v>7454</v>
      </c>
      <c r="J2379" s="10" t="s">
        <v>72</v>
      </c>
    </row>
    <row r="2380" ht="12.75" customHeight="1">
      <c r="A2380" s="5" t="s">
        <v>7673</v>
      </c>
      <c r="B2380" s="5" t="s">
        <v>7674</v>
      </c>
      <c r="D2380" s="5" t="s">
        <v>50</v>
      </c>
      <c r="E2380" s="5" t="s">
        <v>42</v>
      </c>
      <c r="F2380" s="5" t="s">
        <v>720</v>
      </c>
      <c r="H2380" s="5" t="s">
        <v>7454</v>
      </c>
      <c r="J2380" s="10" t="s">
        <v>72</v>
      </c>
    </row>
    <row r="2381" ht="12.75" customHeight="1">
      <c r="A2381" s="5" t="s">
        <v>7675</v>
      </c>
      <c r="B2381" s="5" t="s">
        <v>7676</v>
      </c>
      <c r="D2381" s="5" t="s">
        <v>22</v>
      </c>
      <c r="E2381" s="5" t="s">
        <v>35</v>
      </c>
      <c r="F2381" s="5" t="s">
        <v>1776</v>
      </c>
      <c r="H2381" s="5" t="s">
        <v>7465</v>
      </c>
      <c r="J2381" s="10" t="s">
        <v>72</v>
      </c>
    </row>
    <row r="2382" ht="12.75" customHeight="1">
      <c r="A2382" s="5" t="s">
        <v>7677</v>
      </c>
      <c r="B2382" s="5" t="s">
        <v>7678</v>
      </c>
      <c r="D2382" s="5" t="s">
        <v>22</v>
      </c>
      <c r="E2382" s="5" t="s">
        <v>42</v>
      </c>
      <c r="F2382" s="5" t="s">
        <v>43</v>
      </c>
      <c r="H2382" s="5" t="s">
        <v>7465</v>
      </c>
      <c r="J2382" s="10" t="s">
        <v>72</v>
      </c>
    </row>
    <row r="2383" ht="12.75" customHeight="1">
      <c r="A2383" s="5" t="s">
        <v>7679</v>
      </c>
      <c r="B2383" s="5" t="s">
        <v>7680</v>
      </c>
      <c r="D2383" s="5" t="s">
        <v>46</v>
      </c>
      <c r="E2383" s="5" t="s">
        <v>35</v>
      </c>
      <c r="F2383" s="5" t="s">
        <v>545</v>
      </c>
      <c r="H2383" s="5" t="s">
        <v>7465</v>
      </c>
      <c r="J2383" s="10" t="s">
        <v>72</v>
      </c>
    </row>
    <row r="2384" ht="12.75" customHeight="1">
      <c r="A2384" s="5" t="s">
        <v>7681</v>
      </c>
      <c r="B2384" s="5" t="s">
        <v>7682</v>
      </c>
      <c r="D2384" s="5" t="s">
        <v>46</v>
      </c>
      <c r="E2384" s="5" t="s">
        <v>42</v>
      </c>
      <c r="F2384" s="5" t="s">
        <v>395</v>
      </c>
      <c r="H2384" s="5" t="s">
        <v>7465</v>
      </c>
      <c r="J2384" s="10" t="s">
        <v>72</v>
      </c>
    </row>
    <row r="2385" ht="12.75" customHeight="1">
      <c r="A2385" s="5" t="s">
        <v>7683</v>
      </c>
      <c r="B2385" s="5" t="s">
        <v>7684</v>
      </c>
      <c r="D2385" s="5" t="s">
        <v>22</v>
      </c>
      <c r="E2385" s="5" t="s">
        <v>35</v>
      </c>
      <c r="F2385" s="5" t="s">
        <v>104</v>
      </c>
      <c r="H2385" s="5" t="s">
        <v>7468</v>
      </c>
      <c r="J2385" s="10" t="s">
        <v>72</v>
      </c>
    </row>
    <row r="2386" ht="12.75" customHeight="1">
      <c r="A2386" s="5" t="s">
        <v>7685</v>
      </c>
      <c r="B2386" s="5" t="s">
        <v>7686</v>
      </c>
      <c r="D2386" s="5" t="s">
        <v>22</v>
      </c>
      <c r="E2386" s="5" t="s">
        <v>42</v>
      </c>
      <c r="F2386" s="5" t="s">
        <v>720</v>
      </c>
      <c r="H2386" s="5" t="s">
        <v>7468</v>
      </c>
      <c r="J2386" s="10" t="s">
        <v>72</v>
      </c>
    </row>
    <row r="2387" ht="12.75" customHeight="1">
      <c r="A2387" s="5" t="s">
        <v>7687</v>
      </c>
      <c r="B2387" s="5" t="s">
        <v>7688</v>
      </c>
      <c r="D2387" s="5" t="s">
        <v>30</v>
      </c>
      <c r="E2387" s="5" t="s">
        <v>35</v>
      </c>
      <c r="F2387" s="5" t="s">
        <v>545</v>
      </c>
      <c r="H2387" s="5" t="s">
        <v>7468</v>
      </c>
      <c r="J2387" s="10" t="s">
        <v>72</v>
      </c>
    </row>
    <row r="2388" ht="12.75" customHeight="1">
      <c r="A2388" s="5" t="s">
        <v>7689</v>
      </c>
      <c r="B2388" s="5" t="s">
        <v>7690</v>
      </c>
      <c r="D2388" s="5" t="s">
        <v>30</v>
      </c>
      <c r="E2388" s="5" t="s">
        <v>42</v>
      </c>
      <c r="F2388" s="5" t="s">
        <v>967</v>
      </c>
      <c r="H2388" s="5" t="s">
        <v>7468</v>
      </c>
      <c r="J2388" s="10" t="s">
        <v>72</v>
      </c>
    </row>
    <row r="2389" ht="12.75" customHeight="1">
      <c r="A2389" s="5" t="s">
        <v>7691</v>
      </c>
      <c r="B2389" s="5" t="s">
        <v>7692</v>
      </c>
      <c r="D2389" s="5" t="s">
        <v>46</v>
      </c>
      <c r="E2389" s="5" t="s">
        <v>35</v>
      </c>
      <c r="F2389" s="5" t="s">
        <v>96</v>
      </c>
      <c r="H2389" s="5" t="s">
        <v>7468</v>
      </c>
      <c r="J2389" s="10" t="s">
        <v>72</v>
      </c>
    </row>
    <row r="2390" ht="12.75" customHeight="1">
      <c r="A2390" s="5" t="s">
        <v>7693</v>
      </c>
      <c r="B2390" s="5" t="s">
        <v>7694</v>
      </c>
      <c r="D2390" s="5" t="s">
        <v>46</v>
      </c>
      <c r="E2390" s="5" t="s">
        <v>42</v>
      </c>
      <c r="F2390" s="5" t="s">
        <v>2638</v>
      </c>
      <c r="H2390" s="5" t="s">
        <v>7468</v>
      </c>
      <c r="J2390" s="10" t="s">
        <v>72</v>
      </c>
    </row>
    <row r="2391" ht="12.75" customHeight="1">
      <c r="A2391" s="5" t="s">
        <v>7695</v>
      </c>
      <c r="B2391" s="5" t="s">
        <v>7696</v>
      </c>
      <c r="D2391" s="5" t="s">
        <v>50</v>
      </c>
      <c r="E2391" s="5" t="s">
        <v>35</v>
      </c>
      <c r="F2391" s="5" t="s">
        <v>619</v>
      </c>
      <c r="H2391" s="5" t="s">
        <v>7468</v>
      </c>
      <c r="J2391" s="10" t="s">
        <v>72</v>
      </c>
    </row>
    <row r="2392" ht="12.75" customHeight="1">
      <c r="A2392" s="5" t="s">
        <v>7697</v>
      </c>
      <c r="B2392" s="5" t="s">
        <v>7698</v>
      </c>
      <c r="D2392" s="5" t="s">
        <v>50</v>
      </c>
      <c r="E2392" s="5" t="s">
        <v>42</v>
      </c>
      <c r="F2392" s="5" t="s">
        <v>238</v>
      </c>
      <c r="H2392" s="5" t="s">
        <v>7468</v>
      </c>
      <c r="J2392" s="10" t="s">
        <v>72</v>
      </c>
    </row>
    <row r="2393" ht="12.75" customHeight="1">
      <c r="A2393" s="5" t="s">
        <v>7699</v>
      </c>
      <c r="B2393" s="5" t="s">
        <v>7700</v>
      </c>
      <c r="D2393" s="5" t="s">
        <v>22</v>
      </c>
      <c r="E2393" s="5" t="s">
        <v>35</v>
      </c>
      <c r="F2393" s="5" t="s">
        <v>104</v>
      </c>
      <c r="H2393" s="5" t="s">
        <v>7500</v>
      </c>
      <c r="J2393" s="10" t="s">
        <v>72</v>
      </c>
    </row>
    <row r="2394" ht="12.75" customHeight="1">
      <c r="A2394" s="5" t="s">
        <v>7701</v>
      </c>
      <c r="B2394" s="5" t="s">
        <v>7702</v>
      </c>
      <c r="D2394" s="5" t="s">
        <v>22</v>
      </c>
      <c r="E2394" s="5" t="s">
        <v>42</v>
      </c>
      <c r="F2394" s="5" t="s">
        <v>199</v>
      </c>
      <c r="H2394" s="5" t="s">
        <v>7500</v>
      </c>
      <c r="J2394" s="10" t="s">
        <v>72</v>
      </c>
    </row>
    <row r="2395" ht="12.75" customHeight="1">
      <c r="A2395" s="5" t="s">
        <v>7703</v>
      </c>
      <c r="B2395" s="5" t="s">
        <v>7704</v>
      </c>
      <c r="D2395" s="5" t="s">
        <v>46</v>
      </c>
      <c r="E2395" s="5" t="s">
        <v>35</v>
      </c>
      <c r="F2395" s="5" t="s">
        <v>1875</v>
      </c>
      <c r="H2395" s="5" t="s">
        <v>7500</v>
      </c>
      <c r="J2395" s="10" t="s">
        <v>72</v>
      </c>
    </row>
    <row r="2396" ht="12.75" customHeight="1">
      <c r="A2396" s="5" t="s">
        <v>7705</v>
      </c>
      <c r="B2396" s="5" t="s">
        <v>7706</v>
      </c>
      <c r="D2396" s="5" t="s">
        <v>46</v>
      </c>
      <c r="E2396" s="5" t="s">
        <v>42</v>
      </c>
      <c r="F2396" s="5" t="s">
        <v>395</v>
      </c>
      <c r="H2396" s="5" t="s">
        <v>7500</v>
      </c>
      <c r="J2396" s="10" t="s">
        <v>72</v>
      </c>
    </row>
    <row r="2397" ht="12.75" customHeight="1">
      <c r="A2397" s="5" t="s">
        <v>7707</v>
      </c>
      <c r="B2397" s="5" t="s">
        <v>7708</v>
      </c>
      <c r="D2397" s="5" t="s">
        <v>22</v>
      </c>
      <c r="E2397" s="5" t="s">
        <v>35</v>
      </c>
      <c r="F2397" s="5" t="s">
        <v>77</v>
      </c>
      <c r="H2397" s="5" t="s">
        <v>7503</v>
      </c>
      <c r="J2397" s="10" t="s">
        <v>72</v>
      </c>
    </row>
    <row r="2398" ht="12.75" customHeight="1">
      <c r="A2398" s="5" t="s">
        <v>7709</v>
      </c>
      <c r="B2398" s="5" t="s">
        <v>7710</v>
      </c>
      <c r="D2398" s="5" t="s">
        <v>22</v>
      </c>
      <c r="E2398" s="5" t="s">
        <v>42</v>
      </c>
      <c r="F2398" s="5" t="s">
        <v>65</v>
      </c>
      <c r="H2398" s="5" t="s">
        <v>7503</v>
      </c>
      <c r="J2398" s="10" t="s">
        <v>72</v>
      </c>
    </row>
    <row r="2399" ht="12.75" customHeight="1">
      <c r="A2399" s="5" t="s">
        <v>7711</v>
      </c>
      <c r="B2399" s="5" t="s">
        <v>7712</v>
      </c>
      <c r="D2399" s="5" t="s">
        <v>30</v>
      </c>
      <c r="E2399" s="5" t="s">
        <v>35</v>
      </c>
      <c r="F2399" s="5" t="s">
        <v>1896</v>
      </c>
      <c r="H2399" s="5" t="s">
        <v>7503</v>
      </c>
      <c r="J2399" s="10" t="s">
        <v>72</v>
      </c>
    </row>
    <row r="2400" ht="12.75" customHeight="1">
      <c r="A2400" s="5" t="s">
        <v>7713</v>
      </c>
      <c r="B2400" s="5" t="s">
        <v>7714</v>
      </c>
      <c r="D2400" s="5" t="s">
        <v>30</v>
      </c>
      <c r="E2400" s="5" t="s">
        <v>42</v>
      </c>
      <c r="F2400" s="5" t="s">
        <v>967</v>
      </c>
      <c r="H2400" s="5" t="s">
        <v>7503</v>
      </c>
      <c r="J2400" s="10" t="s">
        <v>72</v>
      </c>
    </row>
    <row r="2401" ht="12.75" customHeight="1">
      <c r="A2401" s="5" t="s">
        <v>7715</v>
      </c>
      <c r="B2401" s="5" t="s">
        <v>7716</v>
      </c>
      <c r="D2401" s="5" t="s">
        <v>46</v>
      </c>
      <c r="E2401" s="5" t="s">
        <v>35</v>
      </c>
      <c r="F2401" s="5" t="s">
        <v>96</v>
      </c>
      <c r="H2401" s="5" t="s">
        <v>7503</v>
      </c>
      <c r="J2401" s="10" t="s">
        <v>72</v>
      </c>
    </row>
    <row r="2402" ht="12.75" customHeight="1">
      <c r="A2402" s="5" t="s">
        <v>7717</v>
      </c>
      <c r="B2402" s="5" t="s">
        <v>7718</v>
      </c>
      <c r="D2402" s="5" t="s">
        <v>46</v>
      </c>
      <c r="E2402" s="5" t="s">
        <v>42</v>
      </c>
      <c r="F2402" s="5" t="s">
        <v>535</v>
      </c>
      <c r="H2402" s="5" t="s">
        <v>7503</v>
      </c>
      <c r="J2402" s="10" t="s">
        <v>72</v>
      </c>
    </row>
    <row r="2403" ht="12.75" customHeight="1">
      <c r="A2403" s="5" t="s">
        <v>7719</v>
      </c>
      <c r="B2403" s="5" t="s">
        <v>7720</v>
      </c>
      <c r="D2403" s="5" t="s">
        <v>50</v>
      </c>
      <c r="E2403" s="5" t="s">
        <v>35</v>
      </c>
      <c r="F2403" s="5" t="s">
        <v>189</v>
      </c>
      <c r="H2403" s="5" t="s">
        <v>7503</v>
      </c>
      <c r="J2403" s="10" t="s">
        <v>72</v>
      </c>
    </row>
    <row r="2404" ht="12.75" customHeight="1">
      <c r="A2404" s="5" t="s">
        <v>7721</v>
      </c>
      <c r="B2404" s="5" t="s">
        <v>7722</v>
      </c>
      <c r="D2404" s="5" t="s">
        <v>50</v>
      </c>
      <c r="E2404" s="5" t="s">
        <v>42</v>
      </c>
      <c r="F2404" s="5" t="s">
        <v>65</v>
      </c>
      <c r="H2404" s="5" t="s">
        <v>7503</v>
      </c>
      <c r="J2404" s="10" t="s">
        <v>72</v>
      </c>
    </row>
    <row r="2405" ht="12.75" customHeight="1">
      <c r="A2405" s="5" t="s">
        <v>7723</v>
      </c>
      <c r="B2405" s="5" t="s">
        <v>7724</v>
      </c>
      <c r="D2405" s="5" t="s">
        <v>22</v>
      </c>
      <c r="E2405" s="5" t="s">
        <v>35</v>
      </c>
      <c r="F2405" s="5" t="s">
        <v>110</v>
      </c>
      <c r="H2405" s="5" t="s">
        <v>7535</v>
      </c>
      <c r="J2405" s="10" t="s">
        <v>72</v>
      </c>
    </row>
    <row r="2406" ht="12.75" customHeight="1">
      <c r="A2406" s="5" t="s">
        <v>4758</v>
      </c>
      <c r="B2406" s="5" t="s">
        <v>7725</v>
      </c>
      <c r="D2406" s="5" t="s">
        <v>22</v>
      </c>
      <c r="E2406" s="5" t="s">
        <v>42</v>
      </c>
      <c r="F2406" s="5" t="s">
        <v>575</v>
      </c>
      <c r="H2406" s="5" t="s">
        <v>7535</v>
      </c>
      <c r="J2406" s="10" t="s">
        <v>72</v>
      </c>
      <c r="K2406" s="5" t="s">
        <v>4754</v>
      </c>
    </row>
    <row r="2407" ht="12.75" customHeight="1">
      <c r="A2407" s="5" t="s">
        <v>7726</v>
      </c>
      <c r="B2407" s="5" t="s">
        <v>7727</v>
      </c>
      <c r="D2407" s="5" t="s">
        <v>46</v>
      </c>
      <c r="E2407" s="5" t="s">
        <v>35</v>
      </c>
      <c r="F2407" s="5" t="s">
        <v>96</v>
      </c>
      <c r="H2407" s="5" t="s">
        <v>7535</v>
      </c>
      <c r="J2407" s="10" t="s">
        <v>72</v>
      </c>
    </row>
    <row r="2408" ht="12.75" customHeight="1">
      <c r="A2408" s="5" t="s">
        <v>7728</v>
      </c>
      <c r="B2408" s="5" t="s">
        <v>7729</v>
      </c>
      <c r="D2408" s="5" t="s">
        <v>46</v>
      </c>
      <c r="E2408" s="5" t="s">
        <v>42</v>
      </c>
      <c r="F2408" s="5" t="s">
        <v>395</v>
      </c>
      <c r="H2408" s="5" t="s">
        <v>7535</v>
      </c>
      <c r="J2408" s="10" t="s">
        <v>72</v>
      </c>
    </row>
    <row r="2409" ht="12.75" customHeight="1">
      <c r="A2409" s="5" t="s">
        <v>7730</v>
      </c>
      <c r="B2409" s="5" t="s">
        <v>7731</v>
      </c>
      <c r="D2409" s="5" t="s">
        <v>22</v>
      </c>
      <c r="E2409" s="5" t="s">
        <v>35</v>
      </c>
      <c r="F2409" s="5" t="s">
        <v>110</v>
      </c>
      <c r="H2409" s="5" t="s">
        <v>7538</v>
      </c>
      <c r="J2409" s="10" t="s">
        <v>72</v>
      </c>
    </row>
    <row r="2410" ht="12.75" customHeight="1">
      <c r="A2410" s="5" t="s">
        <v>7732</v>
      </c>
      <c r="B2410" s="5" t="s">
        <v>7733</v>
      </c>
      <c r="D2410" s="5" t="s">
        <v>22</v>
      </c>
      <c r="E2410" s="5" t="s">
        <v>42</v>
      </c>
      <c r="F2410" s="5" t="s">
        <v>672</v>
      </c>
      <c r="H2410" s="5" t="s">
        <v>7538</v>
      </c>
      <c r="J2410" s="10" t="s">
        <v>72</v>
      </c>
    </row>
    <row r="2411" ht="12.75" customHeight="1">
      <c r="A2411" s="5" t="s">
        <v>7734</v>
      </c>
      <c r="B2411" s="5" t="s">
        <v>7735</v>
      </c>
      <c r="D2411" s="5" t="s">
        <v>30</v>
      </c>
      <c r="E2411" s="5" t="s">
        <v>35</v>
      </c>
      <c r="F2411" s="5" t="s">
        <v>1143</v>
      </c>
      <c r="H2411" s="5" t="s">
        <v>7538</v>
      </c>
      <c r="J2411" s="10" t="s">
        <v>72</v>
      </c>
    </row>
    <row r="2412" ht="12.75" customHeight="1">
      <c r="A2412" s="5" t="s">
        <v>7736</v>
      </c>
      <c r="B2412" s="5" t="s">
        <v>7737</v>
      </c>
      <c r="D2412" s="5" t="s">
        <v>30</v>
      </c>
      <c r="E2412" s="5" t="s">
        <v>42</v>
      </c>
      <c r="F2412" s="5" t="s">
        <v>2196</v>
      </c>
      <c r="H2412" s="5" t="s">
        <v>7538</v>
      </c>
      <c r="J2412" s="10" t="s">
        <v>72</v>
      </c>
    </row>
    <row r="2413" ht="12.75" customHeight="1">
      <c r="A2413" s="5" t="s">
        <v>7738</v>
      </c>
      <c r="B2413" s="5" t="s">
        <v>7739</v>
      </c>
      <c r="D2413" s="5" t="s">
        <v>46</v>
      </c>
      <c r="E2413" s="5" t="s">
        <v>35</v>
      </c>
      <c r="F2413" s="5" t="s">
        <v>1831</v>
      </c>
      <c r="H2413" s="5" t="s">
        <v>7538</v>
      </c>
      <c r="J2413" s="10" t="s">
        <v>72</v>
      </c>
    </row>
    <row r="2414" ht="12.75" customHeight="1">
      <c r="A2414" s="5" t="s">
        <v>7740</v>
      </c>
      <c r="B2414" s="5" t="s">
        <v>7741</v>
      </c>
      <c r="D2414" s="5" t="s">
        <v>46</v>
      </c>
      <c r="E2414" s="5" t="s">
        <v>42</v>
      </c>
      <c r="F2414" s="5" t="s">
        <v>974</v>
      </c>
      <c r="H2414" s="5" t="s">
        <v>7538</v>
      </c>
      <c r="J2414" s="10" t="s">
        <v>72</v>
      </c>
    </row>
    <row r="2415" ht="12.75" customHeight="1">
      <c r="A2415" s="5" t="s">
        <v>7742</v>
      </c>
      <c r="B2415" s="5" t="s">
        <v>7743</v>
      </c>
      <c r="D2415" s="5" t="s">
        <v>50</v>
      </c>
      <c r="E2415" s="5" t="s">
        <v>35</v>
      </c>
      <c r="F2415" s="5" t="s">
        <v>189</v>
      </c>
      <c r="H2415" s="5" t="s">
        <v>7538</v>
      </c>
      <c r="J2415" s="10" t="s">
        <v>72</v>
      </c>
    </row>
    <row r="2416" ht="12.75" customHeight="1">
      <c r="A2416" s="5" t="s">
        <v>7744</v>
      </c>
      <c r="B2416" s="5" t="s">
        <v>7745</v>
      </c>
      <c r="D2416" s="5" t="s">
        <v>50</v>
      </c>
      <c r="E2416" s="5" t="s">
        <v>42</v>
      </c>
      <c r="F2416" s="5" t="s">
        <v>672</v>
      </c>
      <c r="H2416" s="5" t="s">
        <v>7543</v>
      </c>
      <c r="J2416" s="10" t="s">
        <v>72</v>
      </c>
    </row>
    <row r="2417" ht="12.75" customHeight="1">
      <c r="A2417" s="5" t="s">
        <v>7746</v>
      </c>
      <c r="B2417" s="5" t="s">
        <v>7747</v>
      </c>
      <c r="D2417" s="5" t="s">
        <v>22</v>
      </c>
      <c r="E2417" s="5" t="s">
        <v>35</v>
      </c>
      <c r="F2417" s="5" t="s">
        <v>110</v>
      </c>
      <c r="H2417" s="5" t="s">
        <v>7570</v>
      </c>
      <c r="J2417" s="10" t="s">
        <v>72</v>
      </c>
    </row>
    <row r="2418" ht="12.75" customHeight="1">
      <c r="A2418" s="5" t="s">
        <v>7748</v>
      </c>
      <c r="B2418" s="5" t="s">
        <v>7749</v>
      </c>
      <c r="D2418" s="5" t="s">
        <v>46</v>
      </c>
      <c r="E2418" s="5" t="s">
        <v>42</v>
      </c>
      <c r="F2418" s="5" t="s">
        <v>395</v>
      </c>
      <c r="H2418" s="5" t="s">
        <v>7570</v>
      </c>
      <c r="J2418" s="10" t="s">
        <v>72</v>
      </c>
    </row>
    <row r="2419" ht="12.75" customHeight="1">
      <c r="A2419" s="5" t="s">
        <v>7750</v>
      </c>
      <c r="B2419" s="5" t="s">
        <v>7751</v>
      </c>
      <c r="D2419" s="5" t="s">
        <v>22</v>
      </c>
      <c r="E2419" s="5" t="s">
        <v>35</v>
      </c>
      <c r="F2419" s="5" t="s">
        <v>110</v>
      </c>
      <c r="H2419" s="5" t="s">
        <v>7573</v>
      </c>
      <c r="J2419" s="10" t="s">
        <v>72</v>
      </c>
    </row>
    <row r="2420" ht="12.75" customHeight="1">
      <c r="A2420" s="5" t="s">
        <v>7752</v>
      </c>
      <c r="B2420" s="5" t="s">
        <v>7753</v>
      </c>
      <c r="D2420" s="5" t="s">
        <v>46</v>
      </c>
      <c r="E2420" s="5" t="s">
        <v>42</v>
      </c>
      <c r="F2420" s="5" t="s">
        <v>974</v>
      </c>
      <c r="H2420" s="5" t="s">
        <v>7573</v>
      </c>
      <c r="J2420" s="10" t="s">
        <v>72</v>
      </c>
    </row>
    <row r="2421" ht="12.75" customHeight="1">
      <c r="A2421" s="5" t="s">
        <v>7754</v>
      </c>
      <c r="B2421" s="5" t="s">
        <v>7755</v>
      </c>
      <c r="D2421" s="5" t="s">
        <v>22</v>
      </c>
      <c r="E2421" s="5" t="s">
        <v>35</v>
      </c>
      <c r="F2421" s="5" t="s">
        <v>172</v>
      </c>
      <c r="H2421" s="5" t="s">
        <v>7383</v>
      </c>
      <c r="J2421" s="10" t="s">
        <v>72</v>
      </c>
    </row>
    <row r="2422" ht="12.75" customHeight="1">
      <c r="A2422" s="5" t="s">
        <v>7756</v>
      </c>
      <c r="B2422" s="5" t="s">
        <v>7757</v>
      </c>
      <c r="D2422" s="5" t="s">
        <v>22</v>
      </c>
      <c r="E2422" s="5" t="s">
        <v>42</v>
      </c>
      <c r="F2422" s="5" t="s">
        <v>199</v>
      </c>
      <c r="H2422" s="5" t="s">
        <v>7383</v>
      </c>
      <c r="J2422" s="10" t="s">
        <v>72</v>
      </c>
    </row>
    <row r="2423" ht="12.75" customHeight="1">
      <c r="A2423" s="5" t="s">
        <v>7758</v>
      </c>
      <c r="B2423" s="5" t="s">
        <v>7759</v>
      </c>
      <c r="D2423" s="5" t="s">
        <v>30</v>
      </c>
      <c r="E2423" s="5" t="s">
        <v>35</v>
      </c>
      <c r="F2423" s="5" t="s">
        <v>545</v>
      </c>
      <c r="H2423" s="5" t="s">
        <v>7383</v>
      </c>
      <c r="J2423" s="10" t="s">
        <v>72</v>
      </c>
    </row>
    <row r="2424" ht="12.75" customHeight="1">
      <c r="A2424" s="5" t="s">
        <v>7760</v>
      </c>
      <c r="B2424" s="5" t="s">
        <v>7761</v>
      </c>
      <c r="D2424" s="5" t="s">
        <v>30</v>
      </c>
      <c r="E2424" s="5" t="s">
        <v>42</v>
      </c>
      <c r="F2424" s="5" t="s">
        <v>2869</v>
      </c>
      <c r="H2424" s="5" t="s">
        <v>7383</v>
      </c>
      <c r="J2424" s="10" t="s">
        <v>72</v>
      </c>
    </row>
    <row r="2425" ht="12.75" customHeight="1">
      <c r="A2425" s="5" t="s">
        <v>7762</v>
      </c>
      <c r="B2425" s="5" t="s">
        <v>7763</v>
      </c>
      <c r="D2425" s="5" t="s">
        <v>46</v>
      </c>
      <c r="E2425" s="5" t="s">
        <v>35</v>
      </c>
      <c r="F2425" s="5" t="s">
        <v>96</v>
      </c>
      <c r="H2425" s="5" t="s">
        <v>7383</v>
      </c>
      <c r="J2425" s="10" t="s">
        <v>72</v>
      </c>
    </row>
    <row r="2426" ht="12.75" customHeight="1">
      <c r="A2426" s="5" t="s">
        <v>7764</v>
      </c>
      <c r="B2426" s="5" t="s">
        <v>7765</v>
      </c>
      <c r="D2426" s="5" t="s">
        <v>46</v>
      </c>
      <c r="E2426" s="5" t="s">
        <v>42</v>
      </c>
      <c r="F2426" s="5" t="s">
        <v>395</v>
      </c>
      <c r="H2426" s="5" t="s">
        <v>7383</v>
      </c>
      <c r="J2426" s="10" t="s">
        <v>72</v>
      </c>
    </row>
    <row r="2427" ht="12.75" customHeight="1">
      <c r="A2427" s="5" t="s">
        <v>7766</v>
      </c>
      <c r="B2427" s="5" t="s">
        <v>7767</v>
      </c>
      <c r="D2427" s="5" t="s">
        <v>50</v>
      </c>
      <c r="E2427" s="5" t="s">
        <v>35</v>
      </c>
      <c r="F2427" s="5" t="s">
        <v>1776</v>
      </c>
      <c r="H2427" s="5" t="s">
        <v>7383</v>
      </c>
      <c r="J2427" s="10" t="s">
        <v>72</v>
      </c>
    </row>
    <row r="2428" ht="12.75" customHeight="1">
      <c r="A2428" s="5" t="s">
        <v>7768</v>
      </c>
      <c r="B2428" s="5" t="s">
        <v>7769</v>
      </c>
      <c r="D2428" s="5" t="s">
        <v>50</v>
      </c>
      <c r="E2428" s="5" t="s">
        <v>42</v>
      </c>
      <c r="F2428" s="5" t="s">
        <v>634</v>
      </c>
      <c r="H2428" s="5" t="s">
        <v>7383</v>
      </c>
      <c r="J2428" s="10" t="s">
        <v>72</v>
      </c>
    </row>
    <row r="2429" ht="12.75" customHeight="1">
      <c r="A2429" s="5" t="s">
        <v>7770</v>
      </c>
      <c r="B2429" s="5" t="s">
        <v>7771</v>
      </c>
      <c r="D2429" s="5" t="s">
        <v>30</v>
      </c>
      <c r="E2429" s="5" t="s">
        <v>35</v>
      </c>
      <c r="F2429" s="5" t="s">
        <v>545</v>
      </c>
      <c r="H2429" s="5" t="s">
        <v>7402</v>
      </c>
      <c r="J2429" s="10" t="s">
        <v>72</v>
      </c>
    </row>
    <row r="2430" ht="12.75" customHeight="1">
      <c r="A2430" s="5" t="s">
        <v>7772</v>
      </c>
      <c r="B2430" s="10" t="s">
        <v>7773</v>
      </c>
      <c r="D2430" s="5" t="s">
        <v>30</v>
      </c>
      <c r="E2430" s="5" t="s">
        <v>42</v>
      </c>
      <c r="F2430" s="5" t="s">
        <v>395</v>
      </c>
      <c r="H2430" s="5" t="s">
        <v>7402</v>
      </c>
      <c r="J2430" s="10" t="s">
        <v>72</v>
      </c>
    </row>
    <row r="2431" ht="12.75" customHeight="1">
      <c r="A2431" s="5" t="s">
        <v>7774</v>
      </c>
      <c r="B2431" s="10" t="s">
        <v>7775</v>
      </c>
      <c r="D2431" s="5" t="s">
        <v>46</v>
      </c>
      <c r="E2431" s="5" t="s">
        <v>35</v>
      </c>
      <c r="F2431" s="5" t="s">
        <v>1868</v>
      </c>
      <c r="H2431" s="5" t="s">
        <v>7402</v>
      </c>
      <c r="J2431" s="10" t="s">
        <v>72</v>
      </c>
    </row>
    <row r="2432" ht="12.75" customHeight="1">
      <c r="A2432" s="5" t="s">
        <v>7776</v>
      </c>
      <c r="B2432" s="10" t="s">
        <v>7777</v>
      </c>
      <c r="D2432" s="5" t="s">
        <v>46</v>
      </c>
      <c r="E2432" s="5" t="s">
        <v>42</v>
      </c>
      <c r="F2432" s="5" t="s">
        <v>2638</v>
      </c>
      <c r="H2432" s="5" t="s">
        <v>7402</v>
      </c>
      <c r="J2432" s="10" t="s">
        <v>72</v>
      </c>
    </row>
    <row r="2433" ht="12.75" customHeight="1">
      <c r="A2433" s="5" t="s">
        <v>7778</v>
      </c>
      <c r="B2433" s="5" t="s">
        <v>7779</v>
      </c>
      <c r="D2433" s="5" t="s">
        <v>22</v>
      </c>
      <c r="E2433" s="5" t="s">
        <v>35</v>
      </c>
      <c r="F2433" s="5" t="s">
        <v>619</v>
      </c>
      <c r="H2433" s="5" t="s">
        <v>1077</v>
      </c>
      <c r="J2433" s="10" t="s">
        <v>72</v>
      </c>
    </row>
    <row r="2434" ht="12.75" customHeight="1">
      <c r="A2434" s="5" t="s">
        <v>7780</v>
      </c>
      <c r="B2434" s="5" t="s">
        <v>7781</v>
      </c>
      <c r="D2434" s="5" t="s">
        <v>22</v>
      </c>
      <c r="E2434" s="5" t="s">
        <v>42</v>
      </c>
      <c r="F2434" s="5" t="s">
        <v>657</v>
      </c>
      <c r="H2434" s="5" t="s">
        <v>1077</v>
      </c>
      <c r="J2434" s="10" t="s">
        <v>72</v>
      </c>
    </row>
    <row r="2435" ht="12.75" customHeight="1">
      <c r="A2435" s="5" t="s">
        <v>7782</v>
      </c>
      <c r="B2435" s="5" t="s">
        <v>7783</v>
      </c>
      <c r="D2435" s="5" t="s">
        <v>30</v>
      </c>
      <c r="E2435" s="5" t="s">
        <v>35</v>
      </c>
      <c r="F2435" s="5" t="s">
        <v>4410</v>
      </c>
      <c r="H2435" s="5" t="s">
        <v>1077</v>
      </c>
      <c r="J2435" s="10" t="s">
        <v>72</v>
      </c>
    </row>
    <row r="2436" ht="12.75" customHeight="1">
      <c r="A2436" s="5" t="s">
        <v>7784</v>
      </c>
      <c r="B2436" s="5" t="s">
        <v>7785</v>
      </c>
      <c r="D2436" s="5" t="s">
        <v>30</v>
      </c>
      <c r="E2436" s="5" t="s">
        <v>42</v>
      </c>
      <c r="F2436" s="5" t="s">
        <v>967</v>
      </c>
      <c r="H2436" s="5" t="s">
        <v>1077</v>
      </c>
      <c r="J2436" s="10" t="s">
        <v>72</v>
      </c>
    </row>
    <row r="2437" ht="12.75" customHeight="1">
      <c r="A2437" s="5" t="s">
        <v>7786</v>
      </c>
      <c r="B2437" s="5" t="s">
        <v>7787</v>
      </c>
      <c r="D2437" s="5" t="s">
        <v>46</v>
      </c>
      <c r="E2437" s="5" t="s">
        <v>35</v>
      </c>
      <c r="F2437" s="5" t="s">
        <v>545</v>
      </c>
      <c r="H2437" s="5" t="s">
        <v>1077</v>
      </c>
      <c r="J2437" s="10" t="s">
        <v>72</v>
      </c>
    </row>
    <row r="2438" ht="12.75" customHeight="1">
      <c r="A2438" s="5" t="s">
        <v>7788</v>
      </c>
      <c r="B2438" s="5" t="s">
        <v>7789</v>
      </c>
      <c r="D2438" s="5" t="s">
        <v>46</v>
      </c>
      <c r="E2438" s="5" t="s">
        <v>42</v>
      </c>
      <c r="F2438" s="5" t="s">
        <v>211</v>
      </c>
      <c r="H2438" s="5" t="s">
        <v>1077</v>
      </c>
      <c r="J2438" s="10" t="s">
        <v>72</v>
      </c>
    </row>
    <row r="2439" ht="12.75" customHeight="1">
      <c r="A2439" s="5" t="s">
        <v>7790</v>
      </c>
      <c r="B2439" s="5" t="s">
        <v>7791</v>
      </c>
      <c r="D2439" s="5" t="s">
        <v>50</v>
      </c>
      <c r="E2439" s="5" t="s">
        <v>35</v>
      </c>
      <c r="F2439" s="5" t="s">
        <v>278</v>
      </c>
      <c r="H2439" s="5" t="s">
        <v>1077</v>
      </c>
      <c r="J2439" s="10" t="s">
        <v>72</v>
      </c>
    </row>
    <row r="2440" ht="12.75" customHeight="1">
      <c r="A2440" s="5" t="s">
        <v>7792</v>
      </c>
      <c r="B2440" s="5" t="s">
        <v>7793</v>
      </c>
      <c r="D2440" s="5" t="s">
        <v>50</v>
      </c>
      <c r="E2440" s="5" t="s">
        <v>42</v>
      </c>
      <c r="F2440" s="5" t="s">
        <v>575</v>
      </c>
      <c r="H2440" s="5" t="s">
        <v>1077</v>
      </c>
      <c r="J2440" s="10" t="s">
        <v>72</v>
      </c>
    </row>
    <row r="2441" ht="12.75" customHeight="1">
      <c r="A2441" s="5" t="s">
        <v>7794</v>
      </c>
      <c r="B2441" s="10" t="s">
        <v>7795</v>
      </c>
      <c r="D2441" s="5" t="s">
        <v>30</v>
      </c>
      <c r="E2441" s="5" t="s">
        <v>35</v>
      </c>
      <c r="F2441" s="5" t="s">
        <v>545</v>
      </c>
      <c r="H2441" s="5" t="s">
        <v>7434</v>
      </c>
      <c r="J2441" s="10" t="s">
        <v>72</v>
      </c>
    </row>
    <row r="2442" ht="12.75" customHeight="1">
      <c r="A2442" s="5" t="s">
        <v>7796</v>
      </c>
      <c r="B2442" s="10" t="s">
        <v>7797</v>
      </c>
      <c r="D2442" s="5" t="s">
        <v>30</v>
      </c>
      <c r="E2442" s="5" t="s">
        <v>42</v>
      </c>
      <c r="F2442" s="5" t="s">
        <v>395</v>
      </c>
      <c r="H2442" s="5" t="s">
        <v>7434</v>
      </c>
      <c r="J2442" s="10" t="s">
        <v>72</v>
      </c>
    </row>
    <row r="2443" ht="12.75" customHeight="1">
      <c r="A2443" s="5" t="s">
        <v>7798</v>
      </c>
      <c r="B2443" s="10" t="s">
        <v>7799</v>
      </c>
      <c r="D2443" s="5" t="s">
        <v>46</v>
      </c>
      <c r="E2443" s="5" t="s">
        <v>35</v>
      </c>
      <c r="F2443" s="5" t="s">
        <v>1875</v>
      </c>
      <c r="H2443" s="5" t="s">
        <v>7434</v>
      </c>
      <c r="J2443" s="10" t="s">
        <v>72</v>
      </c>
    </row>
    <row r="2444" ht="12.75" customHeight="1">
      <c r="A2444" s="5" t="s">
        <v>7800</v>
      </c>
      <c r="B2444" s="10" t="s">
        <v>7801</v>
      </c>
      <c r="D2444" s="5" t="s">
        <v>46</v>
      </c>
      <c r="E2444" s="5" t="s">
        <v>42</v>
      </c>
      <c r="F2444" s="5" t="s">
        <v>974</v>
      </c>
      <c r="H2444" s="5" t="s">
        <v>7434</v>
      </c>
      <c r="J2444" s="10" t="s">
        <v>72</v>
      </c>
    </row>
    <row r="2445" ht="12.75" customHeight="1">
      <c r="A2445" s="5" t="s">
        <v>7802</v>
      </c>
      <c r="B2445" s="5" t="s">
        <v>7803</v>
      </c>
      <c r="D2445" s="5" t="s">
        <v>22</v>
      </c>
      <c r="E2445" s="5" t="s">
        <v>35</v>
      </c>
      <c r="F2445" s="5" t="s">
        <v>813</v>
      </c>
      <c r="H2445" s="5" t="s">
        <v>7437</v>
      </c>
      <c r="J2445" s="10" t="s">
        <v>72</v>
      </c>
    </row>
    <row r="2446" ht="12.75" customHeight="1">
      <c r="A2446" s="5" t="s">
        <v>7804</v>
      </c>
      <c r="B2446" s="5" t="s">
        <v>7805</v>
      </c>
      <c r="D2446" s="5" t="s">
        <v>22</v>
      </c>
      <c r="E2446" s="5" t="s">
        <v>42</v>
      </c>
      <c r="F2446" s="5" t="s">
        <v>575</v>
      </c>
      <c r="H2446" s="5" t="s">
        <v>7437</v>
      </c>
      <c r="J2446" s="10" t="s">
        <v>72</v>
      </c>
    </row>
    <row r="2447" ht="12.75" customHeight="1">
      <c r="A2447" s="5" t="s">
        <v>7806</v>
      </c>
      <c r="B2447" s="5" t="s">
        <v>7807</v>
      </c>
      <c r="D2447" s="5" t="s">
        <v>30</v>
      </c>
      <c r="E2447" s="5" t="s">
        <v>35</v>
      </c>
      <c r="F2447" s="5" t="s">
        <v>1143</v>
      </c>
      <c r="H2447" s="5" t="s">
        <v>7437</v>
      </c>
      <c r="J2447" s="10" t="s">
        <v>72</v>
      </c>
    </row>
    <row r="2448" ht="12.75" customHeight="1">
      <c r="A2448" s="5" t="s">
        <v>7808</v>
      </c>
      <c r="B2448" s="5" t="s">
        <v>7809</v>
      </c>
      <c r="D2448" s="5" t="s">
        <v>30</v>
      </c>
      <c r="E2448" s="5" t="s">
        <v>42</v>
      </c>
      <c r="F2448" s="5" t="s">
        <v>2218</v>
      </c>
      <c r="H2448" s="5" t="s">
        <v>7437</v>
      </c>
      <c r="J2448" s="10" t="s">
        <v>72</v>
      </c>
    </row>
    <row r="2449" ht="12.75" customHeight="1">
      <c r="A2449" s="5" t="s">
        <v>7810</v>
      </c>
      <c r="B2449" s="5" t="s">
        <v>7811</v>
      </c>
      <c r="D2449" s="5" t="s">
        <v>46</v>
      </c>
      <c r="E2449" s="5" t="s">
        <v>35</v>
      </c>
      <c r="F2449" s="5" t="s">
        <v>1344</v>
      </c>
      <c r="H2449" s="5" t="s">
        <v>7437</v>
      </c>
      <c r="J2449" s="10" t="s">
        <v>72</v>
      </c>
    </row>
    <row r="2450" ht="12.75" customHeight="1">
      <c r="A2450" s="5" t="s">
        <v>7812</v>
      </c>
      <c r="B2450" s="5" t="s">
        <v>7813</v>
      </c>
      <c r="D2450" s="5" t="s">
        <v>46</v>
      </c>
      <c r="E2450" s="5" t="s">
        <v>42</v>
      </c>
      <c r="F2450" s="5" t="s">
        <v>211</v>
      </c>
      <c r="H2450" s="5" t="s">
        <v>7437</v>
      </c>
      <c r="J2450" s="10" t="s">
        <v>72</v>
      </c>
    </row>
    <row r="2451" ht="12.75" customHeight="1">
      <c r="A2451" s="5" t="s">
        <v>7814</v>
      </c>
      <c r="B2451" s="5" t="s">
        <v>7815</v>
      </c>
      <c r="D2451" s="5" t="s">
        <v>50</v>
      </c>
      <c r="E2451" s="5" t="s">
        <v>35</v>
      </c>
      <c r="F2451" s="5" t="s">
        <v>913</v>
      </c>
      <c r="H2451" s="5" t="s">
        <v>7437</v>
      </c>
      <c r="J2451" s="10" t="s">
        <v>72</v>
      </c>
    </row>
    <row r="2452" ht="12.75" customHeight="1">
      <c r="A2452" s="5" t="s">
        <v>7816</v>
      </c>
      <c r="B2452" s="5" t="s">
        <v>7817</v>
      </c>
      <c r="D2452" s="5" t="s">
        <v>50</v>
      </c>
      <c r="E2452" s="5" t="s">
        <v>42</v>
      </c>
      <c r="F2452" s="5" t="s">
        <v>575</v>
      </c>
      <c r="H2452" s="5" t="s">
        <v>7437</v>
      </c>
      <c r="J2452" s="10" t="s">
        <v>72</v>
      </c>
    </row>
    <row r="2453" ht="12.75" customHeight="1">
      <c r="A2453" s="5" t="s">
        <v>7818</v>
      </c>
      <c r="B2453" s="10" t="s">
        <v>7819</v>
      </c>
      <c r="D2453" s="5" t="s">
        <v>30</v>
      </c>
      <c r="E2453" s="5" t="s">
        <v>35</v>
      </c>
      <c r="F2453" s="5" t="s">
        <v>1344</v>
      </c>
      <c r="H2453" s="5" t="s">
        <v>7470</v>
      </c>
      <c r="J2453" s="10" t="s">
        <v>72</v>
      </c>
    </row>
    <row r="2454" ht="12.75" customHeight="1">
      <c r="A2454" s="5" t="s">
        <v>7820</v>
      </c>
      <c r="B2454" s="10" t="s">
        <v>7821</v>
      </c>
      <c r="D2454" s="5" t="s">
        <v>30</v>
      </c>
      <c r="E2454" s="5" t="s">
        <v>42</v>
      </c>
      <c r="F2454" s="5" t="s">
        <v>211</v>
      </c>
      <c r="H2454" s="5" t="s">
        <v>7470</v>
      </c>
      <c r="J2454" s="10" t="s">
        <v>72</v>
      </c>
    </row>
    <row r="2455" ht="12.75" customHeight="1">
      <c r="A2455" s="5" t="s">
        <v>7822</v>
      </c>
      <c r="B2455" s="10" t="s">
        <v>7823</v>
      </c>
      <c r="D2455" s="5" t="s">
        <v>46</v>
      </c>
      <c r="E2455" s="5" t="s">
        <v>35</v>
      </c>
      <c r="F2455" s="5" t="s">
        <v>1334</v>
      </c>
      <c r="H2455" s="5" t="s">
        <v>7470</v>
      </c>
      <c r="J2455" s="10" t="s">
        <v>72</v>
      </c>
    </row>
    <row r="2456" ht="12.75" customHeight="1">
      <c r="A2456" s="5" t="s">
        <v>7824</v>
      </c>
      <c r="B2456" s="5" t="s">
        <v>7825</v>
      </c>
      <c r="D2456" s="5" t="s">
        <v>46</v>
      </c>
      <c r="E2456" s="5" t="s">
        <v>42</v>
      </c>
      <c r="F2456" s="5" t="s">
        <v>535</v>
      </c>
      <c r="H2456" s="5" t="s">
        <v>7470</v>
      </c>
      <c r="J2456" s="10" t="s">
        <v>72</v>
      </c>
    </row>
    <row r="2457" ht="12.75" customHeight="1">
      <c r="A2457" s="5" t="s">
        <v>7826</v>
      </c>
      <c r="B2457" s="5" t="s">
        <v>7827</v>
      </c>
      <c r="D2457" s="5" t="s">
        <v>22</v>
      </c>
      <c r="E2457" s="5" t="s">
        <v>35</v>
      </c>
      <c r="F2457" s="5" t="s">
        <v>813</v>
      </c>
      <c r="H2457" s="5" t="s">
        <v>7473</v>
      </c>
      <c r="J2457" s="10" t="s">
        <v>72</v>
      </c>
    </row>
    <row r="2458" ht="12.75" customHeight="1">
      <c r="A2458" s="5" t="s">
        <v>7828</v>
      </c>
      <c r="B2458" s="5" t="s">
        <v>7829</v>
      </c>
      <c r="D2458" s="5" t="s">
        <v>22</v>
      </c>
      <c r="E2458" s="5" t="s">
        <v>42</v>
      </c>
      <c r="F2458" s="5" t="s">
        <v>556</v>
      </c>
      <c r="H2458" s="5" t="s">
        <v>7473</v>
      </c>
      <c r="J2458" s="10" t="s">
        <v>72</v>
      </c>
    </row>
    <row r="2459" ht="12.75" customHeight="1">
      <c r="A2459" s="5" t="s">
        <v>7830</v>
      </c>
      <c r="B2459" s="5" t="s">
        <v>7831</v>
      </c>
      <c r="D2459" s="5" t="s">
        <v>30</v>
      </c>
      <c r="E2459" s="5" t="s">
        <v>35</v>
      </c>
      <c r="F2459" s="5" t="s">
        <v>1831</v>
      </c>
      <c r="H2459" s="5" t="s">
        <v>7473</v>
      </c>
      <c r="J2459" s="10" t="s">
        <v>72</v>
      </c>
    </row>
    <row r="2460" ht="12.75" customHeight="1">
      <c r="A2460" s="5" t="s">
        <v>7832</v>
      </c>
      <c r="B2460" s="5" t="s">
        <v>7833</v>
      </c>
      <c r="D2460" s="5" t="s">
        <v>30</v>
      </c>
      <c r="E2460" s="5" t="s">
        <v>42</v>
      </c>
      <c r="F2460" s="5" t="s">
        <v>2638</v>
      </c>
      <c r="H2460" s="5" t="s">
        <v>7473</v>
      </c>
      <c r="J2460" s="10" t="s">
        <v>72</v>
      </c>
    </row>
    <row r="2461" ht="12.75" customHeight="1">
      <c r="A2461" s="5" t="s">
        <v>7834</v>
      </c>
      <c r="B2461" s="5" t="s">
        <v>7835</v>
      </c>
      <c r="D2461" s="5" t="s">
        <v>46</v>
      </c>
      <c r="E2461" s="5" t="s">
        <v>35</v>
      </c>
      <c r="F2461" s="5" t="s">
        <v>1344</v>
      </c>
      <c r="H2461" s="5" t="s">
        <v>7473</v>
      </c>
      <c r="J2461" s="10" t="s">
        <v>72</v>
      </c>
    </row>
    <row r="2462" ht="12.75" customHeight="1">
      <c r="A2462" s="5" t="s">
        <v>7836</v>
      </c>
      <c r="B2462" s="5" t="s">
        <v>7837</v>
      </c>
      <c r="D2462" s="5" t="s">
        <v>46</v>
      </c>
      <c r="E2462" s="5" t="s">
        <v>42</v>
      </c>
      <c r="F2462" s="5" t="s">
        <v>2638</v>
      </c>
      <c r="H2462" s="5" t="s">
        <v>7473</v>
      </c>
      <c r="J2462" s="10" t="s">
        <v>72</v>
      </c>
    </row>
    <row r="2463" ht="12.75" customHeight="1">
      <c r="A2463" s="5" t="s">
        <v>7838</v>
      </c>
      <c r="B2463" s="5" t="s">
        <v>7839</v>
      </c>
      <c r="D2463" s="5" t="s">
        <v>50</v>
      </c>
      <c r="E2463" s="5" t="s">
        <v>35</v>
      </c>
      <c r="F2463" s="5" t="s">
        <v>1776</v>
      </c>
      <c r="H2463" s="5" t="s">
        <v>7473</v>
      </c>
      <c r="J2463" s="10" t="s">
        <v>72</v>
      </c>
    </row>
    <row r="2464" ht="12.75" customHeight="1">
      <c r="A2464" s="5" t="s">
        <v>7840</v>
      </c>
      <c r="B2464" s="5" t="s">
        <v>7841</v>
      </c>
      <c r="D2464" s="5" t="s">
        <v>50</v>
      </c>
      <c r="E2464" s="5" t="s">
        <v>42</v>
      </c>
      <c r="F2464" s="5" t="s">
        <v>878</v>
      </c>
      <c r="H2464" s="5" t="s">
        <v>7473</v>
      </c>
      <c r="J2464" s="10" t="s">
        <v>72</v>
      </c>
    </row>
    <row r="2465" ht="12.75" customHeight="1">
      <c r="A2465" s="5" t="s">
        <v>7842</v>
      </c>
      <c r="B2465" s="5" t="s">
        <v>7843</v>
      </c>
      <c r="D2465" s="5" t="s">
        <v>30</v>
      </c>
      <c r="E2465" s="5" t="s">
        <v>35</v>
      </c>
      <c r="F2465" s="5" t="s">
        <v>1831</v>
      </c>
      <c r="H2465" s="5" t="s">
        <v>7505</v>
      </c>
      <c r="J2465" s="10" t="s">
        <v>72</v>
      </c>
    </row>
    <row r="2466" ht="12.75" customHeight="1">
      <c r="A2466" s="5" t="s">
        <v>7844</v>
      </c>
      <c r="B2466" s="5" t="s">
        <v>7845</v>
      </c>
      <c r="D2466" s="5" t="s">
        <v>30</v>
      </c>
      <c r="E2466" s="5" t="s">
        <v>42</v>
      </c>
      <c r="F2466" s="5" t="s">
        <v>2771</v>
      </c>
      <c r="H2466" s="5" t="s">
        <v>7505</v>
      </c>
      <c r="J2466" s="10" t="s">
        <v>72</v>
      </c>
    </row>
    <row r="2467" ht="12.75" customHeight="1">
      <c r="A2467" s="5" t="s">
        <v>7846</v>
      </c>
      <c r="B2467" s="5" t="s">
        <v>7847</v>
      </c>
      <c r="D2467" s="5" t="s">
        <v>46</v>
      </c>
      <c r="E2467" s="5" t="s">
        <v>35</v>
      </c>
      <c r="F2467" s="5" t="s">
        <v>924</v>
      </c>
      <c r="H2467" s="5" t="s">
        <v>7505</v>
      </c>
      <c r="J2467" s="10" t="s">
        <v>72</v>
      </c>
    </row>
    <row r="2468" ht="12.75" customHeight="1">
      <c r="A2468" s="5" t="s">
        <v>7848</v>
      </c>
      <c r="B2468" s="5" t="s">
        <v>7849</v>
      </c>
      <c r="D2468" s="5" t="s">
        <v>46</v>
      </c>
      <c r="E2468" s="5" t="s">
        <v>42</v>
      </c>
      <c r="F2468" s="5" t="s">
        <v>2420</v>
      </c>
      <c r="H2468" s="5" t="s">
        <v>7505</v>
      </c>
      <c r="J2468" s="10" t="s">
        <v>72</v>
      </c>
    </row>
    <row r="2469" ht="12.75" customHeight="1">
      <c r="A2469" s="5" t="s">
        <v>7850</v>
      </c>
      <c r="B2469" s="5" t="s">
        <v>7851</v>
      </c>
      <c r="D2469" s="5" t="s">
        <v>22</v>
      </c>
      <c r="E2469" s="5" t="s">
        <v>35</v>
      </c>
      <c r="F2469" s="5" t="s">
        <v>77</v>
      </c>
      <c r="H2469" s="5" t="s">
        <v>7508</v>
      </c>
      <c r="J2469" s="10" t="s">
        <v>72</v>
      </c>
    </row>
    <row r="2470" ht="12.75" customHeight="1">
      <c r="A2470" s="5" t="s">
        <v>7852</v>
      </c>
      <c r="B2470" s="5" t="s">
        <v>7853</v>
      </c>
      <c r="D2470" s="5" t="s">
        <v>22</v>
      </c>
      <c r="E2470" s="5" t="s">
        <v>42</v>
      </c>
      <c r="F2470" s="5" t="s">
        <v>720</v>
      </c>
      <c r="H2470" s="5" t="s">
        <v>7508</v>
      </c>
      <c r="J2470" s="10" t="s">
        <v>72</v>
      </c>
    </row>
    <row r="2471" ht="12.75" customHeight="1">
      <c r="A2471" s="5" t="s">
        <v>7854</v>
      </c>
      <c r="B2471" s="5" t="s">
        <v>7855</v>
      </c>
      <c r="D2471" s="5" t="s">
        <v>30</v>
      </c>
      <c r="E2471" s="5" t="s">
        <v>35</v>
      </c>
      <c r="F2471" s="5" t="s">
        <v>96</v>
      </c>
      <c r="H2471" s="5" t="s">
        <v>7508</v>
      </c>
      <c r="J2471" s="10" t="s">
        <v>72</v>
      </c>
    </row>
    <row r="2472" ht="12.75" customHeight="1">
      <c r="A2472" s="5" t="s">
        <v>7856</v>
      </c>
      <c r="B2472" s="5" t="s">
        <v>7857</v>
      </c>
      <c r="D2472" s="5" t="s">
        <v>30</v>
      </c>
      <c r="E2472" s="5" t="s">
        <v>42</v>
      </c>
      <c r="F2472" s="5" t="s">
        <v>157</v>
      </c>
      <c r="H2472" s="5" t="s">
        <v>7508</v>
      </c>
      <c r="J2472" s="10" t="s">
        <v>72</v>
      </c>
    </row>
    <row r="2473" ht="12.75" customHeight="1">
      <c r="A2473" s="5" t="s">
        <v>7858</v>
      </c>
      <c r="B2473" s="5" t="s">
        <v>7859</v>
      </c>
      <c r="D2473" s="5" t="s">
        <v>46</v>
      </c>
      <c r="E2473" s="5" t="s">
        <v>35</v>
      </c>
      <c r="F2473" s="5" t="s">
        <v>96</v>
      </c>
      <c r="H2473" s="5" t="s">
        <v>7508</v>
      </c>
      <c r="J2473" s="10" t="s">
        <v>72</v>
      </c>
    </row>
    <row r="2474" ht="12.75" customHeight="1">
      <c r="A2474" s="5" t="s">
        <v>7860</v>
      </c>
      <c r="B2474" s="5" t="s">
        <v>7861</v>
      </c>
      <c r="D2474" s="5" t="s">
        <v>46</v>
      </c>
      <c r="E2474" s="5" t="s">
        <v>42</v>
      </c>
      <c r="F2474" s="5" t="s">
        <v>157</v>
      </c>
      <c r="H2474" s="5" t="s">
        <v>7508</v>
      </c>
      <c r="J2474" s="10" t="s">
        <v>72</v>
      </c>
    </row>
    <row r="2475" ht="12.75" customHeight="1">
      <c r="A2475" s="5" t="s">
        <v>7862</v>
      </c>
      <c r="B2475" s="5" t="s">
        <v>7863</v>
      </c>
      <c r="D2475" s="5" t="s">
        <v>50</v>
      </c>
      <c r="E2475" s="5" t="s">
        <v>35</v>
      </c>
      <c r="F2475" s="5" t="s">
        <v>619</v>
      </c>
      <c r="H2475" s="5" t="s">
        <v>7508</v>
      </c>
      <c r="J2475" s="10" t="s">
        <v>72</v>
      </c>
    </row>
    <row r="2476" ht="12.75" customHeight="1">
      <c r="A2476" s="5" t="s">
        <v>7864</v>
      </c>
      <c r="B2476" s="5" t="s">
        <v>7865</v>
      </c>
      <c r="D2476" s="5" t="s">
        <v>50</v>
      </c>
      <c r="E2476" s="5" t="s">
        <v>42</v>
      </c>
      <c r="F2476" s="5" t="s">
        <v>720</v>
      </c>
      <c r="H2476" s="5" t="s">
        <v>7508</v>
      </c>
      <c r="J2476" s="10" t="s">
        <v>72</v>
      </c>
    </row>
    <row r="2477" ht="12.75" customHeight="1">
      <c r="A2477" s="5" t="s">
        <v>7866</v>
      </c>
      <c r="B2477" s="5" t="s">
        <v>7867</v>
      </c>
      <c r="D2477" s="5" t="s">
        <v>30</v>
      </c>
      <c r="E2477" s="5" t="s">
        <v>35</v>
      </c>
      <c r="F2477" s="5" t="s">
        <v>1875</v>
      </c>
      <c r="H2477" s="5" t="s">
        <v>7540</v>
      </c>
      <c r="J2477" s="10" t="s">
        <v>72</v>
      </c>
    </row>
    <row r="2478" ht="12.75" customHeight="1">
      <c r="A2478" s="5" t="s">
        <v>7868</v>
      </c>
      <c r="B2478" s="10" t="s">
        <v>7869</v>
      </c>
      <c r="D2478" s="5" t="s">
        <v>30</v>
      </c>
      <c r="E2478" s="5" t="s">
        <v>42</v>
      </c>
      <c r="F2478" s="5" t="s">
        <v>974</v>
      </c>
      <c r="H2478" s="5" t="s">
        <v>7540</v>
      </c>
      <c r="J2478" s="10" t="s">
        <v>72</v>
      </c>
    </row>
    <row r="2479" ht="12.75" customHeight="1">
      <c r="A2479" s="5" t="s">
        <v>7870</v>
      </c>
      <c r="B2479" s="10" t="s">
        <v>7871</v>
      </c>
      <c r="D2479" s="5" t="s">
        <v>46</v>
      </c>
      <c r="E2479" s="5" t="s">
        <v>35</v>
      </c>
      <c r="F2479" s="5" t="s">
        <v>2401</v>
      </c>
      <c r="H2479" s="5" t="s">
        <v>7540</v>
      </c>
      <c r="J2479" s="10" t="s">
        <v>72</v>
      </c>
    </row>
    <row r="2480" ht="12.75" customHeight="1">
      <c r="A2480" s="5" t="s">
        <v>7872</v>
      </c>
      <c r="B2480" s="10" t="s">
        <v>7873</v>
      </c>
      <c r="D2480" s="5" t="s">
        <v>46</v>
      </c>
      <c r="E2480" s="5" t="s">
        <v>42</v>
      </c>
      <c r="F2480" s="5" t="s">
        <v>395</v>
      </c>
      <c r="H2480" s="5" t="s">
        <v>7540</v>
      </c>
      <c r="J2480" s="10" t="s">
        <v>72</v>
      </c>
    </row>
    <row r="2481" ht="12.75" customHeight="1">
      <c r="A2481" s="5" t="s">
        <v>7874</v>
      </c>
      <c r="B2481" s="5" t="s">
        <v>7875</v>
      </c>
      <c r="D2481" s="5" t="s">
        <v>22</v>
      </c>
      <c r="E2481" s="5" t="s">
        <v>35</v>
      </c>
      <c r="F2481" s="5" t="s">
        <v>77</v>
      </c>
      <c r="H2481" s="5" t="s">
        <v>7543</v>
      </c>
      <c r="J2481" s="10" t="s">
        <v>72</v>
      </c>
    </row>
    <row r="2482" ht="12.75" customHeight="1">
      <c r="A2482" s="5" t="s">
        <v>7876</v>
      </c>
      <c r="B2482" s="5" t="s">
        <v>7877</v>
      </c>
      <c r="D2482" s="5" t="s">
        <v>22</v>
      </c>
      <c r="E2482" s="5" t="s">
        <v>42</v>
      </c>
      <c r="F2482" s="5" t="s">
        <v>720</v>
      </c>
      <c r="H2482" s="5" t="s">
        <v>7543</v>
      </c>
      <c r="J2482" s="10" t="s">
        <v>72</v>
      </c>
    </row>
    <row r="2483" ht="12.75" customHeight="1">
      <c r="A2483" s="5" t="s">
        <v>7878</v>
      </c>
      <c r="B2483" s="5" t="s">
        <v>7879</v>
      </c>
      <c r="D2483" s="5" t="s">
        <v>30</v>
      </c>
      <c r="E2483" s="5" t="s">
        <v>35</v>
      </c>
      <c r="F2483" s="5" t="s">
        <v>96</v>
      </c>
      <c r="H2483" s="5" t="s">
        <v>7543</v>
      </c>
      <c r="J2483" s="10" t="s">
        <v>72</v>
      </c>
    </row>
    <row r="2484" ht="12.75" customHeight="1">
      <c r="A2484" s="5" t="s">
        <v>7880</v>
      </c>
      <c r="B2484" s="5" t="s">
        <v>7881</v>
      </c>
      <c r="D2484" s="5" t="s">
        <v>30</v>
      </c>
      <c r="E2484" s="5" t="s">
        <v>42</v>
      </c>
      <c r="F2484" s="5" t="s">
        <v>157</v>
      </c>
      <c r="H2484" s="5" t="s">
        <v>7543</v>
      </c>
      <c r="J2484" s="10" t="s">
        <v>72</v>
      </c>
    </row>
    <row r="2485" ht="12.75" customHeight="1">
      <c r="A2485" s="5" t="s">
        <v>7882</v>
      </c>
      <c r="B2485" s="5" t="s">
        <v>7883</v>
      </c>
      <c r="D2485" s="5" t="s">
        <v>46</v>
      </c>
      <c r="E2485" s="5" t="s">
        <v>35</v>
      </c>
      <c r="F2485" s="5" t="s">
        <v>96</v>
      </c>
      <c r="H2485" s="5" t="s">
        <v>7543</v>
      </c>
      <c r="J2485" s="10" t="s">
        <v>72</v>
      </c>
    </row>
    <row r="2486" ht="12.75" customHeight="1">
      <c r="A2486" s="5" t="s">
        <v>7884</v>
      </c>
      <c r="B2486" s="5" t="s">
        <v>7885</v>
      </c>
      <c r="D2486" s="5" t="s">
        <v>46</v>
      </c>
      <c r="E2486" s="5" t="s">
        <v>42</v>
      </c>
      <c r="F2486" s="5" t="s">
        <v>157</v>
      </c>
      <c r="H2486" s="5" t="s">
        <v>7543</v>
      </c>
      <c r="J2486" s="10" t="s">
        <v>72</v>
      </c>
    </row>
    <row r="2487" ht="12.75" customHeight="1">
      <c r="A2487" s="5" t="s">
        <v>7886</v>
      </c>
      <c r="B2487" s="5" t="s">
        <v>7887</v>
      </c>
      <c r="D2487" s="5" t="s">
        <v>50</v>
      </c>
      <c r="E2487" s="5" t="s">
        <v>35</v>
      </c>
      <c r="F2487" s="5" t="s">
        <v>619</v>
      </c>
      <c r="H2487" s="5" t="s">
        <v>7543</v>
      </c>
      <c r="J2487" s="10" t="s">
        <v>72</v>
      </c>
    </row>
    <row r="2488" ht="12.75" customHeight="1">
      <c r="A2488" s="5" t="s">
        <v>7888</v>
      </c>
      <c r="B2488" s="5" t="s">
        <v>7889</v>
      </c>
      <c r="D2488" s="5" t="s">
        <v>50</v>
      </c>
      <c r="E2488" s="5" t="s">
        <v>42</v>
      </c>
      <c r="F2488" s="5" t="s">
        <v>720</v>
      </c>
      <c r="H2488" s="5" t="s">
        <v>7543</v>
      </c>
      <c r="J2488" s="10" t="s">
        <v>72</v>
      </c>
    </row>
    <row r="2489" ht="12.75" customHeight="1">
      <c r="A2489" s="5" t="s">
        <v>7890</v>
      </c>
      <c r="B2489" s="5" t="s">
        <v>7891</v>
      </c>
      <c r="D2489" s="5" t="s">
        <v>30</v>
      </c>
      <c r="E2489" s="5" t="s">
        <v>35</v>
      </c>
      <c r="F2489" s="5" t="s">
        <v>1875</v>
      </c>
      <c r="H2489" s="5" t="s">
        <v>7575</v>
      </c>
      <c r="J2489" s="10" t="s">
        <v>72</v>
      </c>
    </row>
    <row r="2490" ht="12.75" customHeight="1">
      <c r="A2490" s="5" t="s">
        <v>7892</v>
      </c>
      <c r="B2490" s="5" t="s">
        <v>7893</v>
      </c>
      <c r="D2490" s="5" t="s">
        <v>46</v>
      </c>
      <c r="E2490" s="5" t="s">
        <v>42</v>
      </c>
      <c r="F2490" s="5" t="s">
        <v>395</v>
      </c>
      <c r="H2490" s="5" t="s">
        <v>7575</v>
      </c>
      <c r="J2490" s="10" t="s">
        <v>72</v>
      </c>
    </row>
    <row r="2491" ht="12.75" customHeight="1">
      <c r="A2491" s="5" t="s">
        <v>7894</v>
      </c>
      <c r="B2491" s="5" t="s">
        <v>7895</v>
      </c>
      <c r="D2491" s="5" t="s">
        <v>22</v>
      </c>
      <c r="E2491" s="5" t="s">
        <v>35</v>
      </c>
      <c r="F2491" s="5" t="s">
        <v>77</v>
      </c>
      <c r="H2491" s="5" t="s">
        <v>7578</v>
      </c>
      <c r="J2491" s="10" t="s">
        <v>72</v>
      </c>
    </row>
    <row r="2492" ht="12.75" customHeight="1">
      <c r="A2492" s="5" t="s">
        <v>7896</v>
      </c>
      <c r="B2492" s="5" t="s">
        <v>7897</v>
      </c>
      <c r="D2492" s="5" t="s">
        <v>46</v>
      </c>
      <c r="E2492" s="5" t="s">
        <v>42</v>
      </c>
      <c r="F2492" s="5" t="s">
        <v>157</v>
      </c>
      <c r="H2492" s="5" t="s">
        <v>7578</v>
      </c>
      <c r="J2492" s="10" t="s">
        <v>72</v>
      </c>
    </row>
    <row r="2493" ht="12.75" customHeight="1">
      <c r="A2493" s="5" t="s">
        <v>7898</v>
      </c>
      <c r="B2493" s="5" t="s">
        <v>7899</v>
      </c>
      <c r="D2493" s="5" t="s">
        <v>22</v>
      </c>
      <c r="E2493" s="5" t="s">
        <v>35</v>
      </c>
      <c r="F2493" s="5" t="s">
        <v>104</v>
      </c>
      <c r="H2493" s="5" t="s">
        <v>7387</v>
      </c>
      <c r="J2493" s="10" t="s">
        <v>72</v>
      </c>
    </row>
    <row r="2494" ht="12.75" customHeight="1">
      <c r="A2494" s="5" t="s">
        <v>7900</v>
      </c>
      <c r="B2494" s="5" t="s">
        <v>7901</v>
      </c>
      <c r="D2494" s="5" t="s">
        <v>22</v>
      </c>
      <c r="E2494" s="5" t="s">
        <v>42</v>
      </c>
      <c r="F2494" s="5" t="s">
        <v>423</v>
      </c>
      <c r="H2494" s="5" t="s">
        <v>7387</v>
      </c>
      <c r="J2494" s="10" t="s">
        <v>72</v>
      </c>
    </row>
    <row r="2495" ht="12.75" customHeight="1">
      <c r="A2495" s="5" t="s">
        <v>7902</v>
      </c>
      <c r="B2495" s="5" t="s">
        <v>7903</v>
      </c>
      <c r="D2495" s="5" t="s">
        <v>46</v>
      </c>
      <c r="E2495" s="5" t="s">
        <v>35</v>
      </c>
      <c r="F2495" s="5" t="s">
        <v>263</v>
      </c>
      <c r="H2495" s="5" t="s">
        <v>7387</v>
      </c>
      <c r="J2495" s="10" t="s">
        <v>72</v>
      </c>
    </row>
    <row r="2496" ht="12.75" customHeight="1">
      <c r="A2496" s="5" t="s">
        <v>7904</v>
      </c>
      <c r="B2496" s="5" t="s">
        <v>7905</v>
      </c>
      <c r="D2496" s="5" t="s">
        <v>46</v>
      </c>
      <c r="E2496" s="5" t="s">
        <v>42</v>
      </c>
      <c r="F2496" s="5" t="s">
        <v>2638</v>
      </c>
      <c r="H2496" s="5" t="s">
        <v>7387</v>
      </c>
      <c r="J2496" s="10" t="s">
        <v>72</v>
      </c>
    </row>
    <row r="2497" ht="12.75" customHeight="1">
      <c r="A2497" s="5" t="s">
        <v>7906</v>
      </c>
      <c r="B2497" s="5" t="s">
        <v>7907</v>
      </c>
      <c r="D2497" s="5" t="s">
        <v>50</v>
      </c>
      <c r="E2497" s="5" t="s">
        <v>35</v>
      </c>
      <c r="F2497" s="5" t="s">
        <v>36</v>
      </c>
      <c r="H2497" s="5" t="s">
        <v>7387</v>
      </c>
      <c r="J2497" s="10" t="s">
        <v>72</v>
      </c>
    </row>
    <row r="2498" ht="12.75" customHeight="1">
      <c r="A2498" s="5" t="s">
        <v>7908</v>
      </c>
      <c r="B2498" s="5" t="s">
        <v>7909</v>
      </c>
      <c r="D2498" s="5" t="s">
        <v>50</v>
      </c>
      <c r="E2498" s="5" t="s">
        <v>42</v>
      </c>
      <c r="F2498" s="5" t="s">
        <v>720</v>
      </c>
      <c r="H2498" s="5" t="s">
        <v>7387</v>
      </c>
      <c r="J2498" s="10" t="s">
        <v>72</v>
      </c>
    </row>
    <row r="2499" ht="12.75" customHeight="1">
      <c r="A2499" s="5" t="s">
        <v>7910</v>
      </c>
      <c r="B2499" s="5" t="s">
        <v>7911</v>
      </c>
      <c r="D2499" s="5" t="s">
        <v>34</v>
      </c>
      <c r="E2499" s="5" t="s">
        <v>35</v>
      </c>
      <c r="F2499" s="5" t="s">
        <v>77</v>
      </c>
      <c r="H2499" s="5" t="s">
        <v>7387</v>
      </c>
      <c r="J2499" s="10" t="s">
        <v>72</v>
      </c>
    </row>
    <row r="2500" ht="12.75" customHeight="1">
      <c r="A2500" s="5" t="s">
        <v>7912</v>
      </c>
      <c r="B2500" s="5" t="s">
        <v>7913</v>
      </c>
      <c r="D2500" s="5" t="s">
        <v>34</v>
      </c>
      <c r="E2500" s="5" t="s">
        <v>42</v>
      </c>
      <c r="F2500" s="5" t="s">
        <v>672</v>
      </c>
      <c r="H2500" s="5" t="s">
        <v>7387</v>
      </c>
      <c r="J2500" s="10" t="s">
        <v>72</v>
      </c>
    </row>
    <row r="2501" ht="12.75" customHeight="1">
      <c r="A2501" s="5" t="s">
        <v>7914</v>
      </c>
      <c r="B2501" s="5" t="s">
        <v>7915</v>
      </c>
      <c r="D2501" s="5" t="s">
        <v>46</v>
      </c>
      <c r="E2501" s="5" t="s">
        <v>35</v>
      </c>
      <c r="F2501" s="5" t="s">
        <v>1831</v>
      </c>
      <c r="H2501" s="5" t="s">
        <v>7406</v>
      </c>
      <c r="J2501" s="10" t="s">
        <v>72</v>
      </c>
    </row>
    <row r="2502" ht="12.75" customHeight="1">
      <c r="A2502" s="5" t="s">
        <v>7916</v>
      </c>
      <c r="B2502" s="5" t="s">
        <v>7917</v>
      </c>
      <c r="D2502" s="5" t="s">
        <v>46</v>
      </c>
      <c r="E2502" s="5" t="s">
        <v>42</v>
      </c>
      <c r="F2502" s="5" t="s">
        <v>2196</v>
      </c>
      <c r="H2502" s="5" t="s">
        <v>7406</v>
      </c>
      <c r="J2502" s="10" t="s">
        <v>72</v>
      </c>
    </row>
    <row r="2503" ht="12.75" customHeight="1">
      <c r="A2503" s="5" t="s">
        <v>7918</v>
      </c>
      <c r="B2503" s="10" t="s">
        <v>7919</v>
      </c>
      <c r="D2503" s="5" t="s">
        <v>34</v>
      </c>
      <c r="E2503" s="5" t="s">
        <v>35</v>
      </c>
      <c r="F2503" s="5" t="s">
        <v>619</v>
      </c>
      <c r="H2503" s="5" t="s">
        <v>7406</v>
      </c>
      <c r="J2503" s="10" t="s">
        <v>72</v>
      </c>
    </row>
    <row r="2504" ht="12.75" customHeight="1">
      <c r="A2504" s="5" t="s">
        <v>7920</v>
      </c>
      <c r="B2504" s="5" t="s">
        <v>7921</v>
      </c>
      <c r="D2504" s="5" t="s">
        <v>34</v>
      </c>
      <c r="E2504" s="5" t="s">
        <v>42</v>
      </c>
      <c r="F2504" s="5" t="s">
        <v>556</v>
      </c>
      <c r="H2504" s="5" t="s">
        <v>7406</v>
      </c>
      <c r="J2504" s="10" t="s">
        <v>72</v>
      </c>
    </row>
    <row r="2505" ht="12.75" customHeight="1">
      <c r="A2505" s="5" t="s">
        <v>7922</v>
      </c>
      <c r="B2505" s="5" t="s">
        <v>7923</v>
      </c>
      <c r="D2505" s="5" t="s">
        <v>22</v>
      </c>
      <c r="E2505" s="5" t="s">
        <v>35</v>
      </c>
      <c r="F2505" s="5" t="s">
        <v>77</v>
      </c>
      <c r="H2505" s="5" t="s">
        <v>1097</v>
      </c>
      <c r="J2505" s="10" t="s">
        <v>72</v>
      </c>
    </row>
    <row r="2506" ht="12.75" customHeight="1">
      <c r="A2506" s="5" t="s">
        <v>7924</v>
      </c>
      <c r="B2506" s="5" t="s">
        <v>7925</v>
      </c>
      <c r="D2506" s="5" t="s">
        <v>22</v>
      </c>
      <c r="E2506" s="5" t="s">
        <v>42</v>
      </c>
      <c r="F2506" s="5" t="s">
        <v>657</v>
      </c>
      <c r="H2506" s="5" t="s">
        <v>1097</v>
      </c>
      <c r="J2506" s="10" t="s">
        <v>72</v>
      </c>
    </row>
    <row r="2507" ht="12.75" customHeight="1">
      <c r="A2507" s="5" t="s">
        <v>7926</v>
      </c>
      <c r="B2507" s="5" t="s">
        <v>7927</v>
      </c>
      <c r="D2507" s="5" t="s">
        <v>46</v>
      </c>
      <c r="E2507" s="5" t="s">
        <v>35</v>
      </c>
      <c r="F2507" s="5" t="s">
        <v>1868</v>
      </c>
      <c r="H2507" s="5" t="s">
        <v>1097</v>
      </c>
      <c r="J2507" s="10" t="s">
        <v>72</v>
      </c>
    </row>
    <row r="2508" ht="12.75" customHeight="1">
      <c r="A2508" s="5" t="s">
        <v>7928</v>
      </c>
      <c r="B2508" s="5" t="s">
        <v>7929</v>
      </c>
      <c r="D2508" s="5" t="s">
        <v>46</v>
      </c>
      <c r="E2508" s="5" t="s">
        <v>42</v>
      </c>
      <c r="F2508" s="5" t="s">
        <v>157</v>
      </c>
      <c r="H2508" s="5" t="s">
        <v>1097</v>
      </c>
      <c r="J2508" s="10" t="s">
        <v>72</v>
      </c>
    </row>
    <row r="2509" ht="12.75" customHeight="1">
      <c r="A2509" s="5" t="s">
        <v>7930</v>
      </c>
      <c r="B2509" s="5" t="s">
        <v>7931</v>
      </c>
      <c r="D2509" s="5" t="s">
        <v>50</v>
      </c>
      <c r="E2509" s="5" t="s">
        <v>35</v>
      </c>
      <c r="F2509" s="5" t="s">
        <v>278</v>
      </c>
      <c r="H2509" s="5" t="s">
        <v>1097</v>
      </c>
      <c r="J2509" s="10" t="s">
        <v>72</v>
      </c>
    </row>
    <row r="2510" ht="12.75" customHeight="1">
      <c r="A2510" s="5" t="s">
        <v>4419</v>
      </c>
      <c r="B2510" s="5" t="s">
        <v>7932</v>
      </c>
      <c r="D2510" s="5" t="s">
        <v>50</v>
      </c>
      <c r="E2510" s="5" t="s">
        <v>42</v>
      </c>
      <c r="F2510" s="5" t="s">
        <v>445</v>
      </c>
      <c r="H2510" s="5" t="s">
        <v>1097</v>
      </c>
      <c r="J2510" s="10" t="s">
        <v>72</v>
      </c>
      <c r="L2510" s="5" t="s">
        <v>4416</v>
      </c>
    </row>
    <row r="2511" ht="12.75" customHeight="1">
      <c r="A2511" s="5" t="s">
        <v>7933</v>
      </c>
      <c r="B2511" s="5" t="s">
        <v>7934</v>
      </c>
      <c r="D2511" s="5" t="s">
        <v>34</v>
      </c>
      <c r="E2511" s="5" t="s">
        <v>35</v>
      </c>
      <c r="F2511" s="5" t="s">
        <v>278</v>
      </c>
      <c r="H2511" s="5" t="s">
        <v>1097</v>
      </c>
      <c r="J2511" s="10" t="s">
        <v>72</v>
      </c>
    </row>
    <row r="2512" ht="12.75" customHeight="1">
      <c r="A2512" s="5" t="s">
        <v>7935</v>
      </c>
      <c r="B2512" s="5" t="s">
        <v>7936</v>
      </c>
      <c r="D2512" s="5" t="s">
        <v>34</v>
      </c>
      <c r="E2512" s="5" t="s">
        <v>42</v>
      </c>
      <c r="F2512" s="5" t="s">
        <v>400</v>
      </c>
      <c r="H2512" s="5" t="s">
        <v>1097</v>
      </c>
      <c r="J2512" s="10" t="s">
        <v>72</v>
      </c>
    </row>
    <row r="2513" ht="12.75" customHeight="1">
      <c r="A2513" s="5" t="s">
        <v>7937</v>
      </c>
      <c r="B2513" s="5" t="s">
        <v>7938</v>
      </c>
      <c r="D2513" s="5" t="s">
        <v>46</v>
      </c>
      <c r="E2513" s="5" t="s">
        <v>35</v>
      </c>
      <c r="F2513" s="5" t="s">
        <v>1334</v>
      </c>
      <c r="H2513" s="5" t="s">
        <v>7439</v>
      </c>
      <c r="J2513" s="10" t="s">
        <v>72</v>
      </c>
    </row>
    <row r="2514" ht="12.75" customHeight="1">
      <c r="A2514" s="5" t="s">
        <v>7939</v>
      </c>
      <c r="B2514" s="5" t="s">
        <v>7940</v>
      </c>
      <c r="D2514" s="5" t="s">
        <v>46</v>
      </c>
      <c r="E2514" s="5" t="s">
        <v>42</v>
      </c>
      <c r="F2514" s="5" t="s">
        <v>2701</v>
      </c>
      <c r="H2514" s="5" t="s">
        <v>7439</v>
      </c>
      <c r="J2514" s="10" t="s">
        <v>72</v>
      </c>
    </row>
    <row r="2515" ht="12.75" customHeight="1">
      <c r="A2515" s="5" t="s">
        <v>7941</v>
      </c>
      <c r="B2515" s="5" t="s">
        <v>7942</v>
      </c>
      <c r="D2515" s="5" t="s">
        <v>34</v>
      </c>
      <c r="E2515" s="5" t="s">
        <v>35</v>
      </c>
      <c r="F2515" s="5" t="s">
        <v>429</v>
      </c>
      <c r="H2515" s="5" t="s">
        <v>7439</v>
      </c>
      <c r="J2515" s="10" t="s">
        <v>72</v>
      </c>
    </row>
    <row r="2516" ht="12.75" customHeight="1">
      <c r="A2516" s="5" t="s">
        <v>7943</v>
      </c>
      <c r="B2516" s="10" t="s">
        <v>7944</v>
      </c>
      <c r="D2516" s="5" t="s">
        <v>34</v>
      </c>
      <c r="E2516" s="5" t="s">
        <v>42</v>
      </c>
      <c r="F2516" s="5" t="s">
        <v>572</v>
      </c>
      <c r="H2516" s="5" t="s">
        <v>7439</v>
      </c>
      <c r="J2516" s="10" t="s">
        <v>72</v>
      </c>
    </row>
    <row r="2517" ht="12.75" customHeight="1">
      <c r="A2517" s="5" t="s">
        <v>7945</v>
      </c>
      <c r="B2517" s="5" t="s">
        <v>7946</v>
      </c>
      <c r="D2517" s="5" t="s">
        <v>22</v>
      </c>
      <c r="E2517" s="5" t="s">
        <v>35</v>
      </c>
      <c r="F2517" s="5" t="s">
        <v>90</v>
      </c>
      <c r="H2517" s="5" t="s">
        <v>7442</v>
      </c>
      <c r="J2517" s="10" t="s">
        <v>72</v>
      </c>
    </row>
    <row r="2518" ht="12.75" customHeight="1">
      <c r="A2518" s="5" t="s">
        <v>7947</v>
      </c>
      <c r="B2518" s="5" t="s">
        <v>7948</v>
      </c>
      <c r="D2518" s="5" t="s">
        <v>22</v>
      </c>
      <c r="E2518" s="5" t="s">
        <v>42</v>
      </c>
      <c r="F2518" s="5" t="s">
        <v>54</v>
      </c>
      <c r="H2518" s="5" t="s">
        <v>7442</v>
      </c>
      <c r="J2518" s="10" t="s">
        <v>72</v>
      </c>
    </row>
    <row r="2519" ht="12.75" customHeight="1">
      <c r="A2519" s="5" t="s">
        <v>7949</v>
      </c>
      <c r="B2519" s="5" t="s">
        <v>7950</v>
      </c>
      <c r="D2519" s="5" t="s">
        <v>46</v>
      </c>
      <c r="E2519" s="5" t="s">
        <v>35</v>
      </c>
      <c r="F2519" s="5" t="s">
        <v>263</v>
      </c>
      <c r="H2519" s="5" t="s">
        <v>7442</v>
      </c>
      <c r="J2519" s="10" t="s">
        <v>72</v>
      </c>
    </row>
    <row r="2520" ht="12.75" customHeight="1">
      <c r="A2520" s="5" t="s">
        <v>7951</v>
      </c>
      <c r="B2520" s="5" t="s">
        <v>7952</v>
      </c>
      <c r="D2520" s="5" t="s">
        <v>46</v>
      </c>
      <c r="E2520" s="5" t="s">
        <v>42</v>
      </c>
      <c r="F2520" s="5" t="s">
        <v>967</v>
      </c>
      <c r="H2520" s="5" t="s">
        <v>7442</v>
      </c>
      <c r="J2520" s="10" t="s">
        <v>72</v>
      </c>
    </row>
    <row r="2521" ht="12.75" customHeight="1">
      <c r="A2521" s="5" t="s">
        <v>7953</v>
      </c>
      <c r="B2521" s="5" t="s">
        <v>7954</v>
      </c>
      <c r="D2521" s="5" t="s">
        <v>50</v>
      </c>
      <c r="E2521" s="5" t="s">
        <v>35</v>
      </c>
      <c r="F2521" s="5" t="s">
        <v>77</v>
      </c>
      <c r="H2521" s="5" t="s">
        <v>7442</v>
      </c>
      <c r="J2521" s="10" t="s">
        <v>72</v>
      </c>
    </row>
    <row r="2522" ht="12.75" customHeight="1">
      <c r="A2522" s="5" t="s">
        <v>7955</v>
      </c>
      <c r="B2522" s="5" t="s">
        <v>7956</v>
      </c>
      <c r="D2522" s="5" t="s">
        <v>50</v>
      </c>
      <c r="E2522" s="5" t="s">
        <v>42</v>
      </c>
      <c r="F2522" s="5" t="s">
        <v>228</v>
      </c>
      <c r="H2522" s="5" t="s">
        <v>7442</v>
      </c>
      <c r="J2522" s="10" t="s">
        <v>72</v>
      </c>
    </row>
    <row r="2523" ht="12.75" customHeight="1">
      <c r="A2523" s="5" t="s">
        <v>7957</v>
      </c>
      <c r="B2523" s="5" t="s">
        <v>7958</v>
      </c>
      <c r="D2523" s="5" t="s">
        <v>34</v>
      </c>
      <c r="E2523" s="5" t="s">
        <v>35</v>
      </c>
      <c r="F2523" s="5" t="s">
        <v>429</v>
      </c>
      <c r="H2523" s="5" t="s">
        <v>7442</v>
      </c>
      <c r="J2523" s="10" t="s">
        <v>72</v>
      </c>
    </row>
    <row r="2524" ht="12.75" customHeight="1">
      <c r="A2524" s="5" t="s">
        <v>7959</v>
      </c>
      <c r="B2524" s="5" t="s">
        <v>7960</v>
      </c>
      <c r="D2524" s="5" t="s">
        <v>34</v>
      </c>
      <c r="E2524" s="5" t="s">
        <v>42</v>
      </c>
      <c r="F2524" s="5" t="s">
        <v>637</v>
      </c>
      <c r="H2524" s="5" t="s">
        <v>7442</v>
      </c>
      <c r="J2524" s="10" t="s">
        <v>72</v>
      </c>
    </row>
    <row r="2525" ht="12.75" customHeight="1">
      <c r="A2525" s="5" t="s">
        <v>7961</v>
      </c>
      <c r="B2525" s="10" t="s">
        <v>7962</v>
      </c>
      <c r="D2525" s="5" t="s">
        <v>46</v>
      </c>
      <c r="E2525" s="5" t="s">
        <v>35</v>
      </c>
      <c r="F2525" s="5" t="s">
        <v>4410</v>
      </c>
      <c r="H2525" s="5" t="s">
        <v>7475</v>
      </c>
      <c r="J2525" s="10" t="s">
        <v>72</v>
      </c>
    </row>
    <row r="2526" ht="12.75" customHeight="1">
      <c r="A2526" s="5" t="s">
        <v>7963</v>
      </c>
      <c r="B2526" s="10" t="s">
        <v>7964</v>
      </c>
      <c r="D2526" s="5" t="s">
        <v>46</v>
      </c>
      <c r="E2526" s="5" t="s">
        <v>42</v>
      </c>
      <c r="F2526" s="5" t="s">
        <v>2218</v>
      </c>
      <c r="H2526" s="5" t="s">
        <v>7475</v>
      </c>
      <c r="J2526" s="10" t="s">
        <v>72</v>
      </c>
    </row>
    <row r="2527" ht="12.75" customHeight="1">
      <c r="A2527" s="5" t="s">
        <v>7965</v>
      </c>
      <c r="B2527" s="10" t="s">
        <v>7966</v>
      </c>
      <c r="D2527" s="5" t="s">
        <v>34</v>
      </c>
      <c r="E2527" s="5" t="s">
        <v>35</v>
      </c>
      <c r="F2527" s="5" t="s">
        <v>913</v>
      </c>
      <c r="H2527" s="5" t="s">
        <v>7475</v>
      </c>
      <c r="J2527" s="10" t="s">
        <v>72</v>
      </c>
    </row>
    <row r="2528" ht="12.75" customHeight="1">
      <c r="A2528" s="5" t="s">
        <v>7967</v>
      </c>
      <c r="B2528" s="10" t="s">
        <v>7968</v>
      </c>
      <c r="D2528" s="5" t="s">
        <v>34</v>
      </c>
      <c r="E2528" s="5" t="s">
        <v>42</v>
      </c>
      <c r="F2528" s="5" t="s">
        <v>65</v>
      </c>
      <c r="H2528" s="5" t="s">
        <v>7475</v>
      </c>
      <c r="J2528" s="10" t="s">
        <v>72</v>
      </c>
    </row>
    <row r="2529" ht="12.75" customHeight="1">
      <c r="A2529" s="5" t="s">
        <v>7969</v>
      </c>
      <c r="B2529" s="5" t="s">
        <v>7970</v>
      </c>
      <c r="D2529" s="5" t="s">
        <v>22</v>
      </c>
      <c r="E2529" s="5" t="s">
        <v>35</v>
      </c>
      <c r="F2529" s="5" t="s">
        <v>110</v>
      </c>
      <c r="H2529" s="5" t="s">
        <v>7478</v>
      </c>
      <c r="J2529" s="10" t="s">
        <v>72</v>
      </c>
    </row>
    <row r="2530" ht="12.75" customHeight="1">
      <c r="A2530" s="5" t="s">
        <v>7971</v>
      </c>
      <c r="B2530" s="5" t="s">
        <v>7972</v>
      </c>
      <c r="D2530" s="5" t="s">
        <v>22</v>
      </c>
      <c r="E2530" s="5" t="s">
        <v>42</v>
      </c>
      <c r="F2530" s="5" t="s">
        <v>445</v>
      </c>
      <c r="H2530" s="5" t="s">
        <v>7478</v>
      </c>
      <c r="J2530" s="10" t="s">
        <v>72</v>
      </c>
    </row>
    <row r="2531" ht="12.75" customHeight="1">
      <c r="A2531" s="5" t="s">
        <v>7973</v>
      </c>
      <c r="B2531" s="5" t="s">
        <v>7974</v>
      </c>
      <c r="D2531" s="5" t="s">
        <v>46</v>
      </c>
      <c r="E2531" s="5" t="s">
        <v>35</v>
      </c>
      <c r="F2531" s="5" t="s">
        <v>1875</v>
      </c>
      <c r="H2531" s="5" t="s">
        <v>7478</v>
      </c>
      <c r="J2531" s="10" t="s">
        <v>72</v>
      </c>
    </row>
    <row r="2532" ht="12.75" customHeight="1">
      <c r="A2532" s="5" t="s">
        <v>7975</v>
      </c>
      <c r="B2532" s="5" t="s">
        <v>7976</v>
      </c>
      <c r="D2532" s="5" t="s">
        <v>46</v>
      </c>
      <c r="E2532" s="5" t="s">
        <v>42</v>
      </c>
      <c r="F2532" s="5" t="s">
        <v>1911</v>
      </c>
      <c r="H2532" s="5" t="s">
        <v>7478</v>
      </c>
      <c r="J2532" s="10" t="s">
        <v>72</v>
      </c>
    </row>
    <row r="2533" ht="12.75" customHeight="1">
      <c r="A2533" s="5" t="s">
        <v>7977</v>
      </c>
      <c r="B2533" s="5" t="s">
        <v>7978</v>
      </c>
      <c r="D2533" s="5" t="s">
        <v>50</v>
      </c>
      <c r="E2533" s="5" t="s">
        <v>35</v>
      </c>
      <c r="F2533" s="5" t="s">
        <v>813</v>
      </c>
      <c r="H2533" s="5" t="s">
        <v>7478</v>
      </c>
      <c r="J2533" s="10" t="s">
        <v>72</v>
      </c>
    </row>
    <row r="2534" ht="12.75" customHeight="1">
      <c r="A2534" s="5" t="s">
        <v>7979</v>
      </c>
      <c r="B2534" s="5" t="s">
        <v>7980</v>
      </c>
      <c r="D2534" s="5" t="s">
        <v>50</v>
      </c>
      <c r="E2534" s="5" t="s">
        <v>42</v>
      </c>
      <c r="F2534" s="5" t="s">
        <v>610</v>
      </c>
      <c r="H2534" s="5" t="s">
        <v>7478</v>
      </c>
      <c r="J2534" s="10" t="s">
        <v>72</v>
      </c>
    </row>
    <row r="2535" ht="12.75" customHeight="1">
      <c r="A2535" s="5" t="s">
        <v>7981</v>
      </c>
      <c r="B2535" s="5" t="s">
        <v>7982</v>
      </c>
      <c r="D2535" s="5" t="s">
        <v>34</v>
      </c>
      <c r="E2535" s="5" t="s">
        <v>35</v>
      </c>
      <c r="F2535" s="5" t="s">
        <v>813</v>
      </c>
      <c r="H2535" s="5" t="s">
        <v>7478</v>
      </c>
      <c r="J2535" s="10" t="s">
        <v>72</v>
      </c>
    </row>
    <row r="2536" ht="12.75" customHeight="1">
      <c r="A2536" s="5" t="s">
        <v>7983</v>
      </c>
      <c r="B2536" s="5" t="s">
        <v>7984</v>
      </c>
      <c r="D2536" s="5" t="s">
        <v>34</v>
      </c>
      <c r="E2536" s="5" t="s">
        <v>42</v>
      </c>
      <c r="F2536" s="5" t="s">
        <v>228</v>
      </c>
      <c r="H2536" s="5" t="s">
        <v>7478</v>
      </c>
      <c r="J2536" s="10" t="s">
        <v>72</v>
      </c>
    </row>
    <row r="2537" ht="12.75" customHeight="1">
      <c r="A2537" s="5" t="s">
        <v>7985</v>
      </c>
      <c r="B2537" s="10" t="s">
        <v>7986</v>
      </c>
      <c r="D2537" s="5" t="s">
        <v>46</v>
      </c>
      <c r="E2537" s="5" t="s">
        <v>35</v>
      </c>
      <c r="F2537" s="5" t="s">
        <v>4410</v>
      </c>
      <c r="H2537" s="5" t="s">
        <v>7510</v>
      </c>
      <c r="J2537" s="10" t="s">
        <v>72</v>
      </c>
    </row>
    <row r="2538" ht="12.75" customHeight="1">
      <c r="A2538" s="5" t="s">
        <v>7987</v>
      </c>
      <c r="B2538" s="10" t="s">
        <v>7988</v>
      </c>
      <c r="D2538" s="5" t="s">
        <v>46</v>
      </c>
      <c r="E2538" s="5" t="s">
        <v>42</v>
      </c>
      <c r="F2538" s="5" t="s">
        <v>2869</v>
      </c>
      <c r="H2538" s="5" t="s">
        <v>7510</v>
      </c>
      <c r="J2538" s="10" t="s">
        <v>72</v>
      </c>
    </row>
    <row r="2539" ht="12.75" customHeight="1">
      <c r="A2539" s="5" t="s">
        <v>7989</v>
      </c>
      <c r="B2539" s="10" t="s">
        <v>7990</v>
      </c>
      <c r="D2539" s="5" t="s">
        <v>34</v>
      </c>
      <c r="E2539" s="5" t="s">
        <v>35</v>
      </c>
      <c r="F2539" s="5" t="s">
        <v>77</v>
      </c>
      <c r="H2539" s="5" t="s">
        <v>7510</v>
      </c>
      <c r="J2539" s="10" t="s">
        <v>72</v>
      </c>
    </row>
    <row r="2540" ht="12.75" customHeight="1">
      <c r="A2540" s="5" t="s">
        <v>7991</v>
      </c>
      <c r="B2540" s="10" t="s">
        <v>7992</v>
      </c>
      <c r="D2540" s="5" t="s">
        <v>34</v>
      </c>
      <c r="E2540" s="5" t="s">
        <v>42</v>
      </c>
      <c r="F2540" s="5" t="s">
        <v>1991</v>
      </c>
      <c r="H2540" s="5" t="s">
        <v>7510</v>
      </c>
      <c r="J2540" s="10" t="s">
        <v>72</v>
      </c>
    </row>
    <row r="2541" ht="12.75" customHeight="1">
      <c r="A2541" s="5" t="s">
        <v>7993</v>
      </c>
      <c r="B2541" s="5" t="s">
        <v>7994</v>
      </c>
      <c r="D2541" s="5" t="s">
        <v>22</v>
      </c>
      <c r="E2541" s="5" t="s">
        <v>35</v>
      </c>
      <c r="F2541" s="5" t="s">
        <v>4630</v>
      </c>
      <c r="H2541" s="5" t="s">
        <v>7513</v>
      </c>
      <c r="J2541" s="10" t="s">
        <v>72</v>
      </c>
    </row>
    <row r="2542" ht="12.75" customHeight="1">
      <c r="A2542" s="5" t="s">
        <v>7995</v>
      </c>
      <c r="B2542" s="5" t="s">
        <v>7996</v>
      </c>
      <c r="D2542" s="5" t="s">
        <v>22</v>
      </c>
      <c r="E2542" s="5" t="s">
        <v>42</v>
      </c>
      <c r="F2542" s="5" t="s">
        <v>423</v>
      </c>
      <c r="H2542" s="5" t="s">
        <v>7513</v>
      </c>
      <c r="J2542" s="10" t="s">
        <v>72</v>
      </c>
    </row>
    <row r="2543" ht="12.75" customHeight="1">
      <c r="A2543" s="5" t="s">
        <v>7997</v>
      </c>
      <c r="B2543" s="5" t="s">
        <v>7998</v>
      </c>
      <c r="D2543" s="5" t="s">
        <v>46</v>
      </c>
      <c r="E2543" s="5" t="s">
        <v>35</v>
      </c>
      <c r="F2543" s="5" t="s">
        <v>96</v>
      </c>
      <c r="H2543" s="5" t="s">
        <v>7513</v>
      </c>
      <c r="J2543" s="10" t="s">
        <v>72</v>
      </c>
    </row>
    <row r="2544" ht="12.75" customHeight="1">
      <c r="A2544" s="5" t="s">
        <v>7999</v>
      </c>
      <c r="B2544" s="5" t="s">
        <v>8000</v>
      </c>
      <c r="D2544" s="5" t="s">
        <v>46</v>
      </c>
      <c r="E2544" s="5" t="s">
        <v>42</v>
      </c>
      <c r="F2544" s="5" t="s">
        <v>157</v>
      </c>
      <c r="H2544" s="5" t="s">
        <v>7513</v>
      </c>
      <c r="J2544" s="10" t="s">
        <v>72</v>
      </c>
    </row>
    <row r="2545" ht="12.75" customHeight="1">
      <c r="A2545" s="5" t="s">
        <v>8001</v>
      </c>
      <c r="B2545" s="5" t="s">
        <v>8002</v>
      </c>
      <c r="D2545" s="5" t="s">
        <v>50</v>
      </c>
      <c r="E2545" s="5" t="s">
        <v>35</v>
      </c>
      <c r="F2545" s="5" t="s">
        <v>619</v>
      </c>
      <c r="H2545" s="5" t="s">
        <v>7513</v>
      </c>
      <c r="J2545" s="10" t="s">
        <v>72</v>
      </c>
    </row>
    <row r="2546" ht="12.75" customHeight="1">
      <c r="A2546" s="5" t="s">
        <v>8003</v>
      </c>
      <c r="B2546" s="5" t="s">
        <v>8004</v>
      </c>
      <c r="D2546" s="5" t="s">
        <v>50</v>
      </c>
      <c r="E2546" s="5" t="s">
        <v>42</v>
      </c>
      <c r="F2546" s="5" t="s">
        <v>720</v>
      </c>
      <c r="H2546" s="5" t="s">
        <v>7513</v>
      </c>
      <c r="J2546" s="10" t="s">
        <v>72</v>
      </c>
    </row>
    <row r="2547" ht="12.75" customHeight="1">
      <c r="A2547" s="5" t="s">
        <v>8005</v>
      </c>
      <c r="B2547" s="5" t="s">
        <v>8006</v>
      </c>
      <c r="D2547" s="5" t="s">
        <v>34</v>
      </c>
      <c r="E2547" s="5" t="s">
        <v>35</v>
      </c>
      <c r="F2547" s="5" t="s">
        <v>913</v>
      </c>
      <c r="H2547" s="5" t="s">
        <v>7513</v>
      </c>
      <c r="J2547" s="10" t="s">
        <v>72</v>
      </c>
    </row>
    <row r="2548" ht="12.75" customHeight="1">
      <c r="A2548" s="5" t="s">
        <v>8007</v>
      </c>
      <c r="B2548" s="5" t="s">
        <v>8008</v>
      </c>
      <c r="D2548" s="5" t="s">
        <v>34</v>
      </c>
      <c r="E2548" s="5" t="s">
        <v>42</v>
      </c>
      <c r="F2548" s="5" t="s">
        <v>599</v>
      </c>
      <c r="H2548" s="5" t="s">
        <v>7513</v>
      </c>
      <c r="J2548" s="10" t="s">
        <v>72</v>
      </c>
    </row>
    <row r="2549" ht="12.75" customHeight="1">
      <c r="A2549" s="5" t="s">
        <v>8009</v>
      </c>
      <c r="B2549" s="10" t="s">
        <v>8010</v>
      </c>
      <c r="D2549" s="5" t="s">
        <v>46</v>
      </c>
      <c r="E2549" s="5" t="s">
        <v>35</v>
      </c>
      <c r="F2549" s="5" t="s">
        <v>1143</v>
      </c>
      <c r="H2549" s="5" t="s">
        <v>7545</v>
      </c>
      <c r="J2549" s="10" t="s">
        <v>72</v>
      </c>
    </row>
    <row r="2550" ht="12.75" customHeight="1">
      <c r="A2550" s="5" t="s">
        <v>8011</v>
      </c>
      <c r="B2550" s="5" t="s">
        <v>8012</v>
      </c>
      <c r="D2550" s="5" t="s">
        <v>46</v>
      </c>
      <c r="E2550" s="5" t="s">
        <v>42</v>
      </c>
      <c r="F2550" s="5" t="s">
        <v>3107</v>
      </c>
      <c r="H2550" s="5" t="s">
        <v>7545</v>
      </c>
      <c r="J2550" s="10" t="s">
        <v>72</v>
      </c>
    </row>
    <row r="2551" ht="12.75" customHeight="1">
      <c r="A2551" s="5" t="s">
        <v>8013</v>
      </c>
      <c r="B2551" s="5" t="s">
        <v>8014</v>
      </c>
      <c r="D2551" s="5" t="s">
        <v>34</v>
      </c>
      <c r="E2551" s="5" t="s">
        <v>35</v>
      </c>
      <c r="F2551" s="5" t="s">
        <v>172</v>
      </c>
      <c r="H2551" s="5" t="s">
        <v>7545</v>
      </c>
      <c r="J2551" s="10" t="s">
        <v>72</v>
      </c>
    </row>
    <row r="2552" ht="12.75" customHeight="1">
      <c r="A2552" s="5" t="s">
        <v>8015</v>
      </c>
      <c r="B2552" s="5" t="s">
        <v>8016</v>
      </c>
      <c r="D2552" s="5" t="s">
        <v>34</v>
      </c>
      <c r="E2552" s="5" t="s">
        <v>42</v>
      </c>
      <c r="F2552" s="5" t="s">
        <v>672</v>
      </c>
      <c r="H2552" s="5" t="s">
        <v>7545</v>
      </c>
      <c r="J2552" s="10" t="s">
        <v>72</v>
      </c>
    </row>
    <row r="2553" ht="12.75" customHeight="1">
      <c r="A2553" s="5" t="s">
        <v>8017</v>
      </c>
      <c r="B2553" s="5" t="s">
        <v>8018</v>
      </c>
      <c r="D2553" s="5" t="s">
        <v>22</v>
      </c>
      <c r="E2553" s="5" t="s">
        <v>35</v>
      </c>
      <c r="F2553" s="5" t="s">
        <v>90</v>
      </c>
      <c r="H2553" s="5" t="s">
        <v>7548</v>
      </c>
      <c r="J2553" s="10" t="s">
        <v>72</v>
      </c>
    </row>
    <row r="2554" ht="12.75" customHeight="1">
      <c r="A2554" s="5" t="s">
        <v>8019</v>
      </c>
      <c r="B2554" s="5" t="s">
        <v>8020</v>
      </c>
      <c r="D2554" s="5" t="s">
        <v>22</v>
      </c>
      <c r="E2554" s="5" t="s">
        <v>42</v>
      </c>
      <c r="F2554" s="5" t="s">
        <v>720</v>
      </c>
      <c r="H2554" s="5" t="s">
        <v>7548</v>
      </c>
      <c r="J2554" s="10" t="s">
        <v>72</v>
      </c>
    </row>
    <row r="2555" ht="12.75" customHeight="1">
      <c r="A2555" s="5" t="s">
        <v>8021</v>
      </c>
      <c r="B2555" s="5" t="s">
        <v>8022</v>
      </c>
      <c r="D2555" s="5" t="s">
        <v>46</v>
      </c>
      <c r="E2555" s="5" t="s">
        <v>35</v>
      </c>
      <c r="F2555" s="5" t="s">
        <v>96</v>
      </c>
      <c r="H2555" s="5" t="s">
        <v>7548</v>
      </c>
      <c r="J2555" s="10" t="s">
        <v>72</v>
      </c>
    </row>
    <row r="2556" ht="12.75" customHeight="1">
      <c r="A2556" s="5" t="s">
        <v>8023</v>
      </c>
      <c r="B2556" s="5" t="s">
        <v>8024</v>
      </c>
      <c r="D2556" s="5" t="s">
        <v>46</v>
      </c>
      <c r="E2556" s="5" t="s">
        <v>42</v>
      </c>
      <c r="F2556" s="5" t="s">
        <v>157</v>
      </c>
      <c r="H2556" s="5" t="s">
        <v>7548</v>
      </c>
      <c r="J2556" s="10" t="s">
        <v>72</v>
      </c>
    </row>
    <row r="2557" ht="12.75" customHeight="1">
      <c r="A2557" s="5" t="s">
        <v>8025</v>
      </c>
      <c r="B2557" s="5" t="s">
        <v>8026</v>
      </c>
      <c r="D2557" s="5" t="s">
        <v>50</v>
      </c>
      <c r="E2557" s="5" t="s">
        <v>35</v>
      </c>
      <c r="F2557" s="5" t="s">
        <v>619</v>
      </c>
      <c r="H2557" s="5" t="s">
        <v>7548</v>
      </c>
      <c r="J2557" s="10" t="s">
        <v>72</v>
      </c>
    </row>
    <row r="2558" ht="12.75" customHeight="1">
      <c r="A2558" s="5" t="s">
        <v>8027</v>
      </c>
      <c r="B2558" s="5" t="s">
        <v>8028</v>
      </c>
      <c r="D2558" s="5" t="s">
        <v>50</v>
      </c>
      <c r="E2558" s="5" t="s">
        <v>42</v>
      </c>
      <c r="F2558" s="5" t="s">
        <v>720</v>
      </c>
      <c r="H2558" s="5" t="s">
        <v>7548</v>
      </c>
      <c r="J2558" s="10" t="s">
        <v>72</v>
      </c>
    </row>
    <row r="2559" ht="12.75" customHeight="1">
      <c r="A2559" s="5" t="s">
        <v>8029</v>
      </c>
      <c r="B2559" s="5" t="s">
        <v>8030</v>
      </c>
      <c r="D2559" s="5" t="s">
        <v>34</v>
      </c>
      <c r="E2559" s="5" t="s">
        <v>35</v>
      </c>
      <c r="F2559" s="5" t="s">
        <v>913</v>
      </c>
      <c r="H2559" s="5" t="s">
        <v>7548</v>
      </c>
      <c r="J2559" s="10" t="s">
        <v>72</v>
      </c>
    </row>
    <row r="2560" ht="12.75" customHeight="1">
      <c r="A2560" s="5" t="s">
        <v>8031</v>
      </c>
      <c r="B2560" s="5" t="s">
        <v>8032</v>
      </c>
      <c r="D2560" s="5" t="s">
        <v>34</v>
      </c>
      <c r="E2560" s="5" t="s">
        <v>42</v>
      </c>
      <c r="F2560" s="5" t="s">
        <v>599</v>
      </c>
      <c r="H2560" s="5" t="s">
        <v>7548</v>
      </c>
      <c r="J2560" s="10" t="s">
        <v>72</v>
      </c>
    </row>
    <row r="2561" ht="12.75" customHeight="1">
      <c r="A2561" s="5" t="s">
        <v>8033</v>
      </c>
      <c r="B2561" s="5" t="s">
        <v>8034</v>
      </c>
      <c r="D2561" s="5" t="s">
        <v>46</v>
      </c>
      <c r="E2561" s="5" t="s">
        <v>42</v>
      </c>
      <c r="F2561" s="5" t="s">
        <v>3107</v>
      </c>
      <c r="H2561" s="5" t="s">
        <v>7580</v>
      </c>
      <c r="J2561" s="10" t="s">
        <v>72</v>
      </c>
    </row>
    <row r="2562" ht="12.75" customHeight="1">
      <c r="A2562" s="5" t="s">
        <v>8035</v>
      </c>
      <c r="B2562" s="5" t="s">
        <v>8036</v>
      </c>
      <c r="D2562" s="5" t="s">
        <v>34</v>
      </c>
      <c r="E2562" s="5" t="s">
        <v>35</v>
      </c>
      <c r="F2562" s="5" t="s">
        <v>172</v>
      </c>
      <c r="H2562" s="5" t="s">
        <v>7580</v>
      </c>
      <c r="J2562" s="10" t="s">
        <v>72</v>
      </c>
    </row>
    <row r="2563" ht="12.75" customHeight="1">
      <c r="A2563" s="5" t="s">
        <v>8037</v>
      </c>
      <c r="B2563" s="5" t="s">
        <v>8038</v>
      </c>
      <c r="D2563" s="5" t="s">
        <v>22</v>
      </c>
      <c r="E2563" s="5" t="s">
        <v>35</v>
      </c>
      <c r="F2563" s="5" t="s">
        <v>90</v>
      </c>
      <c r="H2563" s="5" t="s">
        <v>7583</v>
      </c>
      <c r="J2563" s="10" t="s">
        <v>72</v>
      </c>
    </row>
    <row r="2564" ht="12.75" customHeight="1">
      <c r="A2564" s="5" t="s">
        <v>8039</v>
      </c>
      <c r="B2564" s="5" t="s">
        <v>8040</v>
      </c>
      <c r="D2564" s="5" t="s">
        <v>46</v>
      </c>
      <c r="E2564" s="5" t="s">
        <v>42</v>
      </c>
      <c r="F2564" s="5" t="s">
        <v>157</v>
      </c>
      <c r="H2564" s="5" t="s">
        <v>7583</v>
      </c>
      <c r="J2564" s="10" t="s">
        <v>72</v>
      </c>
    </row>
    <row r="2565" ht="12.75" customHeight="1">
      <c r="A2565" s="5" t="s">
        <v>8041</v>
      </c>
      <c r="B2565" s="5" t="s">
        <v>8042</v>
      </c>
      <c r="D2565" s="5" t="s">
        <v>22</v>
      </c>
      <c r="E2565" s="5" t="s">
        <v>35</v>
      </c>
      <c r="F2565" s="5" t="s">
        <v>1776</v>
      </c>
      <c r="H2565" s="5" t="s">
        <v>4681</v>
      </c>
      <c r="J2565" s="10" t="s">
        <v>72</v>
      </c>
    </row>
    <row r="2566" ht="12.75" customHeight="1">
      <c r="A2566" s="5" t="s">
        <v>8043</v>
      </c>
      <c r="B2566" s="5" t="s">
        <v>8044</v>
      </c>
      <c r="D2566" s="5" t="s">
        <v>22</v>
      </c>
      <c r="E2566" s="5" t="s">
        <v>42</v>
      </c>
      <c r="F2566" s="5" t="s">
        <v>732</v>
      </c>
      <c r="H2566" s="5" t="s">
        <v>4681</v>
      </c>
      <c r="J2566" s="10" t="s">
        <v>72</v>
      </c>
    </row>
    <row r="2567" ht="12.75" customHeight="1">
      <c r="A2567" s="5" t="s">
        <v>8045</v>
      </c>
      <c r="B2567" s="5" t="s">
        <v>8046</v>
      </c>
      <c r="D2567" s="5" t="s">
        <v>30</v>
      </c>
      <c r="E2567" s="5" t="s">
        <v>35</v>
      </c>
      <c r="F2567" s="5" t="s">
        <v>1334</v>
      </c>
      <c r="H2567" s="5" t="s">
        <v>4681</v>
      </c>
      <c r="J2567" s="10" t="s">
        <v>72</v>
      </c>
    </row>
    <row r="2568" ht="12.75" customHeight="1">
      <c r="A2568" s="5" t="s">
        <v>8047</v>
      </c>
      <c r="B2568" s="5" t="s">
        <v>8048</v>
      </c>
      <c r="D2568" s="5" t="s">
        <v>30</v>
      </c>
      <c r="E2568" s="5" t="s">
        <v>42</v>
      </c>
      <c r="F2568" s="5" t="s">
        <v>157</v>
      </c>
      <c r="H2568" s="5" t="s">
        <v>4681</v>
      </c>
      <c r="J2568" s="10" t="s">
        <v>72</v>
      </c>
    </row>
    <row r="2569" ht="12.75" customHeight="1">
      <c r="A2569" s="5" t="s">
        <v>8049</v>
      </c>
      <c r="B2569" s="5" t="s">
        <v>8050</v>
      </c>
      <c r="D2569" s="5" t="s">
        <v>46</v>
      </c>
      <c r="E2569" s="5" t="s">
        <v>35</v>
      </c>
      <c r="F2569" s="5" t="s">
        <v>1831</v>
      </c>
      <c r="H2569" s="5" t="s">
        <v>4681</v>
      </c>
      <c r="J2569" s="10" t="s">
        <v>72</v>
      </c>
    </row>
    <row r="2570" ht="12.75" customHeight="1">
      <c r="A2570" s="5" t="s">
        <v>8051</v>
      </c>
      <c r="B2570" s="5" t="s">
        <v>8052</v>
      </c>
      <c r="D2570" s="5" t="s">
        <v>46</v>
      </c>
      <c r="E2570" s="5" t="s">
        <v>42</v>
      </c>
      <c r="F2570" s="5" t="s">
        <v>2638</v>
      </c>
      <c r="H2570" s="5" t="s">
        <v>4681</v>
      </c>
      <c r="J2570" s="10" t="s">
        <v>72</v>
      </c>
    </row>
    <row r="2571" ht="12.75" customHeight="1">
      <c r="A2571" s="5" t="s">
        <v>8053</v>
      </c>
      <c r="B2571" s="5" t="s">
        <v>8054</v>
      </c>
      <c r="D2571" s="5" t="s">
        <v>50</v>
      </c>
      <c r="E2571" s="5" t="s">
        <v>35</v>
      </c>
      <c r="F2571" s="5" t="s">
        <v>913</v>
      </c>
      <c r="H2571" s="5" t="s">
        <v>4681</v>
      </c>
      <c r="J2571" s="10" t="s">
        <v>72</v>
      </c>
    </row>
    <row r="2572" ht="12.75" customHeight="1">
      <c r="A2572" s="5" t="s">
        <v>8055</v>
      </c>
      <c r="B2572" s="5" t="s">
        <v>8056</v>
      </c>
      <c r="D2572" s="5" t="s">
        <v>50</v>
      </c>
      <c r="E2572" s="5" t="s">
        <v>42</v>
      </c>
      <c r="F2572" s="5" t="s">
        <v>445</v>
      </c>
      <c r="H2572" s="5" t="s">
        <v>4681</v>
      </c>
      <c r="J2572" s="10" t="s">
        <v>72</v>
      </c>
    </row>
    <row r="2573" ht="12.75" customHeight="1">
      <c r="A2573" s="5" t="s">
        <v>8057</v>
      </c>
      <c r="B2573" s="10" t="s">
        <v>8058</v>
      </c>
      <c r="D2573" s="5" t="s">
        <v>22</v>
      </c>
      <c r="E2573" s="5" t="s">
        <v>35</v>
      </c>
      <c r="F2573" s="5" t="s">
        <v>110</v>
      </c>
      <c r="H2573" s="5" t="s">
        <v>7410</v>
      </c>
      <c r="J2573" s="10" t="s">
        <v>72</v>
      </c>
    </row>
    <row r="2574" ht="12.75" customHeight="1">
      <c r="A2574" s="5" t="s">
        <v>8059</v>
      </c>
      <c r="B2574" s="10" t="s">
        <v>8060</v>
      </c>
      <c r="D2574" s="5" t="s">
        <v>22</v>
      </c>
      <c r="E2574" s="5" t="s">
        <v>42</v>
      </c>
      <c r="F2574" s="5" t="s">
        <v>556</v>
      </c>
      <c r="H2574" s="5" t="s">
        <v>7410</v>
      </c>
      <c r="J2574" s="10" t="s">
        <v>72</v>
      </c>
    </row>
    <row r="2575" ht="12.75" customHeight="1">
      <c r="A2575" s="5" t="s">
        <v>8061</v>
      </c>
      <c r="B2575" s="10" t="s">
        <v>8062</v>
      </c>
      <c r="D2575" s="5" t="s">
        <v>46</v>
      </c>
      <c r="E2575" s="5" t="s">
        <v>35</v>
      </c>
      <c r="F2575" s="5" t="s">
        <v>1334</v>
      </c>
      <c r="H2575" s="5" t="s">
        <v>7410</v>
      </c>
      <c r="J2575" s="10" t="s">
        <v>72</v>
      </c>
    </row>
    <row r="2576" ht="12.75" customHeight="1">
      <c r="A2576" s="5" t="s">
        <v>8063</v>
      </c>
      <c r="B2576" s="10" t="s">
        <v>8064</v>
      </c>
      <c r="D2576" s="5" t="s">
        <v>46</v>
      </c>
      <c r="E2576" s="5" t="s">
        <v>42</v>
      </c>
      <c r="F2576" s="5" t="s">
        <v>1223</v>
      </c>
      <c r="H2576" s="5" t="s">
        <v>7410</v>
      </c>
      <c r="J2576" s="10" t="s">
        <v>72</v>
      </c>
    </row>
    <row r="2577" ht="12.75" customHeight="1">
      <c r="A2577" s="5" t="s">
        <v>8065</v>
      </c>
      <c r="B2577" s="5" t="s">
        <v>8066</v>
      </c>
      <c r="D2577" s="5" t="s">
        <v>22</v>
      </c>
      <c r="E2577" s="5" t="s">
        <v>35</v>
      </c>
      <c r="F2577" s="5" t="s">
        <v>90</v>
      </c>
      <c r="H2577" s="5" t="s">
        <v>7413</v>
      </c>
      <c r="J2577" s="10" t="s">
        <v>72</v>
      </c>
    </row>
    <row r="2578" ht="12.75" customHeight="1">
      <c r="A2578" s="5" t="s">
        <v>8067</v>
      </c>
      <c r="B2578" s="5" t="s">
        <v>8068</v>
      </c>
      <c r="D2578" s="5" t="s">
        <v>22</v>
      </c>
      <c r="E2578" s="5" t="s">
        <v>42</v>
      </c>
      <c r="F2578" s="5" t="s">
        <v>167</v>
      </c>
      <c r="H2578" s="5" t="s">
        <v>7413</v>
      </c>
      <c r="J2578" s="10" t="s">
        <v>72</v>
      </c>
    </row>
    <row r="2579" ht="12.75" customHeight="1">
      <c r="A2579" s="5" t="s">
        <v>8069</v>
      </c>
      <c r="B2579" s="5" t="s">
        <v>8070</v>
      </c>
      <c r="D2579" s="5" t="s">
        <v>30</v>
      </c>
      <c r="E2579" s="5" t="s">
        <v>35</v>
      </c>
      <c r="F2579" s="5" t="s">
        <v>1344</v>
      </c>
      <c r="H2579" s="5" t="s">
        <v>7413</v>
      </c>
      <c r="J2579" s="10" t="s">
        <v>72</v>
      </c>
    </row>
    <row r="2580" ht="12.75" customHeight="1">
      <c r="A2580" s="5" t="s">
        <v>8071</v>
      </c>
      <c r="B2580" s="5" t="s">
        <v>8072</v>
      </c>
      <c r="D2580" s="5" t="s">
        <v>30</v>
      </c>
      <c r="E2580" s="5" t="s">
        <v>42</v>
      </c>
      <c r="F2580" s="5" t="s">
        <v>1344</v>
      </c>
      <c r="H2580" s="5" t="s">
        <v>7413</v>
      </c>
      <c r="J2580" s="10" t="s">
        <v>72</v>
      </c>
    </row>
    <row r="2581" ht="12.75" customHeight="1">
      <c r="A2581" s="5" t="s">
        <v>8073</v>
      </c>
      <c r="B2581" s="5" t="s">
        <v>8074</v>
      </c>
      <c r="D2581" s="5" t="s">
        <v>46</v>
      </c>
      <c r="E2581" s="5" t="s">
        <v>35</v>
      </c>
      <c r="F2581" s="5" t="s">
        <v>545</v>
      </c>
      <c r="H2581" s="5" t="s">
        <v>7413</v>
      </c>
      <c r="J2581" s="10" t="s">
        <v>72</v>
      </c>
    </row>
    <row r="2582" ht="12.75" customHeight="1">
      <c r="A2582" s="5" t="s">
        <v>8075</v>
      </c>
      <c r="B2582" s="5" t="s">
        <v>8076</v>
      </c>
      <c r="D2582" s="5" t="s">
        <v>46</v>
      </c>
      <c r="E2582" s="5" t="s">
        <v>42</v>
      </c>
      <c r="F2582" s="5" t="s">
        <v>3107</v>
      </c>
      <c r="H2582" s="5" t="s">
        <v>7413</v>
      </c>
      <c r="J2582" s="10" t="s">
        <v>72</v>
      </c>
    </row>
    <row r="2583" ht="12.75" customHeight="1">
      <c r="A2583" s="5" t="s">
        <v>8077</v>
      </c>
      <c r="B2583" s="5" t="s">
        <v>8078</v>
      </c>
      <c r="D2583" s="5" t="s">
        <v>50</v>
      </c>
      <c r="E2583" s="5" t="s">
        <v>35</v>
      </c>
      <c r="F2583" s="5" t="s">
        <v>913</v>
      </c>
      <c r="H2583" s="5" t="s">
        <v>7413</v>
      </c>
      <c r="J2583" s="10" t="s">
        <v>72</v>
      </c>
    </row>
    <row r="2584" ht="12.75" customHeight="1">
      <c r="A2584" s="5" t="s">
        <v>8079</v>
      </c>
      <c r="B2584" s="5" t="s">
        <v>8080</v>
      </c>
      <c r="D2584" s="5" t="s">
        <v>50</v>
      </c>
      <c r="E2584" s="5" t="s">
        <v>42</v>
      </c>
      <c r="F2584" s="5" t="s">
        <v>1753</v>
      </c>
      <c r="H2584" s="5" t="s">
        <v>7413</v>
      </c>
      <c r="J2584" s="10" t="s">
        <v>72</v>
      </c>
    </row>
    <row r="2585" ht="12.75" customHeight="1">
      <c r="A2585" s="5" t="s">
        <v>8081</v>
      </c>
      <c r="B2585" s="10" t="s">
        <v>8082</v>
      </c>
      <c r="D2585" s="5" t="s">
        <v>22</v>
      </c>
      <c r="E2585" s="5" t="s">
        <v>35</v>
      </c>
      <c r="F2585" s="5" t="s">
        <v>90</v>
      </c>
      <c r="H2585" s="5" t="s">
        <v>7444</v>
      </c>
      <c r="J2585" s="10" t="s">
        <v>72</v>
      </c>
    </row>
    <row r="2586" ht="12.75" customHeight="1">
      <c r="A2586" s="5" t="s">
        <v>8083</v>
      </c>
      <c r="B2586" s="5" t="s">
        <v>8084</v>
      </c>
      <c r="D2586" s="5" t="s">
        <v>22</v>
      </c>
      <c r="E2586" s="5" t="s">
        <v>42</v>
      </c>
      <c r="F2586" s="5" t="s">
        <v>65</v>
      </c>
      <c r="H2586" s="5" t="s">
        <v>7444</v>
      </c>
      <c r="J2586" s="10" t="s">
        <v>72</v>
      </c>
    </row>
    <row r="2587" ht="12.75" customHeight="1">
      <c r="A2587" s="5" t="s">
        <v>8085</v>
      </c>
      <c r="B2587" s="5" t="s">
        <v>8086</v>
      </c>
      <c r="D2587" s="5" t="s">
        <v>46</v>
      </c>
      <c r="E2587" s="5" t="s">
        <v>35</v>
      </c>
      <c r="F2587" s="5" t="s">
        <v>1886</v>
      </c>
      <c r="H2587" s="5" t="s">
        <v>7444</v>
      </c>
      <c r="J2587" s="10" t="s">
        <v>72</v>
      </c>
    </row>
    <row r="2588" ht="12.75" customHeight="1">
      <c r="A2588" s="5" t="s">
        <v>8087</v>
      </c>
      <c r="B2588" s="5" t="s">
        <v>8088</v>
      </c>
      <c r="D2588" s="5" t="s">
        <v>46</v>
      </c>
      <c r="E2588" s="5" t="s">
        <v>42</v>
      </c>
      <c r="F2588" s="5" t="s">
        <v>2771</v>
      </c>
      <c r="H2588" s="5" t="s">
        <v>7444</v>
      </c>
      <c r="J2588" s="10" t="s">
        <v>72</v>
      </c>
    </row>
    <row r="2589" ht="12.75" customHeight="1">
      <c r="A2589" s="5" t="s">
        <v>8089</v>
      </c>
      <c r="B2589" s="5" t="s">
        <v>8090</v>
      </c>
      <c r="D2589" s="5" t="s">
        <v>22</v>
      </c>
      <c r="E2589" s="5" t="s">
        <v>35</v>
      </c>
      <c r="F2589" s="5" t="s">
        <v>278</v>
      </c>
      <c r="H2589" s="5" t="s">
        <v>7447</v>
      </c>
      <c r="J2589" s="10" t="s">
        <v>72</v>
      </c>
    </row>
    <row r="2590" ht="12.75" customHeight="1">
      <c r="A2590" s="5" t="s">
        <v>8091</v>
      </c>
      <c r="B2590" s="5" t="s">
        <v>8092</v>
      </c>
      <c r="D2590" s="5" t="s">
        <v>22</v>
      </c>
      <c r="E2590" s="5" t="s">
        <v>42</v>
      </c>
      <c r="F2590" s="5" t="s">
        <v>657</v>
      </c>
      <c r="H2590" s="5" t="s">
        <v>7447</v>
      </c>
      <c r="J2590" s="10" t="s">
        <v>72</v>
      </c>
    </row>
    <row r="2591" ht="12.75" customHeight="1">
      <c r="A2591" s="5" t="s">
        <v>8093</v>
      </c>
      <c r="B2591" s="5" t="s">
        <v>8094</v>
      </c>
      <c r="D2591" s="5" t="s">
        <v>30</v>
      </c>
      <c r="E2591" s="5" t="s">
        <v>35</v>
      </c>
      <c r="F2591" s="5" t="s">
        <v>2401</v>
      </c>
      <c r="H2591" s="5" t="s">
        <v>7447</v>
      </c>
      <c r="J2591" s="10" t="s">
        <v>72</v>
      </c>
    </row>
    <row r="2592" ht="12.75" customHeight="1">
      <c r="A2592" s="5" t="s">
        <v>8095</v>
      </c>
      <c r="B2592" s="5" t="s">
        <v>8096</v>
      </c>
      <c r="D2592" s="5" t="s">
        <v>30</v>
      </c>
      <c r="E2592" s="5" t="s">
        <v>42</v>
      </c>
      <c r="F2592" s="5" t="s">
        <v>1223</v>
      </c>
      <c r="H2592" s="5" t="s">
        <v>7447</v>
      </c>
      <c r="J2592" s="10" t="s">
        <v>72</v>
      </c>
    </row>
    <row r="2593" ht="12.75" customHeight="1">
      <c r="A2593" s="5" t="s">
        <v>8097</v>
      </c>
      <c r="B2593" s="5" t="s">
        <v>8098</v>
      </c>
      <c r="D2593" s="5" t="s">
        <v>46</v>
      </c>
      <c r="E2593" s="5" t="s">
        <v>35</v>
      </c>
      <c r="F2593" s="5" t="s">
        <v>545</v>
      </c>
      <c r="H2593" s="5" t="s">
        <v>7447</v>
      </c>
      <c r="J2593" s="10" t="s">
        <v>72</v>
      </c>
    </row>
    <row r="2594" ht="12.75" customHeight="1">
      <c r="A2594" s="5" t="s">
        <v>8099</v>
      </c>
      <c r="B2594" s="5" t="s">
        <v>8100</v>
      </c>
      <c r="D2594" s="5" t="s">
        <v>46</v>
      </c>
      <c r="E2594" s="5" t="s">
        <v>42</v>
      </c>
      <c r="F2594" s="5" t="s">
        <v>2218</v>
      </c>
      <c r="H2594" s="5" t="s">
        <v>7447</v>
      </c>
      <c r="J2594" s="10" t="s">
        <v>72</v>
      </c>
    </row>
    <row r="2595" ht="12.75" customHeight="1">
      <c r="A2595" s="5" t="s">
        <v>8101</v>
      </c>
      <c r="B2595" s="5" t="s">
        <v>8102</v>
      </c>
      <c r="D2595" s="5" t="s">
        <v>50</v>
      </c>
      <c r="E2595" s="5" t="s">
        <v>35</v>
      </c>
      <c r="F2595" s="5" t="s">
        <v>710</v>
      </c>
      <c r="H2595" s="5" t="s">
        <v>7447</v>
      </c>
      <c r="J2595" s="10" t="s">
        <v>72</v>
      </c>
    </row>
    <row r="2596" ht="12.75" customHeight="1">
      <c r="A2596" s="5" t="s">
        <v>8103</v>
      </c>
      <c r="B2596" s="5" t="s">
        <v>8104</v>
      </c>
      <c r="D2596" s="5" t="s">
        <v>50</v>
      </c>
      <c r="E2596" s="5" t="s">
        <v>42</v>
      </c>
      <c r="F2596" s="5" t="s">
        <v>599</v>
      </c>
      <c r="H2596" s="5" t="s">
        <v>7447</v>
      </c>
      <c r="J2596" s="10" t="s">
        <v>72</v>
      </c>
    </row>
    <row r="2597" ht="12.75" customHeight="1">
      <c r="A2597" s="5" t="s">
        <v>8105</v>
      </c>
      <c r="B2597" s="5" t="s">
        <v>8106</v>
      </c>
      <c r="D2597" s="5" t="s">
        <v>22</v>
      </c>
      <c r="E2597" s="5" t="s">
        <v>35</v>
      </c>
      <c r="F2597" s="5" t="s">
        <v>172</v>
      </c>
      <c r="H2597" s="5" t="s">
        <v>7480</v>
      </c>
      <c r="J2597" s="10" t="s">
        <v>72</v>
      </c>
    </row>
    <row r="2598" ht="12.75" customHeight="1">
      <c r="A2598" s="5" t="s">
        <v>8107</v>
      </c>
      <c r="B2598" s="5" t="s">
        <v>8108</v>
      </c>
      <c r="D2598" s="5" t="s">
        <v>22</v>
      </c>
      <c r="E2598" s="5" t="s">
        <v>42</v>
      </c>
      <c r="F2598" s="5" t="s">
        <v>637</v>
      </c>
      <c r="H2598" s="5" t="s">
        <v>7480</v>
      </c>
      <c r="J2598" s="10" t="s">
        <v>72</v>
      </c>
    </row>
    <row r="2599" ht="12.75" customHeight="1">
      <c r="A2599" s="5" t="s">
        <v>8109</v>
      </c>
      <c r="B2599" s="5" t="s">
        <v>8110</v>
      </c>
      <c r="D2599" s="5" t="s">
        <v>46</v>
      </c>
      <c r="E2599" s="5" t="s">
        <v>35</v>
      </c>
      <c r="F2599" s="5" t="s">
        <v>1324</v>
      </c>
      <c r="H2599" s="5" t="s">
        <v>7480</v>
      </c>
      <c r="J2599" s="10" t="s">
        <v>72</v>
      </c>
    </row>
    <row r="2600" ht="12.75" customHeight="1">
      <c r="A2600" s="5" t="s">
        <v>8111</v>
      </c>
      <c r="B2600" s="10" t="s">
        <v>8112</v>
      </c>
      <c r="D2600" s="5" t="s">
        <v>46</v>
      </c>
      <c r="E2600" s="5" t="s">
        <v>42</v>
      </c>
      <c r="F2600" s="5" t="s">
        <v>2638</v>
      </c>
      <c r="H2600" s="5" t="s">
        <v>7480</v>
      </c>
      <c r="J2600" s="10" t="s">
        <v>72</v>
      </c>
    </row>
    <row r="2601" ht="12.75" customHeight="1">
      <c r="A2601" s="5" t="s">
        <v>8113</v>
      </c>
      <c r="B2601" s="5" t="s">
        <v>8114</v>
      </c>
      <c r="D2601" s="5" t="s">
        <v>22</v>
      </c>
      <c r="E2601" s="5" t="s">
        <v>35</v>
      </c>
      <c r="F2601" s="5" t="s">
        <v>189</v>
      </c>
      <c r="H2601" s="5" t="s">
        <v>7483</v>
      </c>
      <c r="J2601" s="10" t="s">
        <v>72</v>
      </c>
    </row>
    <row r="2602" ht="12.75" customHeight="1">
      <c r="A2602" s="5" t="s">
        <v>8115</v>
      </c>
      <c r="B2602" s="5" t="s">
        <v>8116</v>
      </c>
      <c r="D2602" s="5" t="s">
        <v>22</v>
      </c>
      <c r="E2602" s="5" t="s">
        <v>42</v>
      </c>
      <c r="F2602" s="5" t="s">
        <v>672</v>
      </c>
      <c r="H2602" s="5" t="s">
        <v>7483</v>
      </c>
      <c r="J2602" s="10" t="s">
        <v>72</v>
      </c>
    </row>
    <row r="2603" ht="12.75" customHeight="1">
      <c r="A2603" s="5" t="s">
        <v>8117</v>
      </c>
      <c r="B2603" s="5" t="s">
        <v>8118</v>
      </c>
      <c r="D2603" s="5" t="s">
        <v>30</v>
      </c>
      <c r="E2603" s="5" t="s">
        <v>35</v>
      </c>
      <c r="F2603" s="5" t="s">
        <v>2401</v>
      </c>
      <c r="H2603" s="5" t="s">
        <v>7483</v>
      </c>
      <c r="J2603" s="10" t="s">
        <v>72</v>
      </c>
    </row>
    <row r="2604" ht="12.75" customHeight="1">
      <c r="A2604" s="5" t="s">
        <v>8119</v>
      </c>
      <c r="B2604" s="5" t="s">
        <v>8120</v>
      </c>
      <c r="D2604" s="5" t="s">
        <v>30</v>
      </c>
      <c r="E2604" s="5" t="s">
        <v>42</v>
      </c>
      <c r="F2604" s="5" t="s">
        <v>157</v>
      </c>
      <c r="H2604" s="5" t="s">
        <v>7483</v>
      </c>
      <c r="J2604" s="10" t="s">
        <v>72</v>
      </c>
    </row>
    <row r="2605" ht="12.75" customHeight="1">
      <c r="A2605" s="5" t="s">
        <v>8121</v>
      </c>
      <c r="B2605" s="5" t="s">
        <v>8122</v>
      </c>
      <c r="D2605" s="5" t="s">
        <v>46</v>
      </c>
      <c r="E2605" s="5" t="s">
        <v>35</v>
      </c>
      <c r="F2605" s="5" t="s">
        <v>1896</v>
      </c>
      <c r="H2605" s="5" t="s">
        <v>7483</v>
      </c>
      <c r="J2605" s="10" t="s">
        <v>72</v>
      </c>
    </row>
    <row r="2606" ht="12.75" customHeight="1">
      <c r="A2606" s="5" t="s">
        <v>8123</v>
      </c>
      <c r="B2606" s="5" t="s">
        <v>8124</v>
      </c>
      <c r="D2606" s="5" t="s">
        <v>46</v>
      </c>
      <c r="E2606" s="5" t="s">
        <v>42</v>
      </c>
      <c r="F2606" s="5" t="s">
        <v>2218</v>
      </c>
      <c r="H2606" s="5" t="s">
        <v>7483</v>
      </c>
      <c r="J2606" s="10" t="s">
        <v>72</v>
      </c>
    </row>
    <row r="2607" ht="12.75" customHeight="1">
      <c r="A2607" s="5" t="s">
        <v>8125</v>
      </c>
      <c r="B2607" s="5" t="s">
        <v>8126</v>
      </c>
      <c r="D2607" s="5" t="s">
        <v>50</v>
      </c>
      <c r="E2607" s="5" t="s">
        <v>35</v>
      </c>
      <c r="F2607" s="5" t="s">
        <v>71</v>
      </c>
      <c r="H2607" s="5" t="s">
        <v>7483</v>
      </c>
      <c r="J2607" s="10" t="s">
        <v>72</v>
      </c>
    </row>
    <row r="2608" ht="12.75" customHeight="1">
      <c r="A2608" s="5" t="s">
        <v>8127</v>
      </c>
      <c r="B2608" s="5" t="s">
        <v>8128</v>
      </c>
      <c r="D2608" s="5" t="s">
        <v>50</v>
      </c>
      <c r="E2608" s="5" t="s">
        <v>42</v>
      </c>
      <c r="F2608" s="5" t="s">
        <v>599</v>
      </c>
      <c r="H2608" s="5" t="s">
        <v>7483</v>
      </c>
      <c r="J2608" s="10" t="s">
        <v>72</v>
      </c>
    </row>
    <row r="2609" ht="12.75" customHeight="1">
      <c r="A2609" s="5" t="s">
        <v>8129</v>
      </c>
      <c r="B2609" s="10" t="s">
        <v>8130</v>
      </c>
      <c r="D2609" s="5" t="s">
        <v>22</v>
      </c>
      <c r="E2609" s="5" t="s">
        <v>35</v>
      </c>
      <c r="F2609" s="5" t="s">
        <v>172</v>
      </c>
      <c r="H2609" s="5" t="s">
        <v>7515</v>
      </c>
      <c r="J2609" s="10" t="s">
        <v>72</v>
      </c>
    </row>
    <row r="2610" ht="12.75" customHeight="1">
      <c r="A2610" s="5" t="s">
        <v>8131</v>
      </c>
      <c r="B2610" s="10" t="s">
        <v>8132</v>
      </c>
      <c r="D2610" s="5" t="s">
        <v>22</v>
      </c>
      <c r="E2610" s="5" t="s">
        <v>42</v>
      </c>
      <c r="F2610" s="5" t="s">
        <v>575</v>
      </c>
      <c r="H2610" s="5" t="s">
        <v>7515</v>
      </c>
      <c r="J2610" s="10" t="s">
        <v>72</v>
      </c>
    </row>
    <row r="2611" ht="12.75" customHeight="1">
      <c r="A2611" s="5" t="s">
        <v>8133</v>
      </c>
      <c r="B2611" s="10" t="s">
        <v>8134</v>
      </c>
      <c r="D2611" s="5" t="s">
        <v>46</v>
      </c>
      <c r="E2611" s="5" t="s">
        <v>35</v>
      </c>
      <c r="F2611" s="5" t="s">
        <v>680</v>
      </c>
      <c r="H2611" s="5" t="s">
        <v>7515</v>
      </c>
      <c r="J2611" s="10" t="s">
        <v>72</v>
      </c>
    </row>
    <row r="2612" ht="12.75" customHeight="1">
      <c r="A2612" s="5" t="s">
        <v>8135</v>
      </c>
      <c r="B2612" s="10" t="s">
        <v>8136</v>
      </c>
      <c r="D2612" s="5" t="s">
        <v>46</v>
      </c>
      <c r="E2612" s="5" t="s">
        <v>42</v>
      </c>
      <c r="F2612" s="5" t="s">
        <v>2218</v>
      </c>
      <c r="H2612" s="5" t="s">
        <v>7515</v>
      </c>
      <c r="J2612" s="10" t="s">
        <v>72</v>
      </c>
    </row>
    <row r="2613" ht="12.75" customHeight="1">
      <c r="A2613" s="5" t="s">
        <v>8137</v>
      </c>
      <c r="B2613" s="5" t="s">
        <v>8138</v>
      </c>
      <c r="D2613" s="5" t="s">
        <v>22</v>
      </c>
      <c r="E2613" s="5" t="s">
        <v>35</v>
      </c>
      <c r="F2613" s="5" t="s">
        <v>868</v>
      </c>
      <c r="H2613" s="5" t="s">
        <v>7518</v>
      </c>
      <c r="J2613" s="10" t="s">
        <v>72</v>
      </c>
    </row>
    <row r="2614" ht="12.75" customHeight="1">
      <c r="A2614" s="5" t="s">
        <v>8139</v>
      </c>
      <c r="B2614" s="5" t="s">
        <v>8140</v>
      </c>
      <c r="D2614" s="5" t="s">
        <v>22</v>
      </c>
      <c r="E2614" s="5" t="s">
        <v>42</v>
      </c>
      <c r="F2614" s="5" t="s">
        <v>720</v>
      </c>
      <c r="H2614" s="5" t="s">
        <v>7518</v>
      </c>
      <c r="J2614" s="10" t="s">
        <v>72</v>
      </c>
    </row>
    <row r="2615" ht="12.75" customHeight="1">
      <c r="A2615" s="5" t="s">
        <v>8141</v>
      </c>
      <c r="B2615" s="5" t="s">
        <v>8142</v>
      </c>
      <c r="D2615" s="5" t="s">
        <v>30</v>
      </c>
      <c r="E2615" s="5" t="s">
        <v>35</v>
      </c>
      <c r="F2615" s="5" t="s">
        <v>545</v>
      </c>
      <c r="H2615" s="5" t="s">
        <v>7518</v>
      </c>
      <c r="J2615" s="10" t="s">
        <v>72</v>
      </c>
    </row>
    <row r="2616" ht="12.75" customHeight="1">
      <c r="A2616" s="5" t="s">
        <v>8143</v>
      </c>
      <c r="B2616" s="5" t="s">
        <v>8144</v>
      </c>
      <c r="D2616" s="5" t="s">
        <v>30</v>
      </c>
      <c r="E2616" s="5" t="s">
        <v>42</v>
      </c>
      <c r="F2616" s="5" t="s">
        <v>157</v>
      </c>
      <c r="H2616" s="5" t="s">
        <v>7518</v>
      </c>
      <c r="J2616" s="10" t="s">
        <v>72</v>
      </c>
    </row>
    <row r="2617" ht="12.75" customHeight="1">
      <c r="A2617" s="5" t="s">
        <v>8145</v>
      </c>
      <c r="B2617" s="5" t="s">
        <v>8146</v>
      </c>
      <c r="D2617" s="5" t="s">
        <v>46</v>
      </c>
      <c r="E2617" s="5" t="s">
        <v>35</v>
      </c>
      <c r="F2617" s="5" t="s">
        <v>1334</v>
      </c>
      <c r="H2617" s="5" t="s">
        <v>7518</v>
      </c>
      <c r="J2617" s="10" t="s">
        <v>72</v>
      </c>
    </row>
    <row r="2618" ht="12.75" customHeight="1">
      <c r="A2618" s="5" t="s">
        <v>8147</v>
      </c>
      <c r="B2618" s="5" t="s">
        <v>8148</v>
      </c>
      <c r="D2618" s="5" t="s">
        <v>46</v>
      </c>
      <c r="E2618" s="5" t="s">
        <v>42</v>
      </c>
      <c r="F2618" s="5" t="s">
        <v>3107</v>
      </c>
      <c r="H2618" s="5" t="s">
        <v>7518</v>
      </c>
      <c r="J2618" s="10" t="s">
        <v>72</v>
      </c>
    </row>
    <row r="2619" ht="12.75" customHeight="1">
      <c r="A2619" s="5" t="s">
        <v>8149</v>
      </c>
      <c r="B2619" s="5" t="s">
        <v>8150</v>
      </c>
      <c r="D2619" s="5" t="s">
        <v>50</v>
      </c>
      <c r="E2619" s="5" t="s">
        <v>35</v>
      </c>
      <c r="F2619" s="5" t="s">
        <v>4630</v>
      </c>
      <c r="H2619" s="5" t="s">
        <v>7518</v>
      </c>
      <c r="J2619" s="10" t="s">
        <v>72</v>
      </c>
    </row>
    <row r="2620" ht="12.75" customHeight="1">
      <c r="A2620" s="5" t="s">
        <v>8151</v>
      </c>
      <c r="B2620" s="5" t="s">
        <v>8152</v>
      </c>
      <c r="D2620" s="5" t="s">
        <v>50</v>
      </c>
      <c r="E2620" s="5" t="s">
        <v>42</v>
      </c>
      <c r="F2620" s="5" t="s">
        <v>878</v>
      </c>
      <c r="H2620" s="5" t="s">
        <v>7518</v>
      </c>
      <c r="J2620" s="10" t="s">
        <v>72</v>
      </c>
    </row>
    <row r="2621" ht="12.75" customHeight="1">
      <c r="A2621" s="5" t="s">
        <v>8153</v>
      </c>
      <c r="B2621" s="10" t="s">
        <v>8154</v>
      </c>
      <c r="D2621" s="5" t="s">
        <v>22</v>
      </c>
      <c r="E2621" s="5" t="s">
        <v>35</v>
      </c>
      <c r="F2621" s="5" t="s">
        <v>278</v>
      </c>
      <c r="H2621" s="5" t="s">
        <v>7550</v>
      </c>
      <c r="J2621" s="10" t="s">
        <v>72</v>
      </c>
    </row>
    <row r="2622" ht="12.75" customHeight="1">
      <c r="A2622" s="5" t="s">
        <v>8155</v>
      </c>
      <c r="B2622" s="10" t="s">
        <v>8156</v>
      </c>
      <c r="D2622" s="5" t="s">
        <v>22</v>
      </c>
      <c r="E2622" s="5" t="s">
        <v>42</v>
      </c>
      <c r="F2622" s="5" t="s">
        <v>3665</v>
      </c>
      <c r="H2622" s="5" t="s">
        <v>7550</v>
      </c>
      <c r="J2622" s="10" t="s">
        <v>72</v>
      </c>
    </row>
    <row r="2623" ht="12.75" customHeight="1">
      <c r="A2623" s="5" t="s">
        <v>4160</v>
      </c>
      <c r="B2623" s="10" t="s">
        <v>8157</v>
      </c>
      <c r="D2623" s="5" t="s">
        <v>46</v>
      </c>
      <c r="E2623" s="5" t="s">
        <v>35</v>
      </c>
      <c r="F2623" s="5" t="s">
        <v>2401</v>
      </c>
      <c r="H2623" s="5" t="s">
        <v>7550</v>
      </c>
      <c r="J2623" s="10" t="s">
        <v>72</v>
      </c>
      <c r="K2623" s="5" t="s">
        <v>4157</v>
      </c>
    </row>
    <row r="2624" ht="12.75" customHeight="1">
      <c r="A2624" s="5" t="s">
        <v>8158</v>
      </c>
      <c r="B2624" s="10" t="s">
        <v>8159</v>
      </c>
      <c r="D2624" s="5" t="s">
        <v>46</v>
      </c>
      <c r="E2624" s="5" t="s">
        <v>42</v>
      </c>
      <c r="F2624" s="5" t="s">
        <v>395</v>
      </c>
      <c r="H2624" s="5" t="s">
        <v>7550</v>
      </c>
      <c r="J2624" s="10" t="s">
        <v>72</v>
      </c>
    </row>
    <row r="2625" ht="12.75" customHeight="1">
      <c r="A2625" s="5" t="s">
        <v>8160</v>
      </c>
      <c r="B2625" s="5" t="s">
        <v>8161</v>
      </c>
      <c r="D2625" s="5" t="s">
        <v>22</v>
      </c>
      <c r="E2625" s="5" t="s">
        <v>35</v>
      </c>
      <c r="F2625" s="5" t="s">
        <v>619</v>
      </c>
      <c r="H2625" s="5" t="s">
        <v>7553</v>
      </c>
      <c r="J2625" s="10" t="s">
        <v>72</v>
      </c>
    </row>
    <row r="2626" ht="12.75" customHeight="1">
      <c r="A2626" s="5" t="s">
        <v>8162</v>
      </c>
      <c r="B2626" s="5" t="s">
        <v>8163</v>
      </c>
      <c r="D2626" s="5" t="s">
        <v>22</v>
      </c>
      <c r="E2626" s="5" t="s">
        <v>42</v>
      </c>
      <c r="F2626" s="5" t="s">
        <v>720</v>
      </c>
      <c r="H2626" s="5" t="s">
        <v>7553</v>
      </c>
      <c r="J2626" s="10" t="s">
        <v>72</v>
      </c>
    </row>
    <row r="2627" ht="12.75" customHeight="1">
      <c r="A2627" s="5" t="s">
        <v>8164</v>
      </c>
      <c r="B2627" s="5" t="s">
        <v>8165</v>
      </c>
      <c r="D2627" s="5" t="s">
        <v>30</v>
      </c>
      <c r="E2627" s="5" t="s">
        <v>35</v>
      </c>
      <c r="F2627" s="5" t="s">
        <v>263</v>
      </c>
      <c r="H2627" s="5" t="s">
        <v>7553</v>
      </c>
      <c r="J2627" s="10" t="s">
        <v>72</v>
      </c>
    </row>
    <row r="2628" ht="12.75" customHeight="1">
      <c r="A2628" s="5" t="s">
        <v>8166</v>
      </c>
      <c r="B2628" s="5" t="s">
        <v>8167</v>
      </c>
      <c r="D2628" s="5" t="s">
        <v>30</v>
      </c>
      <c r="E2628" s="5" t="s">
        <v>42</v>
      </c>
      <c r="F2628" s="5" t="s">
        <v>2771</v>
      </c>
      <c r="H2628" s="5" t="s">
        <v>7553</v>
      </c>
      <c r="J2628" s="10" t="s">
        <v>72</v>
      </c>
    </row>
    <row r="2629" ht="12.75" customHeight="1">
      <c r="A2629" s="5" t="s">
        <v>8168</v>
      </c>
      <c r="B2629" s="5" t="s">
        <v>8169</v>
      </c>
      <c r="D2629" s="5" t="s">
        <v>46</v>
      </c>
      <c r="E2629" s="5" t="s">
        <v>35</v>
      </c>
      <c r="F2629" s="5" t="s">
        <v>1868</v>
      </c>
      <c r="H2629" s="5" t="s">
        <v>7553</v>
      </c>
      <c r="J2629" s="10" t="s">
        <v>72</v>
      </c>
    </row>
    <row r="2630" ht="12.75" customHeight="1">
      <c r="A2630" s="5" t="s">
        <v>8170</v>
      </c>
      <c r="B2630" s="5" t="s">
        <v>8171</v>
      </c>
      <c r="D2630" s="5" t="s">
        <v>46</v>
      </c>
      <c r="E2630" s="5" t="s">
        <v>42</v>
      </c>
      <c r="F2630" s="5" t="s">
        <v>1911</v>
      </c>
      <c r="H2630" s="5" t="s">
        <v>7553</v>
      </c>
      <c r="J2630" s="10" t="s">
        <v>72</v>
      </c>
    </row>
    <row r="2631" ht="12.75" customHeight="1">
      <c r="A2631" s="5" t="s">
        <v>8172</v>
      </c>
      <c r="B2631" s="5" t="s">
        <v>8173</v>
      </c>
      <c r="D2631" s="5" t="s">
        <v>50</v>
      </c>
      <c r="E2631" s="5" t="s">
        <v>35</v>
      </c>
      <c r="F2631" s="5" t="s">
        <v>619</v>
      </c>
      <c r="H2631" s="5" t="s">
        <v>7553</v>
      </c>
      <c r="J2631" s="10" t="s">
        <v>72</v>
      </c>
    </row>
    <row r="2632" ht="12.75" customHeight="1">
      <c r="A2632" s="5" t="s">
        <v>8174</v>
      </c>
      <c r="B2632" s="5" t="s">
        <v>8175</v>
      </c>
      <c r="D2632" s="5" t="s">
        <v>50</v>
      </c>
      <c r="E2632" s="5" t="s">
        <v>42</v>
      </c>
      <c r="F2632" s="5" t="s">
        <v>113</v>
      </c>
      <c r="H2632" s="5" t="s">
        <v>7553</v>
      </c>
      <c r="J2632" s="10" t="s">
        <v>72</v>
      </c>
    </row>
    <row r="2633" ht="12.75" customHeight="1">
      <c r="A2633" s="5" t="s">
        <v>8176</v>
      </c>
      <c r="B2633" s="5" t="s">
        <v>8177</v>
      </c>
      <c r="D2633" s="5" t="s">
        <v>22</v>
      </c>
      <c r="E2633" s="5" t="s">
        <v>35</v>
      </c>
      <c r="F2633" s="5" t="s">
        <v>278</v>
      </c>
      <c r="H2633" s="5" t="s">
        <v>7585</v>
      </c>
    </row>
    <row r="2634" ht="12.75" customHeight="1">
      <c r="A2634" s="5" t="s">
        <v>8178</v>
      </c>
      <c r="B2634" s="5" t="s">
        <v>8179</v>
      </c>
      <c r="D2634" s="5" t="s">
        <v>46</v>
      </c>
      <c r="E2634" s="5" t="s">
        <v>42</v>
      </c>
      <c r="F2634" s="5" t="s">
        <v>395</v>
      </c>
      <c r="H2634" s="5" t="s">
        <v>7585</v>
      </c>
    </row>
    <row r="2635" ht="12.75" customHeight="1">
      <c r="A2635" s="5" t="s">
        <v>8180</v>
      </c>
      <c r="B2635" s="5" t="s">
        <v>8181</v>
      </c>
      <c r="D2635" s="5" t="s">
        <v>22</v>
      </c>
      <c r="E2635" s="5" t="s">
        <v>35</v>
      </c>
      <c r="F2635" s="5" t="s">
        <v>619</v>
      </c>
      <c r="H2635" s="5" t="s">
        <v>7588</v>
      </c>
      <c r="J2635" s="10" t="s">
        <v>72</v>
      </c>
    </row>
    <row r="2636" ht="12.75" customHeight="1">
      <c r="A2636" s="5" t="s">
        <v>8182</v>
      </c>
      <c r="B2636" s="5" t="s">
        <v>8183</v>
      </c>
      <c r="D2636" s="5" t="s">
        <v>46</v>
      </c>
      <c r="E2636" s="5" t="s">
        <v>42</v>
      </c>
      <c r="F2636" s="5" t="s">
        <v>1911</v>
      </c>
      <c r="H2636" s="5" t="s">
        <v>7588</v>
      </c>
      <c r="J2636" s="10" t="s">
        <v>72</v>
      </c>
    </row>
    <row r="2637" ht="12.75" customHeight="1">
      <c r="A2637" s="5" t="s">
        <v>8184</v>
      </c>
      <c r="B2637" s="5" t="s">
        <v>8185</v>
      </c>
      <c r="D2637" s="5" t="s">
        <v>22</v>
      </c>
      <c r="E2637" s="5" t="s">
        <v>35</v>
      </c>
      <c r="F2637" s="5" t="s">
        <v>619</v>
      </c>
      <c r="H2637" s="5" t="s">
        <v>7393</v>
      </c>
      <c r="J2637" s="10" t="s">
        <v>72</v>
      </c>
    </row>
    <row r="2638" ht="12.75" customHeight="1">
      <c r="A2638" s="5" t="s">
        <v>8186</v>
      </c>
      <c r="B2638" s="5" t="s">
        <v>8187</v>
      </c>
      <c r="D2638" s="5" t="s">
        <v>22</v>
      </c>
      <c r="E2638" s="5" t="s">
        <v>42</v>
      </c>
      <c r="F2638" s="5" t="s">
        <v>43</v>
      </c>
      <c r="H2638" s="5" t="s">
        <v>7393</v>
      </c>
      <c r="J2638" s="10" t="s">
        <v>72</v>
      </c>
    </row>
    <row r="2639" ht="12.75" customHeight="1">
      <c r="A2639" s="5" t="s">
        <v>8188</v>
      </c>
      <c r="B2639" s="5" t="s">
        <v>8189</v>
      </c>
      <c r="D2639" s="5" t="s">
        <v>30</v>
      </c>
      <c r="E2639" s="5" t="s">
        <v>35</v>
      </c>
      <c r="F2639" s="5" t="s">
        <v>1143</v>
      </c>
      <c r="H2639" s="5" t="s">
        <v>7393</v>
      </c>
      <c r="J2639" s="10" t="s">
        <v>72</v>
      </c>
    </row>
    <row r="2640" ht="12.75" customHeight="1">
      <c r="A2640" s="5" t="s">
        <v>8190</v>
      </c>
      <c r="B2640" s="5" t="s">
        <v>8191</v>
      </c>
      <c r="D2640" s="5" t="s">
        <v>30</v>
      </c>
      <c r="E2640" s="5" t="s">
        <v>42</v>
      </c>
      <c r="F2640" s="5" t="s">
        <v>395</v>
      </c>
      <c r="H2640" s="5" t="s">
        <v>7393</v>
      </c>
      <c r="J2640" s="10" t="s">
        <v>72</v>
      </c>
    </row>
    <row r="2641" ht="12.75" customHeight="1">
      <c r="A2641" s="5" t="s">
        <v>8192</v>
      </c>
      <c r="B2641" s="5" t="s">
        <v>8193</v>
      </c>
      <c r="D2641" s="5" t="s">
        <v>46</v>
      </c>
      <c r="E2641" s="5" t="s">
        <v>35</v>
      </c>
      <c r="F2641" s="5" t="s">
        <v>545</v>
      </c>
      <c r="H2641" s="5" t="s">
        <v>7393</v>
      </c>
      <c r="J2641" s="10" t="s">
        <v>72</v>
      </c>
    </row>
    <row r="2642" ht="12.75" customHeight="1">
      <c r="A2642" s="5" t="s">
        <v>8194</v>
      </c>
      <c r="B2642" s="5" t="s">
        <v>8195</v>
      </c>
      <c r="D2642" s="5" t="s">
        <v>46</v>
      </c>
      <c r="E2642" s="5" t="s">
        <v>42</v>
      </c>
      <c r="F2642" s="5" t="s">
        <v>157</v>
      </c>
      <c r="H2642" s="5" t="s">
        <v>7393</v>
      </c>
      <c r="J2642" s="10" t="s">
        <v>72</v>
      </c>
    </row>
    <row r="2643" ht="12.75" customHeight="1">
      <c r="A2643" s="5" t="s">
        <v>8196</v>
      </c>
      <c r="B2643" s="5" t="s">
        <v>8197</v>
      </c>
      <c r="D2643" s="5" t="s">
        <v>50</v>
      </c>
      <c r="E2643" s="5" t="s">
        <v>35</v>
      </c>
      <c r="F2643" s="5" t="s">
        <v>172</v>
      </c>
      <c r="H2643" s="5" t="s">
        <v>7393</v>
      </c>
      <c r="J2643" s="10" t="s">
        <v>72</v>
      </c>
    </row>
    <row r="2644" ht="12.75" customHeight="1">
      <c r="A2644" s="5" t="s">
        <v>8198</v>
      </c>
      <c r="B2644" s="5" t="s">
        <v>8199</v>
      </c>
      <c r="D2644" s="5" t="s">
        <v>50</v>
      </c>
      <c r="E2644" s="5" t="s">
        <v>42</v>
      </c>
      <c r="F2644" s="5" t="s">
        <v>83</v>
      </c>
      <c r="H2644" s="5" t="s">
        <v>7393</v>
      </c>
      <c r="J2644" s="10" t="s">
        <v>72</v>
      </c>
    </row>
    <row r="2645" ht="12.75" customHeight="1">
      <c r="A2645" s="5" t="s">
        <v>8200</v>
      </c>
      <c r="B2645" s="10" t="s">
        <v>8201</v>
      </c>
      <c r="D2645" s="5" t="s">
        <v>22</v>
      </c>
      <c r="E2645" s="5" t="s">
        <v>35</v>
      </c>
      <c r="F2645" s="5" t="s">
        <v>36</v>
      </c>
      <c r="H2645" s="5" t="s">
        <v>7415</v>
      </c>
      <c r="J2645" s="10" t="s">
        <v>72</v>
      </c>
    </row>
    <row r="2646" ht="12.75" customHeight="1">
      <c r="A2646" s="5" t="s">
        <v>8202</v>
      </c>
      <c r="B2646" s="10" t="s">
        <v>8203</v>
      </c>
      <c r="D2646" s="5" t="s">
        <v>22</v>
      </c>
      <c r="E2646" s="5" t="s">
        <v>42</v>
      </c>
      <c r="F2646" s="5" t="s">
        <v>43</v>
      </c>
      <c r="H2646" s="5" t="s">
        <v>7415</v>
      </c>
      <c r="J2646" s="10" t="s">
        <v>72</v>
      </c>
    </row>
    <row r="2647" ht="12.75" customHeight="1">
      <c r="A2647" s="5" t="s">
        <v>8204</v>
      </c>
      <c r="B2647" s="10" t="s">
        <v>8205</v>
      </c>
      <c r="D2647" s="5" t="s">
        <v>46</v>
      </c>
      <c r="E2647" s="5" t="s">
        <v>35</v>
      </c>
      <c r="F2647" s="5" t="s">
        <v>2401</v>
      </c>
      <c r="H2647" s="5" t="s">
        <v>7415</v>
      </c>
      <c r="J2647" s="10" t="s">
        <v>72</v>
      </c>
    </row>
    <row r="2648" ht="12.75" customHeight="1">
      <c r="A2648" s="5" t="s">
        <v>8206</v>
      </c>
      <c r="B2648" s="10" t="s">
        <v>8207</v>
      </c>
      <c r="D2648" s="5" t="s">
        <v>46</v>
      </c>
      <c r="E2648" s="5" t="s">
        <v>42</v>
      </c>
      <c r="F2648" s="5" t="s">
        <v>974</v>
      </c>
      <c r="H2648" s="5" t="s">
        <v>7415</v>
      </c>
      <c r="J2648" s="10" t="s">
        <v>72</v>
      </c>
    </row>
    <row r="2649" ht="12.75" customHeight="1">
      <c r="A2649" s="5" t="s">
        <v>8208</v>
      </c>
      <c r="B2649" s="5" t="s">
        <v>8209</v>
      </c>
      <c r="D2649" s="5" t="s">
        <v>22</v>
      </c>
      <c r="E2649" s="5" t="s">
        <v>35</v>
      </c>
      <c r="F2649" s="5" t="s">
        <v>77</v>
      </c>
      <c r="H2649" s="5" t="s">
        <v>7418</v>
      </c>
      <c r="J2649" s="10" t="s">
        <v>72</v>
      </c>
    </row>
    <row r="2650" ht="12.75" customHeight="1">
      <c r="A2650" s="5" t="s">
        <v>8210</v>
      </c>
      <c r="B2650" s="5" t="s">
        <v>8211</v>
      </c>
      <c r="D2650" s="5" t="s">
        <v>22</v>
      </c>
      <c r="E2650" s="5" t="s">
        <v>42</v>
      </c>
      <c r="F2650" s="5" t="s">
        <v>43</v>
      </c>
      <c r="H2650" s="5" t="s">
        <v>7418</v>
      </c>
      <c r="J2650" s="10" t="s">
        <v>72</v>
      </c>
    </row>
    <row r="2651" ht="12.75" customHeight="1">
      <c r="A2651" s="5" t="s">
        <v>8212</v>
      </c>
      <c r="B2651" s="5" t="s">
        <v>8213</v>
      </c>
      <c r="D2651" s="5" t="s">
        <v>30</v>
      </c>
      <c r="E2651" s="5" t="s">
        <v>35</v>
      </c>
      <c r="F2651" s="5" t="s">
        <v>1831</v>
      </c>
      <c r="H2651" s="5" t="s">
        <v>7418</v>
      </c>
      <c r="J2651" s="10" t="s">
        <v>72</v>
      </c>
    </row>
    <row r="2652" ht="12.75" customHeight="1">
      <c r="A2652" s="5" t="s">
        <v>8214</v>
      </c>
      <c r="B2652" s="5" t="s">
        <v>8215</v>
      </c>
      <c r="D2652" s="5" t="s">
        <v>30</v>
      </c>
      <c r="E2652" s="5" t="s">
        <v>42</v>
      </c>
      <c r="F2652" s="5" t="s">
        <v>2638</v>
      </c>
      <c r="H2652" s="5" t="s">
        <v>7418</v>
      </c>
      <c r="J2652" s="10" t="s">
        <v>72</v>
      </c>
    </row>
    <row r="2653" ht="12.75" customHeight="1">
      <c r="A2653" s="5" t="s">
        <v>8216</v>
      </c>
      <c r="B2653" s="5" t="s">
        <v>8217</v>
      </c>
      <c r="D2653" s="5" t="s">
        <v>46</v>
      </c>
      <c r="E2653" s="5" t="s">
        <v>35</v>
      </c>
      <c r="F2653" s="5" t="s">
        <v>96</v>
      </c>
      <c r="H2653" s="5" t="s">
        <v>7418</v>
      </c>
      <c r="J2653" s="10" t="s">
        <v>72</v>
      </c>
    </row>
    <row r="2654" ht="12.75" customHeight="1">
      <c r="A2654" s="5" t="s">
        <v>8218</v>
      </c>
      <c r="B2654" s="5" t="s">
        <v>8219</v>
      </c>
      <c r="D2654" s="5" t="s">
        <v>46</v>
      </c>
      <c r="E2654" s="5" t="s">
        <v>42</v>
      </c>
      <c r="F2654" s="5" t="s">
        <v>974</v>
      </c>
      <c r="H2654" s="5" t="s">
        <v>7418</v>
      </c>
      <c r="J2654" s="10" t="s">
        <v>72</v>
      </c>
    </row>
    <row r="2655" ht="12.75" customHeight="1">
      <c r="A2655" s="5" t="s">
        <v>8220</v>
      </c>
      <c r="B2655" s="5" t="s">
        <v>8221</v>
      </c>
      <c r="D2655" s="5" t="s">
        <v>50</v>
      </c>
      <c r="E2655" s="5" t="s">
        <v>35</v>
      </c>
      <c r="F2655" s="5" t="s">
        <v>619</v>
      </c>
      <c r="H2655" s="5" t="s">
        <v>7418</v>
      </c>
      <c r="J2655" s="10" t="s">
        <v>72</v>
      </c>
    </row>
    <row r="2656" ht="12.75" customHeight="1">
      <c r="A2656" s="5" t="s">
        <v>8222</v>
      </c>
      <c r="B2656" s="5" t="s">
        <v>8223</v>
      </c>
      <c r="D2656" s="5" t="s">
        <v>50</v>
      </c>
      <c r="E2656" s="5" t="s">
        <v>42</v>
      </c>
      <c r="F2656" s="5" t="s">
        <v>113</v>
      </c>
      <c r="H2656" s="5" t="s">
        <v>7418</v>
      </c>
      <c r="J2656" s="10" t="s">
        <v>72</v>
      </c>
    </row>
    <row r="2657" ht="12.75" customHeight="1">
      <c r="A2657" s="5" t="s">
        <v>8224</v>
      </c>
      <c r="B2657" s="10" t="s">
        <v>8225</v>
      </c>
      <c r="D2657" s="5" t="s">
        <v>22</v>
      </c>
      <c r="E2657" s="5" t="s">
        <v>35</v>
      </c>
      <c r="F2657" s="5" t="s">
        <v>77</v>
      </c>
      <c r="H2657" s="5" t="s">
        <v>7449</v>
      </c>
      <c r="J2657" s="10" t="s">
        <v>72</v>
      </c>
    </row>
    <row r="2658" ht="12.75" customHeight="1">
      <c r="A2658" s="5" t="s">
        <v>8226</v>
      </c>
      <c r="B2658" s="10" t="s">
        <v>8227</v>
      </c>
      <c r="D2658" s="5" t="s">
        <v>22</v>
      </c>
      <c r="E2658" s="5" t="s">
        <v>42</v>
      </c>
      <c r="F2658" s="5" t="s">
        <v>672</v>
      </c>
      <c r="H2658" s="5" t="s">
        <v>7449</v>
      </c>
      <c r="J2658" s="10" t="s">
        <v>72</v>
      </c>
    </row>
    <row r="2659" ht="12.75" customHeight="1">
      <c r="A2659" s="5" t="s">
        <v>8228</v>
      </c>
      <c r="B2659" s="10" t="s">
        <v>8229</v>
      </c>
      <c r="D2659" s="5" t="s">
        <v>46</v>
      </c>
      <c r="E2659" s="5" t="s">
        <v>35</v>
      </c>
      <c r="F2659" s="5" t="s">
        <v>1896</v>
      </c>
      <c r="H2659" s="5" t="s">
        <v>7449</v>
      </c>
      <c r="J2659" s="10" t="s">
        <v>72</v>
      </c>
    </row>
    <row r="2660" ht="12.75" customHeight="1">
      <c r="A2660" s="5" t="s">
        <v>8230</v>
      </c>
      <c r="B2660" s="10" t="s">
        <v>8231</v>
      </c>
      <c r="D2660" s="5" t="s">
        <v>46</v>
      </c>
      <c r="E2660" s="5" t="s">
        <v>42</v>
      </c>
      <c r="F2660" s="5" t="s">
        <v>211</v>
      </c>
      <c r="H2660" s="5" t="s">
        <v>7449</v>
      </c>
      <c r="J2660" s="10" t="s">
        <v>72</v>
      </c>
    </row>
    <row r="2661" ht="12.75" customHeight="1">
      <c r="A2661" s="5" t="s">
        <v>8232</v>
      </c>
      <c r="B2661" s="5" t="s">
        <v>8233</v>
      </c>
      <c r="D2661" s="5" t="s">
        <v>22</v>
      </c>
      <c r="E2661" s="5" t="s">
        <v>35</v>
      </c>
      <c r="F2661" s="5" t="s">
        <v>71</v>
      </c>
      <c r="H2661" s="5" t="s">
        <v>7452</v>
      </c>
      <c r="J2661" s="10" t="s">
        <v>72</v>
      </c>
    </row>
    <row r="2662" ht="12.75" customHeight="1">
      <c r="A2662" s="5" t="s">
        <v>8234</v>
      </c>
      <c r="B2662" s="5" t="s">
        <v>8235</v>
      </c>
      <c r="D2662" s="5" t="s">
        <v>22</v>
      </c>
      <c r="E2662" s="5" t="s">
        <v>42</v>
      </c>
      <c r="F2662" s="5" t="s">
        <v>162</v>
      </c>
      <c r="H2662" s="5" t="s">
        <v>7452</v>
      </c>
      <c r="J2662" s="10" t="s">
        <v>72</v>
      </c>
    </row>
    <row r="2663" ht="12.75" customHeight="1">
      <c r="A2663" s="5" t="s">
        <v>8236</v>
      </c>
      <c r="B2663" s="5" t="s">
        <v>8237</v>
      </c>
      <c r="D2663" s="5" t="s">
        <v>30</v>
      </c>
      <c r="E2663" s="5" t="s">
        <v>35</v>
      </c>
      <c r="F2663" s="5" t="s">
        <v>4410</v>
      </c>
      <c r="H2663" s="5" t="s">
        <v>7452</v>
      </c>
      <c r="J2663" s="10" t="s">
        <v>72</v>
      </c>
    </row>
    <row r="2664" ht="12.75" customHeight="1">
      <c r="A2664" s="5" t="s">
        <v>8238</v>
      </c>
      <c r="B2664" s="5" t="s">
        <v>8239</v>
      </c>
      <c r="D2664" s="5" t="s">
        <v>30</v>
      </c>
      <c r="E2664" s="5" t="s">
        <v>42</v>
      </c>
      <c r="F2664" s="5" t="s">
        <v>535</v>
      </c>
      <c r="H2664" s="5" t="s">
        <v>7452</v>
      </c>
      <c r="J2664" s="10" t="s">
        <v>72</v>
      </c>
    </row>
    <row r="2665" ht="12.75" customHeight="1">
      <c r="A2665" s="5" t="s">
        <v>8240</v>
      </c>
      <c r="B2665" s="5" t="s">
        <v>8241</v>
      </c>
      <c r="D2665" s="5" t="s">
        <v>46</v>
      </c>
      <c r="E2665" s="5" t="s">
        <v>35</v>
      </c>
      <c r="F2665" s="5" t="s">
        <v>1886</v>
      </c>
      <c r="H2665" s="5" t="s">
        <v>7452</v>
      </c>
      <c r="J2665" s="10" t="s">
        <v>72</v>
      </c>
    </row>
    <row r="2666" ht="12.75" customHeight="1">
      <c r="A2666" s="5" t="s">
        <v>8242</v>
      </c>
      <c r="B2666" s="5" t="s">
        <v>8243</v>
      </c>
      <c r="D2666" s="5" t="s">
        <v>46</v>
      </c>
      <c r="E2666" s="5" t="s">
        <v>42</v>
      </c>
      <c r="F2666" s="5" t="s">
        <v>395</v>
      </c>
      <c r="H2666" s="5" t="s">
        <v>7452</v>
      </c>
      <c r="J2666" s="10" t="s">
        <v>72</v>
      </c>
    </row>
    <row r="2667" ht="12.75" customHeight="1">
      <c r="A2667" s="5" t="s">
        <v>8244</v>
      </c>
      <c r="B2667" s="5" t="s">
        <v>8245</v>
      </c>
      <c r="D2667" s="5" t="s">
        <v>50</v>
      </c>
      <c r="E2667" s="5" t="s">
        <v>35</v>
      </c>
      <c r="F2667" s="5" t="s">
        <v>616</v>
      </c>
      <c r="H2667" s="5" t="s">
        <v>7452</v>
      </c>
      <c r="J2667" s="10" t="s">
        <v>72</v>
      </c>
    </row>
    <row r="2668" ht="12.75" customHeight="1">
      <c r="A2668" s="5" t="s">
        <v>8246</v>
      </c>
      <c r="B2668" s="5" t="s">
        <v>8247</v>
      </c>
      <c r="D2668" s="5" t="s">
        <v>50</v>
      </c>
      <c r="E2668" s="5" t="s">
        <v>42</v>
      </c>
      <c r="F2668" s="5" t="s">
        <v>83</v>
      </c>
      <c r="H2668" s="5" t="s">
        <v>7452</v>
      </c>
      <c r="J2668" s="10" t="s">
        <v>72</v>
      </c>
    </row>
    <row r="2669" ht="12.75" customHeight="1">
      <c r="A2669" s="5" t="s">
        <v>8248</v>
      </c>
      <c r="B2669" s="10" t="s">
        <v>8249</v>
      </c>
      <c r="D2669" s="5" t="s">
        <v>22</v>
      </c>
      <c r="E2669" s="5" t="s">
        <v>35</v>
      </c>
      <c r="F2669" s="5" t="s">
        <v>913</v>
      </c>
      <c r="H2669" s="5" t="s">
        <v>7485</v>
      </c>
      <c r="J2669" s="10" t="s">
        <v>72</v>
      </c>
    </row>
    <row r="2670" ht="12.75" customHeight="1">
      <c r="A2670" s="5" t="s">
        <v>8250</v>
      </c>
      <c r="B2670" s="5" t="s">
        <v>8251</v>
      </c>
      <c r="D2670" s="5" t="s">
        <v>22</v>
      </c>
      <c r="E2670" s="5" t="s">
        <v>42</v>
      </c>
      <c r="F2670" s="5" t="s">
        <v>720</v>
      </c>
      <c r="H2670" s="5" t="s">
        <v>7485</v>
      </c>
      <c r="J2670" s="10" t="s">
        <v>72</v>
      </c>
    </row>
    <row r="2671" ht="12.75" customHeight="1">
      <c r="A2671" s="5" t="s">
        <v>8252</v>
      </c>
      <c r="B2671" s="5" t="s">
        <v>8253</v>
      </c>
      <c r="D2671" s="5" t="s">
        <v>46</v>
      </c>
      <c r="E2671" s="5" t="s">
        <v>35</v>
      </c>
      <c r="F2671" s="5" t="s">
        <v>1896</v>
      </c>
      <c r="H2671" s="5" t="s">
        <v>7485</v>
      </c>
      <c r="J2671" s="10" t="s">
        <v>72</v>
      </c>
    </row>
    <row r="2672" ht="12.75" customHeight="1">
      <c r="A2672" s="5" t="s">
        <v>8254</v>
      </c>
      <c r="B2672" s="5" t="s">
        <v>8255</v>
      </c>
      <c r="D2672" s="5" t="s">
        <v>46</v>
      </c>
      <c r="E2672" s="5" t="s">
        <v>42</v>
      </c>
      <c r="F2672" s="5" t="s">
        <v>1911</v>
      </c>
      <c r="H2672" s="5" t="s">
        <v>7485</v>
      </c>
      <c r="J2672" s="10" t="s">
        <v>72</v>
      </c>
    </row>
    <row r="2673" ht="12.75" customHeight="1">
      <c r="A2673" s="5" t="s">
        <v>8256</v>
      </c>
      <c r="B2673" s="5" t="s">
        <v>8257</v>
      </c>
      <c r="D2673" s="5" t="s">
        <v>22</v>
      </c>
      <c r="E2673" s="5" t="s">
        <v>35</v>
      </c>
      <c r="F2673" s="5" t="s">
        <v>77</v>
      </c>
      <c r="H2673" s="5" t="s">
        <v>7488</v>
      </c>
      <c r="J2673" s="10" t="s">
        <v>72</v>
      </c>
    </row>
    <row r="2674" ht="12.75" customHeight="1">
      <c r="A2674" s="5" t="s">
        <v>8258</v>
      </c>
      <c r="B2674" s="5" t="s">
        <v>8259</v>
      </c>
      <c r="D2674" s="5" t="s">
        <v>22</v>
      </c>
      <c r="E2674" s="5" t="s">
        <v>42</v>
      </c>
      <c r="F2674" s="5" t="s">
        <v>720</v>
      </c>
      <c r="H2674" s="5" t="s">
        <v>7488</v>
      </c>
      <c r="J2674" s="10" t="s">
        <v>72</v>
      </c>
    </row>
    <row r="2675" ht="12.75" customHeight="1">
      <c r="A2675" s="5" t="s">
        <v>8260</v>
      </c>
      <c r="B2675" s="5" t="s">
        <v>8261</v>
      </c>
      <c r="D2675" s="5" t="s">
        <v>30</v>
      </c>
      <c r="E2675" s="5" t="s">
        <v>35</v>
      </c>
      <c r="F2675" s="5" t="s">
        <v>96</v>
      </c>
      <c r="H2675" s="5" t="s">
        <v>7488</v>
      </c>
      <c r="J2675" s="10" t="s">
        <v>72</v>
      </c>
    </row>
    <row r="2676" ht="12.75" customHeight="1">
      <c r="A2676" s="5" t="s">
        <v>8262</v>
      </c>
      <c r="B2676" s="5" t="s">
        <v>8263</v>
      </c>
      <c r="D2676" s="5" t="s">
        <v>30</v>
      </c>
      <c r="E2676" s="5" t="s">
        <v>42</v>
      </c>
      <c r="F2676" s="5" t="s">
        <v>157</v>
      </c>
      <c r="H2676" s="5" t="s">
        <v>7488</v>
      </c>
      <c r="J2676" s="10" t="s">
        <v>72</v>
      </c>
    </row>
    <row r="2677" ht="12.75" customHeight="1">
      <c r="A2677" s="5" t="s">
        <v>8264</v>
      </c>
      <c r="B2677" s="5" t="s">
        <v>8265</v>
      </c>
      <c r="D2677" s="5" t="s">
        <v>46</v>
      </c>
      <c r="E2677" s="5" t="s">
        <v>35</v>
      </c>
      <c r="F2677" s="5" t="s">
        <v>96</v>
      </c>
      <c r="H2677" s="5" t="s">
        <v>7488</v>
      </c>
      <c r="J2677" s="10" t="s">
        <v>72</v>
      </c>
    </row>
    <row r="2678" ht="12.75" customHeight="1">
      <c r="A2678" s="5" t="s">
        <v>8266</v>
      </c>
      <c r="B2678" s="5" t="s">
        <v>8267</v>
      </c>
      <c r="D2678" s="5" t="s">
        <v>46</v>
      </c>
      <c r="E2678" s="5" t="s">
        <v>42</v>
      </c>
      <c r="F2678" s="5" t="s">
        <v>157</v>
      </c>
      <c r="H2678" s="5" t="s">
        <v>7488</v>
      </c>
      <c r="J2678" s="10" t="s">
        <v>72</v>
      </c>
    </row>
    <row r="2679" ht="12.75" customHeight="1">
      <c r="A2679" s="5" t="s">
        <v>8268</v>
      </c>
      <c r="B2679" s="5" t="s">
        <v>8269</v>
      </c>
      <c r="D2679" s="5" t="s">
        <v>50</v>
      </c>
      <c r="E2679" s="5" t="s">
        <v>35</v>
      </c>
      <c r="F2679" s="5" t="s">
        <v>619</v>
      </c>
      <c r="H2679" s="5" t="s">
        <v>7488</v>
      </c>
      <c r="J2679" s="10" t="s">
        <v>72</v>
      </c>
    </row>
    <row r="2680" ht="12.75" customHeight="1">
      <c r="A2680" s="5" t="s">
        <v>8270</v>
      </c>
      <c r="B2680" s="5" t="s">
        <v>8271</v>
      </c>
      <c r="D2680" s="5" t="s">
        <v>50</v>
      </c>
      <c r="E2680" s="5" t="s">
        <v>42</v>
      </c>
      <c r="F2680" s="5" t="s">
        <v>720</v>
      </c>
      <c r="H2680" s="5" t="s">
        <v>7488</v>
      </c>
      <c r="J2680" s="10" t="s">
        <v>72</v>
      </c>
    </row>
    <row r="2681" ht="12.75" customHeight="1">
      <c r="A2681" s="5" t="s">
        <v>8272</v>
      </c>
      <c r="B2681" s="5" t="s">
        <v>8273</v>
      </c>
      <c r="D2681" s="5" t="s">
        <v>22</v>
      </c>
      <c r="E2681" s="5" t="s">
        <v>35</v>
      </c>
      <c r="F2681" s="5" t="s">
        <v>619</v>
      </c>
      <c r="H2681" s="5" t="s">
        <v>7520</v>
      </c>
      <c r="J2681" s="10" t="s">
        <v>72</v>
      </c>
    </row>
    <row r="2682" ht="12.75" customHeight="1">
      <c r="A2682" s="5" t="s">
        <v>8274</v>
      </c>
      <c r="B2682" s="5" t="s">
        <v>8275</v>
      </c>
      <c r="D2682" s="5" t="s">
        <v>22</v>
      </c>
      <c r="E2682" s="5" t="s">
        <v>42</v>
      </c>
      <c r="F2682" s="5" t="s">
        <v>720</v>
      </c>
      <c r="H2682" s="5" t="s">
        <v>7520</v>
      </c>
      <c r="J2682" s="10" t="s">
        <v>72</v>
      </c>
    </row>
    <row r="2683" ht="12.75" customHeight="1">
      <c r="A2683" s="5" t="s">
        <v>8276</v>
      </c>
      <c r="B2683" s="5" t="s">
        <v>8277</v>
      </c>
      <c r="D2683" s="5" t="s">
        <v>46</v>
      </c>
      <c r="E2683" s="5" t="s">
        <v>35</v>
      </c>
      <c r="F2683" s="5" t="s">
        <v>263</v>
      </c>
      <c r="H2683" s="5" t="s">
        <v>7520</v>
      </c>
      <c r="J2683" s="10" t="s">
        <v>72</v>
      </c>
    </row>
    <row r="2684" ht="12.75" customHeight="1">
      <c r="A2684" s="5" t="s">
        <v>8278</v>
      </c>
      <c r="B2684" s="10" t="s">
        <v>8279</v>
      </c>
      <c r="D2684" s="5" t="s">
        <v>46</v>
      </c>
      <c r="E2684" s="5" t="s">
        <v>42</v>
      </c>
      <c r="F2684" s="5" t="s">
        <v>535</v>
      </c>
      <c r="H2684" s="5" t="s">
        <v>7520</v>
      </c>
      <c r="J2684" s="10" t="s">
        <v>72</v>
      </c>
    </row>
    <row r="2685" ht="12.75" customHeight="1">
      <c r="A2685" s="5" t="s">
        <v>8280</v>
      </c>
      <c r="B2685" s="5" t="s">
        <v>8281</v>
      </c>
      <c r="D2685" s="5" t="s">
        <v>22</v>
      </c>
      <c r="E2685" s="5" t="s">
        <v>35</v>
      </c>
      <c r="F2685" s="5" t="s">
        <v>619</v>
      </c>
      <c r="H2685" s="5" t="s">
        <v>7523</v>
      </c>
      <c r="J2685" s="10" t="s">
        <v>72</v>
      </c>
    </row>
    <row r="2686" ht="12.75" customHeight="1">
      <c r="A2686" s="5" t="s">
        <v>8282</v>
      </c>
      <c r="B2686" s="5" t="s">
        <v>8283</v>
      </c>
      <c r="D2686" s="5" t="s">
        <v>22</v>
      </c>
      <c r="E2686" s="5" t="s">
        <v>42</v>
      </c>
      <c r="F2686" s="5" t="s">
        <v>400</v>
      </c>
      <c r="H2686" s="5" t="s">
        <v>7523</v>
      </c>
      <c r="J2686" s="10" t="s">
        <v>72</v>
      </c>
    </row>
    <row r="2687" ht="12.75" customHeight="1">
      <c r="A2687" s="5" t="s">
        <v>8284</v>
      </c>
      <c r="B2687" s="5" t="s">
        <v>8285</v>
      </c>
      <c r="D2687" s="5" t="s">
        <v>30</v>
      </c>
      <c r="E2687" s="5" t="s">
        <v>35</v>
      </c>
      <c r="F2687" s="5" t="s">
        <v>96</v>
      </c>
      <c r="H2687" s="5" t="s">
        <v>7523</v>
      </c>
      <c r="J2687" s="10" t="s">
        <v>72</v>
      </c>
    </row>
    <row r="2688" ht="12.75" customHeight="1">
      <c r="A2688" s="5" t="s">
        <v>8286</v>
      </c>
      <c r="B2688" s="5" t="s">
        <v>8287</v>
      </c>
      <c r="D2688" s="5" t="s">
        <v>30</v>
      </c>
      <c r="E2688" s="5" t="s">
        <v>42</v>
      </c>
      <c r="F2688" s="5" t="s">
        <v>157</v>
      </c>
      <c r="H2688" s="5" t="s">
        <v>7523</v>
      </c>
      <c r="J2688" s="10" t="s">
        <v>72</v>
      </c>
    </row>
    <row r="2689" ht="12.75" customHeight="1">
      <c r="A2689" s="5" t="s">
        <v>8288</v>
      </c>
      <c r="B2689" s="5" t="s">
        <v>8289</v>
      </c>
      <c r="D2689" s="5" t="s">
        <v>46</v>
      </c>
      <c r="E2689" s="5" t="s">
        <v>35</v>
      </c>
      <c r="F2689" s="5" t="s">
        <v>263</v>
      </c>
      <c r="H2689" s="5" t="s">
        <v>7523</v>
      </c>
      <c r="J2689" s="10" t="s">
        <v>72</v>
      </c>
    </row>
    <row r="2690" ht="12.75" customHeight="1">
      <c r="A2690" s="5" t="s">
        <v>8290</v>
      </c>
      <c r="B2690" s="5" t="s">
        <v>8291</v>
      </c>
      <c r="D2690" s="5" t="s">
        <v>46</v>
      </c>
      <c r="E2690" s="5" t="s">
        <v>42</v>
      </c>
      <c r="F2690" s="5" t="s">
        <v>157</v>
      </c>
      <c r="H2690" s="5" t="s">
        <v>7523</v>
      </c>
      <c r="J2690" s="10" t="s">
        <v>72</v>
      </c>
    </row>
    <row r="2691" ht="12.75" customHeight="1">
      <c r="A2691" s="5" t="s">
        <v>8292</v>
      </c>
      <c r="B2691" s="5" t="s">
        <v>8293</v>
      </c>
      <c r="D2691" s="5" t="s">
        <v>50</v>
      </c>
      <c r="E2691" s="5" t="s">
        <v>35</v>
      </c>
      <c r="F2691" s="5" t="s">
        <v>619</v>
      </c>
      <c r="H2691" s="5" t="s">
        <v>7523</v>
      </c>
      <c r="J2691" s="10" t="s">
        <v>72</v>
      </c>
    </row>
    <row r="2692" ht="12.75" customHeight="1">
      <c r="A2692" s="5" t="s">
        <v>8294</v>
      </c>
      <c r="B2692" s="5" t="s">
        <v>8295</v>
      </c>
      <c r="D2692" s="5" t="s">
        <v>50</v>
      </c>
      <c r="E2692" s="5" t="s">
        <v>42</v>
      </c>
      <c r="F2692" s="5" t="s">
        <v>400</v>
      </c>
      <c r="H2692" s="5" t="s">
        <v>7523</v>
      </c>
      <c r="J2692" s="10" t="s">
        <v>72</v>
      </c>
    </row>
    <row r="2693" ht="12.75" customHeight="1">
      <c r="A2693" s="5" t="s">
        <v>8296</v>
      </c>
      <c r="B2693" s="10" t="s">
        <v>8297</v>
      </c>
      <c r="D2693" s="5" t="s">
        <v>22</v>
      </c>
      <c r="E2693" s="5" t="s">
        <v>35</v>
      </c>
      <c r="F2693" s="5" t="s">
        <v>278</v>
      </c>
      <c r="H2693" s="5" t="s">
        <v>7555</v>
      </c>
      <c r="J2693" s="10" t="s">
        <v>72</v>
      </c>
    </row>
    <row r="2694" ht="12.75" customHeight="1">
      <c r="A2694" s="5" t="s">
        <v>8298</v>
      </c>
      <c r="B2694" s="10" t="s">
        <v>8299</v>
      </c>
      <c r="D2694" s="5" t="s">
        <v>22</v>
      </c>
      <c r="E2694" s="5" t="s">
        <v>42</v>
      </c>
      <c r="F2694" s="5" t="s">
        <v>43</v>
      </c>
      <c r="H2694" s="5" t="s">
        <v>7555</v>
      </c>
      <c r="J2694" s="10" t="s">
        <v>72</v>
      </c>
    </row>
    <row r="2695" ht="12.75" customHeight="1">
      <c r="A2695" s="5" t="s">
        <v>8300</v>
      </c>
      <c r="B2695" s="10" t="s">
        <v>8301</v>
      </c>
      <c r="D2695" s="5" t="s">
        <v>46</v>
      </c>
      <c r="E2695" s="5" t="s">
        <v>35</v>
      </c>
      <c r="F2695" s="5" t="s">
        <v>1334</v>
      </c>
      <c r="H2695" s="5" t="s">
        <v>7555</v>
      </c>
      <c r="J2695" s="10" t="s">
        <v>72</v>
      </c>
    </row>
    <row r="2696" ht="12.75" customHeight="1">
      <c r="A2696" s="5" t="s">
        <v>8302</v>
      </c>
      <c r="B2696" s="10" t="s">
        <v>8303</v>
      </c>
      <c r="D2696" s="5" t="s">
        <v>46</v>
      </c>
      <c r="E2696" s="5" t="s">
        <v>42</v>
      </c>
      <c r="F2696" s="5" t="s">
        <v>3107</v>
      </c>
      <c r="H2696" s="5" t="s">
        <v>7555</v>
      </c>
      <c r="J2696" s="10" t="s">
        <v>72</v>
      </c>
    </row>
    <row r="2697" ht="12.75" customHeight="1">
      <c r="A2697" s="5" t="s">
        <v>8304</v>
      </c>
      <c r="B2697" s="5" t="s">
        <v>8305</v>
      </c>
      <c r="D2697" s="5" t="s">
        <v>22</v>
      </c>
      <c r="E2697" s="5" t="s">
        <v>35</v>
      </c>
      <c r="F2697" s="5" t="s">
        <v>619</v>
      </c>
      <c r="H2697" s="5" t="s">
        <v>7558</v>
      </c>
      <c r="J2697" s="10" t="s">
        <v>72</v>
      </c>
    </row>
    <row r="2698" ht="12.75" customHeight="1">
      <c r="A2698" s="5" t="s">
        <v>8306</v>
      </c>
      <c r="B2698" s="5" t="s">
        <v>8307</v>
      </c>
      <c r="D2698" s="5" t="s">
        <v>22</v>
      </c>
      <c r="E2698" s="5" t="s">
        <v>42</v>
      </c>
      <c r="F2698" s="5" t="s">
        <v>572</v>
      </c>
      <c r="H2698" s="5" t="s">
        <v>7558</v>
      </c>
      <c r="J2698" s="10" t="s">
        <v>72</v>
      </c>
    </row>
    <row r="2699" ht="12.75" customHeight="1">
      <c r="A2699" s="5" t="s">
        <v>8308</v>
      </c>
      <c r="B2699" s="5" t="s">
        <v>8309</v>
      </c>
      <c r="D2699" s="5" t="s">
        <v>30</v>
      </c>
      <c r="E2699" s="5" t="s">
        <v>35</v>
      </c>
      <c r="F2699" s="5" t="s">
        <v>263</v>
      </c>
      <c r="H2699" s="5" t="s">
        <v>7558</v>
      </c>
      <c r="J2699" s="10" t="s">
        <v>72</v>
      </c>
    </row>
    <row r="2700" ht="12.75" customHeight="1">
      <c r="A2700" s="5" t="s">
        <v>8310</v>
      </c>
      <c r="B2700" s="5" t="s">
        <v>8311</v>
      </c>
      <c r="D2700" s="5" t="s">
        <v>30</v>
      </c>
      <c r="E2700" s="5" t="s">
        <v>42</v>
      </c>
      <c r="F2700" s="5" t="s">
        <v>967</v>
      </c>
      <c r="H2700" s="5" t="s">
        <v>7558</v>
      </c>
      <c r="J2700" s="10" t="s">
        <v>72</v>
      </c>
    </row>
    <row r="2701" ht="12.75" customHeight="1">
      <c r="A2701" s="5" t="s">
        <v>8312</v>
      </c>
      <c r="B2701" s="5" t="s">
        <v>8313</v>
      </c>
      <c r="D2701" s="5" t="s">
        <v>46</v>
      </c>
      <c r="E2701" s="5" t="s">
        <v>35</v>
      </c>
      <c r="F2701" s="5" t="s">
        <v>1896</v>
      </c>
      <c r="H2701" s="5" t="s">
        <v>7558</v>
      </c>
      <c r="J2701" s="10" t="s">
        <v>72</v>
      </c>
    </row>
    <row r="2702" ht="12.75" customHeight="1">
      <c r="A2702" s="5" t="s">
        <v>8314</v>
      </c>
      <c r="B2702" s="5" t="s">
        <v>8315</v>
      </c>
      <c r="D2702" s="5" t="s">
        <v>46</v>
      </c>
      <c r="E2702" s="5" t="s">
        <v>42</v>
      </c>
      <c r="F2702" s="5" t="s">
        <v>157</v>
      </c>
      <c r="H2702" s="5" t="s">
        <v>7558</v>
      </c>
      <c r="J2702" s="10" t="s">
        <v>72</v>
      </c>
    </row>
    <row r="2703" ht="12.75" customHeight="1">
      <c r="A2703" s="5" t="s">
        <v>8316</v>
      </c>
      <c r="B2703" s="5" t="s">
        <v>8317</v>
      </c>
      <c r="D2703" s="5" t="s">
        <v>50</v>
      </c>
      <c r="E2703" s="5" t="s">
        <v>35</v>
      </c>
      <c r="F2703" s="5" t="s">
        <v>278</v>
      </c>
      <c r="H2703" s="5" t="s">
        <v>7558</v>
      </c>
      <c r="J2703" s="10" t="s">
        <v>72</v>
      </c>
    </row>
    <row r="2704" ht="12.75" customHeight="1">
      <c r="A2704" s="5" t="s">
        <v>8318</v>
      </c>
      <c r="B2704" s="5" t="s">
        <v>8319</v>
      </c>
      <c r="D2704" s="5" t="s">
        <v>50</v>
      </c>
      <c r="E2704" s="5" t="s">
        <v>42</v>
      </c>
      <c r="F2704" s="5" t="s">
        <v>657</v>
      </c>
      <c r="H2704" s="5" t="s">
        <v>7558</v>
      </c>
      <c r="J2704" s="10" t="s">
        <v>72</v>
      </c>
    </row>
    <row r="2705" ht="12.75" customHeight="1">
      <c r="A2705" s="5" t="s">
        <v>8320</v>
      </c>
      <c r="B2705" s="5" t="s">
        <v>8321</v>
      </c>
      <c r="D2705" s="5" t="s">
        <v>22</v>
      </c>
      <c r="E2705" s="5" t="s">
        <v>35</v>
      </c>
      <c r="F2705" s="5" t="s">
        <v>278</v>
      </c>
      <c r="H2705" s="5" t="s">
        <v>7590</v>
      </c>
      <c r="J2705" s="10" t="s">
        <v>72</v>
      </c>
    </row>
    <row r="2706" ht="12.75" customHeight="1">
      <c r="A2706" s="5" t="s">
        <v>8322</v>
      </c>
      <c r="B2706" s="5" t="s">
        <v>8323</v>
      </c>
      <c r="D2706" s="5" t="s">
        <v>46</v>
      </c>
      <c r="E2706" s="5" t="s">
        <v>42</v>
      </c>
      <c r="F2706" s="5" t="s">
        <v>3107</v>
      </c>
      <c r="H2706" s="5" t="s">
        <v>7590</v>
      </c>
      <c r="J2706" s="10" t="s">
        <v>72</v>
      </c>
    </row>
    <row r="2707" ht="12.75" customHeight="1">
      <c r="A2707" s="5" t="s">
        <v>8324</v>
      </c>
      <c r="B2707" s="5" t="s">
        <v>8325</v>
      </c>
      <c r="D2707" s="5" t="s">
        <v>22</v>
      </c>
      <c r="E2707" s="5" t="s">
        <v>35</v>
      </c>
      <c r="F2707" s="5" t="s">
        <v>619</v>
      </c>
      <c r="H2707" s="5" t="s">
        <v>7593</v>
      </c>
      <c r="J2707" s="10" t="s">
        <v>72</v>
      </c>
    </row>
    <row r="2708" ht="12.75" customHeight="1">
      <c r="A2708" s="5" t="s">
        <v>8326</v>
      </c>
      <c r="B2708" s="5" t="s">
        <v>8327</v>
      </c>
      <c r="D2708" s="5" t="s">
        <v>46</v>
      </c>
      <c r="E2708" s="5" t="s">
        <v>42</v>
      </c>
      <c r="F2708" s="5" t="s">
        <v>157</v>
      </c>
      <c r="H2708" s="5" t="s">
        <v>7593</v>
      </c>
      <c r="J2708" s="10" t="s">
        <v>72</v>
      </c>
    </row>
    <row r="2709" ht="12.75" customHeight="1">
      <c r="A2709" s="5" t="s">
        <v>4501</v>
      </c>
      <c r="B2709" s="5" t="s">
        <v>8328</v>
      </c>
      <c r="C2709" s="5" t="s">
        <v>8329</v>
      </c>
      <c r="D2709" s="5" t="s">
        <v>30</v>
      </c>
      <c r="E2709" s="5" t="s">
        <v>42</v>
      </c>
      <c r="F2709" s="5" t="s">
        <v>1933</v>
      </c>
      <c r="J2709" s="10" t="s">
        <v>72</v>
      </c>
      <c r="K2709" s="5" t="s">
        <v>8330</v>
      </c>
    </row>
    <row r="2710" ht="12.75" customHeight="1">
      <c r="A2710" s="5" t="s">
        <v>8331</v>
      </c>
      <c r="B2710" s="5" t="s">
        <v>8332</v>
      </c>
      <c r="C2710" s="5" t="s">
        <v>8329</v>
      </c>
      <c r="D2710" s="5" t="s">
        <v>34</v>
      </c>
      <c r="E2710" s="5" t="s">
        <v>42</v>
      </c>
      <c r="F2710" s="5" t="s">
        <v>556</v>
      </c>
      <c r="J2710" s="10" t="s">
        <v>72</v>
      </c>
      <c r="K2710" s="5" t="s">
        <v>8333</v>
      </c>
    </row>
    <row r="2711" ht="12.75" customHeight="1">
      <c r="A2711" s="5" t="s">
        <v>8334</v>
      </c>
      <c r="B2711" s="5" t="s">
        <v>8335</v>
      </c>
      <c r="C2711" s="5" t="s">
        <v>8329</v>
      </c>
      <c r="D2711" s="5" t="s">
        <v>46</v>
      </c>
      <c r="E2711" s="5" t="s">
        <v>42</v>
      </c>
      <c r="F2711" s="5" t="s">
        <v>395</v>
      </c>
      <c r="J2711" s="10" t="s">
        <v>72</v>
      </c>
      <c r="K2711" s="5" t="s">
        <v>8336</v>
      </c>
    </row>
    <row r="2712" ht="12.75" customHeight="1">
      <c r="A2712" s="5" t="s">
        <v>8337</v>
      </c>
      <c r="B2712" s="5" t="s">
        <v>8338</v>
      </c>
      <c r="C2712" s="5" t="s">
        <v>8339</v>
      </c>
      <c r="D2712" s="5" t="s">
        <v>30</v>
      </c>
      <c r="E2712" s="5" t="s">
        <v>42</v>
      </c>
      <c r="F2712" s="5" t="s">
        <v>157</v>
      </c>
      <c r="J2712" s="10" t="s">
        <v>72</v>
      </c>
      <c r="K2712" s="5" t="s">
        <v>8340</v>
      </c>
    </row>
    <row r="2713" ht="12.75" customHeight="1">
      <c r="A2713" s="5" t="s">
        <v>8341</v>
      </c>
      <c r="B2713" s="5" t="s">
        <v>8342</v>
      </c>
      <c r="C2713" s="5" t="s">
        <v>8339</v>
      </c>
      <c r="D2713" s="5" t="s">
        <v>34</v>
      </c>
      <c r="E2713" s="5" t="s">
        <v>42</v>
      </c>
      <c r="F2713" s="5" t="s">
        <v>228</v>
      </c>
      <c r="J2713" s="10" t="s">
        <v>72</v>
      </c>
      <c r="K2713" s="5" t="s">
        <v>8343</v>
      </c>
    </row>
    <row r="2714" ht="12.75" customHeight="1">
      <c r="A2714" s="5" t="s">
        <v>8344</v>
      </c>
      <c r="B2714" s="5" t="s">
        <v>8345</v>
      </c>
      <c r="C2714" s="5" t="s">
        <v>8339</v>
      </c>
      <c r="D2714" s="5" t="s">
        <v>46</v>
      </c>
      <c r="E2714" s="5" t="s">
        <v>42</v>
      </c>
      <c r="F2714" s="5" t="s">
        <v>2638</v>
      </c>
      <c r="J2714" s="10" t="s">
        <v>72</v>
      </c>
      <c r="K2714" s="5" t="s">
        <v>8346</v>
      </c>
    </row>
    <row r="2715" ht="12.75" customHeight="1">
      <c r="A2715" s="5" t="s">
        <v>8347</v>
      </c>
      <c r="B2715" s="5" t="s">
        <v>8348</v>
      </c>
      <c r="D2715" s="5" t="s">
        <v>22</v>
      </c>
      <c r="E2715" s="5" t="s">
        <v>35</v>
      </c>
      <c r="F2715" s="5" t="s">
        <v>278</v>
      </c>
      <c r="H2715" s="5" t="s">
        <v>4501</v>
      </c>
      <c r="J2715" s="10" t="s">
        <v>72</v>
      </c>
    </row>
    <row r="2716" ht="12.75" customHeight="1">
      <c r="A2716" s="5" t="s">
        <v>4355</v>
      </c>
      <c r="B2716" s="5" t="s">
        <v>8349</v>
      </c>
      <c r="D2716" s="5" t="s">
        <v>30</v>
      </c>
      <c r="E2716" s="5" t="s">
        <v>35</v>
      </c>
      <c r="F2716" s="5" t="s">
        <v>1143</v>
      </c>
      <c r="H2716" s="5" t="s">
        <v>4501</v>
      </c>
      <c r="J2716" s="10" t="s">
        <v>72</v>
      </c>
      <c r="L2716" s="5" t="s">
        <v>4353</v>
      </c>
      <c r="M2716" s="5" t="s">
        <v>4353</v>
      </c>
    </row>
    <row r="2717" ht="12.75" customHeight="1">
      <c r="A2717" s="5" t="s">
        <v>8350</v>
      </c>
      <c r="B2717" s="5" t="s">
        <v>8351</v>
      </c>
      <c r="D2717" s="5" t="s">
        <v>46</v>
      </c>
      <c r="E2717" s="5" t="s">
        <v>35</v>
      </c>
      <c r="F2717" s="5" t="s">
        <v>1334</v>
      </c>
      <c r="H2717" s="5" t="s">
        <v>4501</v>
      </c>
      <c r="J2717" s="10" t="s">
        <v>72</v>
      </c>
    </row>
    <row r="2718" ht="12.75" customHeight="1">
      <c r="A2718" s="5" t="s">
        <v>8352</v>
      </c>
      <c r="B2718" s="5" t="s">
        <v>8353</v>
      </c>
      <c r="D2718" s="5" t="s">
        <v>50</v>
      </c>
      <c r="E2718" s="5" t="s">
        <v>35</v>
      </c>
      <c r="F2718" s="5" t="s">
        <v>36</v>
      </c>
      <c r="H2718" s="5" t="s">
        <v>4501</v>
      </c>
      <c r="J2718" s="10" t="s">
        <v>72</v>
      </c>
    </row>
    <row r="2719" ht="12.75" customHeight="1">
      <c r="A2719" s="5" t="s">
        <v>8354</v>
      </c>
      <c r="B2719" s="5" t="s">
        <v>8355</v>
      </c>
      <c r="D2719" s="5" t="s">
        <v>22</v>
      </c>
      <c r="E2719" s="5" t="s">
        <v>35</v>
      </c>
      <c r="F2719" s="5" t="s">
        <v>695</v>
      </c>
      <c r="H2719" s="5" t="s">
        <v>8337</v>
      </c>
      <c r="J2719" s="10" t="s">
        <v>72</v>
      </c>
    </row>
    <row r="2720" ht="12.75" customHeight="1">
      <c r="A2720" s="5" t="s">
        <v>8356</v>
      </c>
      <c r="B2720" s="5" t="s">
        <v>8357</v>
      </c>
      <c r="D2720" s="5" t="s">
        <v>30</v>
      </c>
      <c r="E2720" s="5" t="s">
        <v>35</v>
      </c>
      <c r="F2720" s="5" t="s">
        <v>263</v>
      </c>
      <c r="H2720" s="5" t="s">
        <v>8337</v>
      </c>
      <c r="J2720" s="10" t="s">
        <v>72</v>
      </c>
    </row>
    <row r="2721" ht="12.75" customHeight="1">
      <c r="A2721" s="5" t="s">
        <v>8358</v>
      </c>
      <c r="B2721" s="5" t="s">
        <v>8359</v>
      </c>
      <c r="D2721" s="5" t="s">
        <v>46</v>
      </c>
      <c r="E2721" s="5" t="s">
        <v>35</v>
      </c>
      <c r="F2721" s="5" t="s">
        <v>1831</v>
      </c>
      <c r="H2721" s="5" t="s">
        <v>8337</v>
      </c>
      <c r="J2721" s="10" t="s">
        <v>72</v>
      </c>
    </row>
    <row r="2722" ht="12.75" customHeight="1">
      <c r="A2722" s="5" t="s">
        <v>8360</v>
      </c>
      <c r="B2722" s="5" t="s">
        <v>8361</v>
      </c>
      <c r="D2722" s="5" t="s">
        <v>50</v>
      </c>
      <c r="E2722" s="5" t="s">
        <v>35</v>
      </c>
      <c r="F2722" s="5" t="s">
        <v>36</v>
      </c>
      <c r="H2722" s="5" t="s">
        <v>8337</v>
      </c>
      <c r="J2722" s="10" t="s">
        <v>72</v>
      </c>
    </row>
    <row r="2723" ht="12.75" customHeight="1">
      <c r="A2723" s="5" t="s">
        <v>8362</v>
      </c>
      <c r="B2723" s="5" t="s">
        <v>8363</v>
      </c>
      <c r="D2723" s="5" t="s">
        <v>22</v>
      </c>
      <c r="E2723" s="5" t="s">
        <v>35</v>
      </c>
      <c r="F2723" s="5" t="s">
        <v>913</v>
      </c>
      <c r="H2723" s="5" t="s">
        <v>8331</v>
      </c>
      <c r="J2723" s="10" t="s">
        <v>72</v>
      </c>
    </row>
    <row r="2724" ht="12.75" customHeight="1">
      <c r="A2724" s="5" t="s">
        <v>8364</v>
      </c>
      <c r="B2724" s="5" t="s">
        <v>8365</v>
      </c>
      <c r="D2724" s="5" t="s">
        <v>46</v>
      </c>
      <c r="E2724" s="5" t="s">
        <v>35</v>
      </c>
      <c r="F2724" s="5" t="s">
        <v>545</v>
      </c>
      <c r="H2724" s="5" t="s">
        <v>8331</v>
      </c>
      <c r="J2724" s="10" t="s">
        <v>72</v>
      </c>
    </row>
    <row r="2725" ht="12.75" customHeight="1">
      <c r="A2725" s="5" t="s">
        <v>8366</v>
      </c>
      <c r="B2725" s="5" t="s">
        <v>8367</v>
      </c>
      <c r="D2725" s="5" t="s">
        <v>50</v>
      </c>
      <c r="E2725" s="5" t="s">
        <v>35</v>
      </c>
      <c r="F2725" s="5" t="s">
        <v>36</v>
      </c>
      <c r="H2725" s="5" t="s">
        <v>8331</v>
      </c>
      <c r="J2725" s="10" t="s">
        <v>72</v>
      </c>
    </row>
    <row r="2726" ht="12.75" customHeight="1">
      <c r="A2726" s="5" t="s">
        <v>8368</v>
      </c>
      <c r="B2726" s="5" t="s">
        <v>8369</v>
      </c>
      <c r="D2726" s="5" t="s">
        <v>34</v>
      </c>
      <c r="E2726" s="5" t="s">
        <v>35</v>
      </c>
      <c r="F2726" s="5" t="s">
        <v>868</v>
      </c>
      <c r="H2726" s="5" t="s">
        <v>8331</v>
      </c>
      <c r="J2726" s="10" t="s">
        <v>72</v>
      </c>
    </row>
    <row r="2727" ht="12.75" customHeight="1">
      <c r="A2727" s="5" t="s">
        <v>8370</v>
      </c>
      <c r="B2727" s="5" t="s">
        <v>8371</v>
      </c>
      <c r="D2727" s="5" t="s">
        <v>22</v>
      </c>
      <c r="E2727" s="5" t="s">
        <v>35</v>
      </c>
      <c r="F2727" s="5" t="s">
        <v>36</v>
      </c>
      <c r="H2727" s="5" t="s">
        <v>8341</v>
      </c>
      <c r="J2727" s="10" t="s">
        <v>72</v>
      </c>
    </row>
    <row r="2728" ht="12.75" customHeight="1">
      <c r="A2728" s="5" t="s">
        <v>8372</v>
      </c>
      <c r="B2728" s="5" t="s">
        <v>8373</v>
      </c>
      <c r="D2728" s="5" t="s">
        <v>46</v>
      </c>
      <c r="E2728" s="5" t="s">
        <v>35</v>
      </c>
      <c r="F2728" s="5" t="s">
        <v>1831</v>
      </c>
      <c r="H2728" s="5" t="s">
        <v>8341</v>
      </c>
      <c r="J2728" s="10" t="s">
        <v>72</v>
      </c>
    </row>
    <row r="2729" ht="12.75" customHeight="1">
      <c r="A2729" s="5" t="s">
        <v>8374</v>
      </c>
      <c r="B2729" s="5" t="s">
        <v>8375</v>
      </c>
      <c r="D2729" s="5" t="s">
        <v>50</v>
      </c>
      <c r="E2729" s="5" t="s">
        <v>35</v>
      </c>
      <c r="F2729" s="5" t="s">
        <v>110</v>
      </c>
      <c r="H2729" s="5" t="s">
        <v>8341</v>
      </c>
      <c r="J2729" s="10" t="s">
        <v>72</v>
      </c>
    </row>
    <row r="2730" ht="12.75" customHeight="1">
      <c r="A2730" s="5" t="s">
        <v>8376</v>
      </c>
      <c r="B2730" s="5" t="s">
        <v>8377</v>
      </c>
      <c r="D2730" s="5" t="s">
        <v>34</v>
      </c>
      <c r="E2730" s="5" t="s">
        <v>35</v>
      </c>
      <c r="F2730" s="5" t="s">
        <v>172</v>
      </c>
      <c r="H2730" s="5" t="s">
        <v>8341</v>
      </c>
      <c r="J2730" s="10" t="s">
        <v>72</v>
      </c>
    </row>
    <row r="2731" ht="12.75" customHeight="1">
      <c r="A2731" s="5" t="s">
        <v>8378</v>
      </c>
      <c r="B2731" s="5" t="s">
        <v>8379</v>
      </c>
      <c r="D2731" s="5" t="s">
        <v>22</v>
      </c>
      <c r="E2731" s="5" t="s">
        <v>35</v>
      </c>
      <c r="F2731" s="5" t="s">
        <v>104</v>
      </c>
      <c r="H2731" s="5" t="s">
        <v>8334</v>
      </c>
      <c r="J2731" s="10" t="s">
        <v>72</v>
      </c>
    </row>
    <row r="2732" ht="12.75" customHeight="1">
      <c r="A2732" s="5" t="s">
        <v>8380</v>
      </c>
      <c r="B2732" s="5" t="s">
        <v>8381</v>
      </c>
      <c r="D2732" s="5" t="s">
        <v>30</v>
      </c>
      <c r="E2732" s="5" t="s">
        <v>35</v>
      </c>
      <c r="F2732" s="5" t="s">
        <v>96</v>
      </c>
      <c r="H2732" s="5" t="s">
        <v>8334</v>
      </c>
      <c r="J2732" s="10" t="s">
        <v>72</v>
      </c>
    </row>
    <row r="2733" ht="12.75" customHeight="1">
      <c r="A2733" s="5" t="s">
        <v>8382</v>
      </c>
      <c r="B2733" s="5" t="s">
        <v>8383</v>
      </c>
      <c r="D2733" s="5" t="s">
        <v>46</v>
      </c>
      <c r="E2733" s="5" t="s">
        <v>35</v>
      </c>
      <c r="F2733" s="5" t="s">
        <v>1831</v>
      </c>
      <c r="H2733" s="5" t="s">
        <v>8334</v>
      </c>
      <c r="J2733" s="10" t="s">
        <v>72</v>
      </c>
    </row>
    <row r="2734" ht="12.75" customHeight="1">
      <c r="A2734" s="5" t="s">
        <v>8384</v>
      </c>
      <c r="B2734" s="5" t="s">
        <v>8385</v>
      </c>
      <c r="D2734" s="5" t="s">
        <v>50</v>
      </c>
      <c r="E2734" s="5" t="s">
        <v>35</v>
      </c>
      <c r="F2734" s="5" t="s">
        <v>172</v>
      </c>
      <c r="H2734" s="5" t="s">
        <v>8334</v>
      </c>
      <c r="J2734" s="10" t="s">
        <v>72</v>
      </c>
    </row>
    <row r="2735" ht="12.75" customHeight="1">
      <c r="A2735" s="5" t="s">
        <v>8386</v>
      </c>
      <c r="B2735" s="5" t="s">
        <v>8387</v>
      </c>
      <c r="D2735" s="5" t="s">
        <v>22</v>
      </c>
      <c r="E2735" s="5" t="s">
        <v>35</v>
      </c>
      <c r="F2735" s="5" t="s">
        <v>189</v>
      </c>
      <c r="H2735" s="5" t="s">
        <v>8344</v>
      </c>
      <c r="J2735" s="10" t="s">
        <v>72</v>
      </c>
    </row>
    <row r="2736" ht="12.75" customHeight="1">
      <c r="A2736" s="5" t="s">
        <v>8388</v>
      </c>
      <c r="B2736" s="5" t="s">
        <v>8389</v>
      </c>
      <c r="D2736" s="5" t="s">
        <v>30</v>
      </c>
      <c r="E2736" s="5" t="s">
        <v>35</v>
      </c>
      <c r="F2736" s="5" t="s">
        <v>1334</v>
      </c>
      <c r="H2736" s="5" t="s">
        <v>8344</v>
      </c>
      <c r="J2736" s="10" t="s">
        <v>72</v>
      </c>
    </row>
    <row r="2737" ht="12.75" customHeight="1">
      <c r="A2737" s="5" t="s">
        <v>8390</v>
      </c>
      <c r="B2737" s="5" t="s">
        <v>8391</v>
      </c>
      <c r="D2737" s="5" t="s">
        <v>46</v>
      </c>
      <c r="E2737" s="5" t="s">
        <v>35</v>
      </c>
      <c r="F2737" s="5" t="s">
        <v>1886</v>
      </c>
      <c r="H2737" s="5" t="s">
        <v>8344</v>
      </c>
      <c r="J2737" s="10" t="s">
        <v>72</v>
      </c>
    </row>
    <row r="2738" ht="12.75" customHeight="1">
      <c r="A2738" s="5" t="s">
        <v>8392</v>
      </c>
      <c r="B2738" s="5" t="s">
        <v>8393</v>
      </c>
      <c r="D2738" s="5" t="s">
        <v>50</v>
      </c>
      <c r="E2738" s="5" t="s">
        <v>35</v>
      </c>
      <c r="F2738" s="5" t="s">
        <v>605</v>
      </c>
      <c r="H2738" s="5" t="s">
        <v>8344</v>
      </c>
      <c r="J2738" s="10" t="s">
        <v>72</v>
      </c>
    </row>
    <row r="2739" ht="12.75" customHeight="1">
      <c r="A2739" s="5" t="s">
        <v>8394</v>
      </c>
      <c r="B2739" s="5" t="s">
        <v>8395</v>
      </c>
      <c r="C2739" s="5" t="s">
        <v>8394</v>
      </c>
      <c r="D2739" s="5" t="s">
        <v>46</v>
      </c>
      <c r="E2739" s="5" t="s">
        <v>35</v>
      </c>
      <c r="F2739" s="5" t="s">
        <v>1896</v>
      </c>
    </row>
    <row r="2740" ht="12.75" customHeight="1">
      <c r="A2740" s="5" t="s">
        <v>8396</v>
      </c>
      <c r="B2740" s="10" t="s">
        <v>8397</v>
      </c>
      <c r="C2740" s="5" t="s">
        <v>8396</v>
      </c>
      <c r="D2740" s="5" t="s">
        <v>74</v>
      </c>
      <c r="E2740" s="5" t="s">
        <v>42</v>
      </c>
      <c r="F2740" s="5" t="s">
        <v>435</v>
      </c>
    </row>
    <row r="2741" ht="12.75" customHeight="1">
      <c r="A2741" s="5" t="s">
        <v>8398</v>
      </c>
      <c r="B2741" s="5" t="s">
        <v>8399</v>
      </c>
      <c r="C2741" s="5" t="s">
        <v>8398</v>
      </c>
      <c r="D2741" s="5" t="s">
        <v>22</v>
      </c>
      <c r="E2741" s="5" t="s">
        <v>42</v>
      </c>
      <c r="F2741" s="5" t="s">
        <v>65</v>
      </c>
      <c r="G2741" s="10" t="s">
        <v>72</v>
      </c>
    </row>
    <row r="2742" ht="12.75" customHeight="1">
      <c r="A2742" s="5" t="s">
        <v>8400</v>
      </c>
      <c r="B2742" s="5" t="s">
        <v>8401</v>
      </c>
      <c r="C2742" s="5" t="s">
        <v>8400</v>
      </c>
      <c r="D2742" s="5" t="s">
        <v>74</v>
      </c>
      <c r="E2742" s="5" t="s">
        <v>42</v>
      </c>
      <c r="F2742" s="5" t="s">
        <v>445</v>
      </c>
    </row>
    <row r="2743" ht="12.75" customHeight="1">
      <c r="A2743" s="5" t="s">
        <v>8402</v>
      </c>
      <c r="B2743" s="10" t="s">
        <v>8403</v>
      </c>
      <c r="C2743" s="5" t="s">
        <v>8402</v>
      </c>
      <c r="D2743" s="5" t="s">
        <v>22</v>
      </c>
      <c r="E2743" s="5" t="s">
        <v>42</v>
      </c>
      <c r="F2743" s="5" t="s">
        <v>400</v>
      </c>
    </row>
    <row r="2744" ht="12.75" customHeight="1">
      <c r="A2744" s="5" t="s">
        <v>8404</v>
      </c>
      <c r="B2744" s="5" t="s">
        <v>8405</v>
      </c>
      <c r="C2744" s="5" t="s">
        <v>8406</v>
      </c>
      <c r="D2744" s="5" t="s">
        <v>50</v>
      </c>
      <c r="E2744" s="5" t="s">
        <v>42</v>
      </c>
      <c r="F2744" s="5" t="s">
        <v>575</v>
      </c>
    </row>
    <row r="2745" ht="12.75" customHeight="1">
      <c r="A2745" s="5" t="s">
        <v>8407</v>
      </c>
      <c r="B2745" s="5" t="s">
        <v>8408</v>
      </c>
      <c r="C2745" s="5" t="s">
        <v>8407</v>
      </c>
      <c r="D2745" s="5" t="s">
        <v>80</v>
      </c>
      <c r="E2745" s="5" t="s">
        <v>42</v>
      </c>
      <c r="F2745" s="5" t="s">
        <v>2771</v>
      </c>
      <c r="G2745" s="10" t="s">
        <v>72</v>
      </c>
    </row>
    <row r="2746" ht="12.75" customHeight="1">
      <c r="A2746" s="5" t="s">
        <v>8409</v>
      </c>
      <c r="B2746" s="5" t="s">
        <v>8410</v>
      </c>
      <c r="C2746" s="5" t="s">
        <v>8409</v>
      </c>
      <c r="D2746" s="5" t="s">
        <v>22</v>
      </c>
      <c r="E2746" s="5" t="s">
        <v>35</v>
      </c>
      <c r="F2746" s="5" t="s">
        <v>1776</v>
      </c>
      <c r="G2746" s="10" t="s">
        <v>72</v>
      </c>
    </row>
    <row r="2747" ht="12.75" customHeight="1">
      <c r="A2747" s="5" t="s">
        <v>8411</v>
      </c>
      <c r="B2747" s="5" t="s">
        <v>8412</v>
      </c>
      <c r="C2747" s="5" t="s">
        <v>8413</v>
      </c>
      <c r="D2747" s="5" t="s">
        <v>34</v>
      </c>
      <c r="E2747" s="5" t="s">
        <v>42</v>
      </c>
      <c r="F2747" s="5" t="s">
        <v>400</v>
      </c>
    </row>
    <row r="2748" ht="12.75" customHeight="1">
      <c r="A2748" s="5" t="s">
        <v>8414</v>
      </c>
      <c r="B2748" s="5" t="s">
        <v>8415</v>
      </c>
      <c r="C2748" s="5" t="s">
        <v>8414</v>
      </c>
      <c r="D2748" s="5" t="s">
        <v>30</v>
      </c>
      <c r="E2748" s="5" t="s">
        <v>42</v>
      </c>
      <c r="F2748" s="5" t="s">
        <v>1223</v>
      </c>
      <c r="G2748" s="10" t="s">
        <v>72</v>
      </c>
    </row>
    <row r="2749" ht="12.75" customHeight="1">
      <c r="A2749" s="5" t="s">
        <v>8416</v>
      </c>
      <c r="B2749" s="10" t="s">
        <v>8417</v>
      </c>
      <c r="C2749" s="5" t="s">
        <v>8416</v>
      </c>
      <c r="D2749" s="5" t="s">
        <v>34</v>
      </c>
      <c r="E2749" s="5" t="s">
        <v>35</v>
      </c>
      <c r="F2749" s="5" t="s">
        <v>110</v>
      </c>
    </row>
    <row r="2750" ht="12.75" customHeight="1">
      <c r="A2750" s="5" t="s">
        <v>8418</v>
      </c>
      <c r="B2750" s="5" t="s">
        <v>8419</v>
      </c>
      <c r="C2750" s="5" t="s">
        <v>8418</v>
      </c>
      <c r="D2750" s="5" t="s">
        <v>34</v>
      </c>
      <c r="E2750" s="5" t="s">
        <v>42</v>
      </c>
      <c r="F2750" s="5" t="s">
        <v>657</v>
      </c>
      <c r="G2750" s="10" t="s">
        <v>72</v>
      </c>
    </row>
    <row r="2751" ht="12.75" customHeight="1">
      <c r="A2751" s="5" t="s">
        <v>8420</v>
      </c>
      <c r="B2751" s="10" t="s">
        <v>8421</v>
      </c>
      <c r="C2751" s="5" t="s">
        <v>8420</v>
      </c>
      <c r="D2751" s="5" t="s">
        <v>34</v>
      </c>
      <c r="E2751" s="5" t="s">
        <v>42</v>
      </c>
      <c r="F2751" s="5" t="s">
        <v>599</v>
      </c>
    </row>
    <row r="2752" ht="12.75" customHeight="1">
      <c r="A2752" s="5" t="s">
        <v>8422</v>
      </c>
      <c r="B2752" s="5" t="s">
        <v>8423</v>
      </c>
      <c r="C2752" s="5" t="s">
        <v>8422</v>
      </c>
      <c r="D2752" s="5" t="s">
        <v>155</v>
      </c>
      <c r="E2752" s="5" t="s">
        <v>35</v>
      </c>
      <c r="F2752" s="5" t="s">
        <v>125</v>
      </c>
    </row>
    <row r="2753" ht="12.75" customHeight="1">
      <c r="A2753" s="5" t="s">
        <v>8424</v>
      </c>
      <c r="B2753" s="10" t="s">
        <v>8425</v>
      </c>
      <c r="C2753" s="5" t="s">
        <v>8424</v>
      </c>
      <c r="D2753" s="5" t="s">
        <v>38</v>
      </c>
      <c r="E2753" s="5" t="s">
        <v>42</v>
      </c>
      <c r="F2753" s="5" t="s">
        <v>238</v>
      </c>
      <c r="G2753" s="10" t="s">
        <v>72</v>
      </c>
    </row>
    <row r="2754" ht="12.75" customHeight="1">
      <c r="A2754" s="5" t="s">
        <v>8426</v>
      </c>
      <c r="B2754" s="5" t="s">
        <v>8427</v>
      </c>
      <c r="C2754" s="5" t="s">
        <v>8426</v>
      </c>
      <c r="D2754" s="5" t="s">
        <v>46</v>
      </c>
      <c r="E2754" s="5" t="s">
        <v>42</v>
      </c>
      <c r="F2754" s="5" t="s">
        <v>2771</v>
      </c>
      <c r="G2754" s="10" t="s">
        <v>72</v>
      </c>
    </row>
    <row r="2755" ht="12.75" customHeight="1">
      <c r="A2755" s="5" t="s">
        <v>8428</v>
      </c>
      <c r="B2755" s="5" t="s">
        <v>8429</v>
      </c>
      <c r="C2755" s="5" t="s">
        <v>8430</v>
      </c>
      <c r="D2755" s="5" t="s">
        <v>22</v>
      </c>
      <c r="E2755" s="5" t="s">
        <v>42</v>
      </c>
      <c r="F2755" s="5" t="s">
        <v>556</v>
      </c>
      <c r="G2755" s="10" t="s">
        <v>72</v>
      </c>
    </row>
    <row r="2756" ht="12.75" customHeight="1">
      <c r="A2756" s="5" t="s">
        <v>8431</v>
      </c>
      <c r="B2756" s="10" t="s">
        <v>8432</v>
      </c>
      <c r="C2756" s="5" t="s">
        <v>8433</v>
      </c>
      <c r="D2756" s="5" t="s">
        <v>34</v>
      </c>
      <c r="E2756" s="5" t="s">
        <v>35</v>
      </c>
      <c r="F2756" s="5" t="s">
        <v>619</v>
      </c>
    </row>
    <row r="2757" ht="12.75" customHeight="1">
      <c r="A2757" s="5" t="s">
        <v>2843</v>
      </c>
      <c r="B2757" s="5" t="s">
        <v>8434</v>
      </c>
      <c r="C2757" s="5" t="s">
        <v>2843</v>
      </c>
      <c r="D2757" s="5" t="s">
        <v>34</v>
      </c>
      <c r="E2757" s="5" t="s">
        <v>35</v>
      </c>
      <c r="F2757" s="5" t="s">
        <v>868</v>
      </c>
    </row>
    <row r="2758" ht="12.75" customHeight="1">
      <c r="A2758" s="5" t="s">
        <v>8435</v>
      </c>
      <c r="B2758" s="10" t="s">
        <v>8436</v>
      </c>
      <c r="C2758" s="5" t="s">
        <v>8435</v>
      </c>
      <c r="D2758" s="5" t="s">
        <v>80</v>
      </c>
      <c r="E2758" s="5" t="s">
        <v>42</v>
      </c>
      <c r="F2758" s="5" t="s">
        <v>535</v>
      </c>
      <c r="G2758" s="10" t="s">
        <v>72</v>
      </c>
    </row>
    <row r="2759" ht="12.75" customHeight="1">
      <c r="A2759" s="5" t="s">
        <v>8437</v>
      </c>
      <c r="B2759" s="5" t="s">
        <v>8438</v>
      </c>
      <c r="C2759" s="5" t="s">
        <v>8437</v>
      </c>
      <c r="D2759" s="5" t="s">
        <v>34</v>
      </c>
      <c r="E2759" s="5" t="s">
        <v>35</v>
      </c>
      <c r="F2759" s="5" t="s">
        <v>913</v>
      </c>
    </row>
    <row r="2760" ht="12.75" customHeight="1">
      <c r="A2760" s="5" t="s">
        <v>8439</v>
      </c>
      <c r="B2760" s="10" t="s">
        <v>8440</v>
      </c>
      <c r="C2760" s="5" t="s">
        <v>8439</v>
      </c>
      <c r="D2760" s="5" t="s">
        <v>74</v>
      </c>
      <c r="E2760" s="5" t="s">
        <v>35</v>
      </c>
      <c r="F2760" s="5" t="s">
        <v>868</v>
      </c>
      <c r="G2760" s="10" t="s">
        <v>72</v>
      </c>
    </row>
    <row r="2761" ht="12.75" customHeight="1">
      <c r="A2761" s="5" t="s">
        <v>8441</v>
      </c>
      <c r="B2761" s="10" t="s">
        <v>8442</v>
      </c>
      <c r="C2761" s="5" t="s">
        <v>8441</v>
      </c>
      <c r="D2761" s="5" t="s">
        <v>74</v>
      </c>
      <c r="E2761" s="5" t="s">
        <v>42</v>
      </c>
      <c r="F2761" s="5" t="s">
        <v>219</v>
      </c>
    </row>
    <row r="2762" ht="12.75" customHeight="1">
      <c r="A2762" s="5" t="s">
        <v>8443</v>
      </c>
      <c r="B2762" s="10" t="s">
        <v>8444</v>
      </c>
      <c r="C2762" s="5" t="s">
        <v>8445</v>
      </c>
      <c r="D2762" s="5" t="s">
        <v>34</v>
      </c>
      <c r="E2762" s="5" t="s">
        <v>42</v>
      </c>
      <c r="F2762" s="5" t="s">
        <v>720</v>
      </c>
    </row>
    <row r="2763" ht="12.75" customHeight="1">
      <c r="A2763" s="5" t="s">
        <v>8446</v>
      </c>
      <c r="B2763" s="5" t="s">
        <v>8447</v>
      </c>
      <c r="C2763" s="5" t="s">
        <v>8446</v>
      </c>
      <c r="D2763" s="5" t="s">
        <v>46</v>
      </c>
      <c r="E2763" s="5" t="s">
        <v>35</v>
      </c>
      <c r="F2763" s="5" t="s">
        <v>1344</v>
      </c>
      <c r="G2763" s="10" t="s">
        <v>72</v>
      </c>
    </row>
    <row r="2764" ht="12.75" customHeight="1">
      <c r="A2764" s="5" t="s">
        <v>8448</v>
      </c>
      <c r="B2764" s="5" t="s">
        <v>8449</v>
      </c>
      <c r="C2764" s="5" t="s">
        <v>8450</v>
      </c>
      <c r="D2764" s="5" t="s">
        <v>34</v>
      </c>
      <c r="E2764" s="5" t="s">
        <v>42</v>
      </c>
      <c r="F2764" s="5" t="s">
        <v>599</v>
      </c>
    </row>
    <row r="2765" ht="12.75" customHeight="1">
      <c r="A2765" s="5" t="s">
        <v>8451</v>
      </c>
      <c r="B2765" s="5" t="s">
        <v>8452</v>
      </c>
      <c r="C2765" s="5" t="s">
        <v>8451</v>
      </c>
      <c r="D2765" s="5" t="s">
        <v>34</v>
      </c>
      <c r="E2765" s="5" t="s">
        <v>42</v>
      </c>
      <c r="F2765" s="5" t="s">
        <v>556</v>
      </c>
      <c r="G2765" s="10" t="s">
        <v>72</v>
      </c>
    </row>
    <row r="2766" ht="12.75" customHeight="1">
      <c r="A2766" s="5" t="s">
        <v>8453</v>
      </c>
      <c r="B2766" s="10" t="s">
        <v>8454</v>
      </c>
      <c r="C2766" s="5" t="s">
        <v>8455</v>
      </c>
      <c r="D2766" s="5" t="s">
        <v>30</v>
      </c>
      <c r="E2766" s="5" t="s">
        <v>42</v>
      </c>
      <c r="F2766" s="5" t="s">
        <v>2420</v>
      </c>
    </row>
    <row r="2767" ht="12.75" customHeight="1">
      <c r="A2767" s="5" t="s">
        <v>8456</v>
      </c>
      <c r="B2767" s="5" t="s">
        <v>8457</v>
      </c>
      <c r="C2767" s="5" t="s">
        <v>8456</v>
      </c>
      <c r="D2767" s="5" t="s">
        <v>34</v>
      </c>
      <c r="E2767" s="5" t="s">
        <v>35</v>
      </c>
      <c r="F2767" s="5" t="s">
        <v>616</v>
      </c>
    </row>
    <row r="2768" ht="12.75" customHeight="1">
      <c r="A2768" s="5" t="s">
        <v>8458</v>
      </c>
      <c r="B2768" s="10" t="s">
        <v>8459</v>
      </c>
      <c r="C2768" s="5" t="s">
        <v>8460</v>
      </c>
      <c r="D2768" s="5" t="s">
        <v>34</v>
      </c>
      <c r="E2768" s="5" t="s">
        <v>42</v>
      </c>
      <c r="F2768" s="5" t="s">
        <v>423</v>
      </c>
      <c r="L2768" s="5" t="s">
        <v>8461</v>
      </c>
    </row>
    <row r="2769" ht="12.75" customHeight="1">
      <c r="A2769" s="5" t="s">
        <v>8462</v>
      </c>
      <c r="B2769" s="5" t="s">
        <v>8463</v>
      </c>
      <c r="C2769" s="5" t="s">
        <v>8464</v>
      </c>
      <c r="D2769" s="5" t="s">
        <v>38</v>
      </c>
      <c r="E2769" s="5" t="s">
        <v>42</v>
      </c>
      <c r="F2769" s="5" t="s">
        <v>228</v>
      </c>
      <c r="G2769" s="10" t="s">
        <v>72</v>
      </c>
    </row>
    <row r="2770" ht="12.75" customHeight="1">
      <c r="A2770" s="5" t="s">
        <v>8465</v>
      </c>
      <c r="B2770" s="5" t="s">
        <v>8466</v>
      </c>
      <c r="C2770" s="5" t="s">
        <v>8464</v>
      </c>
      <c r="D2770" s="5" t="s">
        <v>38</v>
      </c>
      <c r="E2770" s="5" t="s">
        <v>42</v>
      </c>
      <c r="F2770" s="5" t="s">
        <v>228</v>
      </c>
    </row>
    <row r="2771" ht="12.75" customHeight="1">
      <c r="A2771" s="5" t="s">
        <v>8467</v>
      </c>
      <c r="B2771" s="5" t="s">
        <v>8468</v>
      </c>
      <c r="C2771" s="5" t="s">
        <v>61</v>
      </c>
      <c r="D2771" s="5" t="s">
        <v>34</v>
      </c>
      <c r="E2771" s="5" t="s">
        <v>42</v>
      </c>
      <c r="F2771" s="5" t="s">
        <v>113</v>
      </c>
    </row>
    <row r="2772" ht="12.75" customHeight="1">
      <c r="A2772" s="5" t="s">
        <v>8469</v>
      </c>
      <c r="B2772" s="5" t="s">
        <v>8470</v>
      </c>
      <c r="C2772" s="5" t="s">
        <v>8469</v>
      </c>
      <c r="D2772" s="5" t="s">
        <v>22</v>
      </c>
      <c r="E2772" s="5" t="s">
        <v>35</v>
      </c>
      <c r="F2772" s="5" t="s">
        <v>77</v>
      </c>
    </row>
    <row r="2773" ht="12.75" customHeight="1">
      <c r="A2773" s="5" t="s">
        <v>8471</v>
      </c>
      <c r="B2773" s="10" t="s">
        <v>8472</v>
      </c>
      <c r="C2773" s="5" t="s">
        <v>8471</v>
      </c>
      <c r="D2773" s="5" t="s">
        <v>74</v>
      </c>
      <c r="E2773" s="5" t="s">
        <v>42</v>
      </c>
      <c r="F2773" s="5" t="s">
        <v>1753</v>
      </c>
    </row>
    <row r="2774" ht="12.75" customHeight="1">
      <c r="A2774" s="5" t="s">
        <v>8473</v>
      </c>
      <c r="B2774" s="5" t="s">
        <v>8474</v>
      </c>
      <c r="C2774" s="5" t="s">
        <v>8473</v>
      </c>
      <c r="D2774" s="5" t="s">
        <v>34</v>
      </c>
      <c r="E2774" s="5" t="s">
        <v>42</v>
      </c>
      <c r="F2774" s="5" t="s">
        <v>672</v>
      </c>
    </row>
    <row r="2775" ht="12.75" customHeight="1">
      <c r="A2775" s="5" t="s">
        <v>8475</v>
      </c>
      <c r="B2775" s="5" t="s">
        <v>8476</v>
      </c>
      <c r="C2775" s="5" t="s">
        <v>8475</v>
      </c>
      <c r="D2775" s="5" t="s">
        <v>124</v>
      </c>
      <c r="E2775" s="5" t="s">
        <v>35</v>
      </c>
      <c r="F2775" s="5" t="s">
        <v>763</v>
      </c>
    </row>
    <row r="2776" ht="12.75" customHeight="1">
      <c r="A2776" s="5" t="s">
        <v>8477</v>
      </c>
      <c r="B2776" s="10" t="s">
        <v>8478</v>
      </c>
      <c r="C2776" s="5" t="s">
        <v>8477</v>
      </c>
      <c r="D2776" s="5" t="s">
        <v>34</v>
      </c>
      <c r="E2776" s="5" t="s">
        <v>35</v>
      </c>
      <c r="F2776" s="5" t="s">
        <v>429</v>
      </c>
    </row>
    <row r="2777" ht="12.75" customHeight="1">
      <c r="A2777" s="5" t="s">
        <v>8479</v>
      </c>
      <c r="B2777" s="5" t="s">
        <v>8480</v>
      </c>
      <c r="C2777" s="5" t="s">
        <v>8481</v>
      </c>
      <c r="D2777" s="5" t="s">
        <v>38</v>
      </c>
      <c r="E2777" s="5" t="s">
        <v>35</v>
      </c>
      <c r="F2777" s="5" t="s">
        <v>913</v>
      </c>
    </row>
    <row r="2778" ht="12.75" customHeight="1">
      <c r="A2778" s="5" t="s">
        <v>8482</v>
      </c>
      <c r="B2778" s="10" t="s">
        <v>8483</v>
      </c>
      <c r="C2778" s="5" t="s">
        <v>8484</v>
      </c>
      <c r="D2778" s="5" t="s">
        <v>168</v>
      </c>
      <c r="E2778" s="5" t="s">
        <v>42</v>
      </c>
      <c r="F2778" s="5" t="s">
        <v>426</v>
      </c>
    </row>
    <row r="2779" ht="12.75" customHeight="1">
      <c r="A2779" s="5" t="s">
        <v>8485</v>
      </c>
      <c r="B2779" s="5" t="s">
        <v>8486</v>
      </c>
      <c r="C2779" s="5" t="s">
        <v>8487</v>
      </c>
      <c r="D2779" s="5" t="s">
        <v>34</v>
      </c>
      <c r="E2779" s="5" t="s">
        <v>42</v>
      </c>
      <c r="F2779" s="5" t="s">
        <v>672</v>
      </c>
    </row>
    <row r="2780" ht="12.75" customHeight="1">
      <c r="A2780" s="5" t="s">
        <v>8488</v>
      </c>
      <c r="B2780" s="10" t="s">
        <v>8489</v>
      </c>
      <c r="C2780" s="5" t="s">
        <v>8488</v>
      </c>
      <c r="D2780" s="5" t="s">
        <v>34</v>
      </c>
      <c r="E2780" s="5" t="s">
        <v>35</v>
      </c>
      <c r="F2780" s="5" t="s">
        <v>913</v>
      </c>
    </row>
    <row r="2781" ht="12.75" customHeight="1">
      <c r="A2781" s="5" t="s">
        <v>8490</v>
      </c>
      <c r="B2781" s="10" t="s">
        <v>8491</v>
      </c>
      <c r="C2781" s="5" t="s">
        <v>8490</v>
      </c>
      <c r="D2781" s="5" t="s">
        <v>38</v>
      </c>
      <c r="E2781" s="5" t="s">
        <v>35</v>
      </c>
      <c r="F2781" s="5" t="s">
        <v>90</v>
      </c>
    </row>
    <row r="2782" ht="12.75" customHeight="1">
      <c r="A2782" s="5" t="s">
        <v>8492</v>
      </c>
      <c r="B2782" s="10" t="s">
        <v>8493</v>
      </c>
      <c r="C2782" s="5" t="s">
        <v>8492</v>
      </c>
      <c r="D2782" s="5" t="s">
        <v>34</v>
      </c>
      <c r="E2782" s="5" t="s">
        <v>35</v>
      </c>
      <c r="F2782" s="5" t="s">
        <v>913</v>
      </c>
    </row>
    <row r="2783" ht="12.75" customHeight="1">
      <c r="A2783" s="5" t="s">
        <v>8494</v>
      </c>
      <c r="B2783" s="5" t="s">
        <v>8495</v>
      </c>
      <c r="C2783" s="5" t="s">
        <v>8494</v>
      </c>
      <c r="D2783" s="5" t="s">
        <v>124</v>
      </c>
      <c r="E2783" s="5" t="s">
        <v>42</v>
      </c>
      <c r="F2783" s="5" t="s">
        <v>4550</v>
      </c>
    </row>
    <row r="2784" ht="12.75" customHeight="1">
      <c r="A2784" s="5" t="s">
        <v>8496</v>
      </c>
      <c r="B2784" s="5" t="s">
        <v>8497</v>
      </c>
      <c r="C2784" s="5" t="s">
        <v>8498</v>
      </c>
      <c r="D2784" s="5" t="s">
        <v>12</v>
      </c>
      <c r="E2784" s="5" t="s">
        <v>35</v>
      </c>
      <c r="F2784" s="5" t="s">
        <v>320</v>
      </c>
      <c r="G2784" s="10" t="s">
        <v>72</v>
      </c>
      <c r="K2784" s="5" t="s">
        <v>8499</v>
      </c>
    </row>
    <row r="2785" ht="12.75" customHeight="1">
      <c r="A2785" s="5" t="s">
        <v>8499</v>
      </c>
      <c r="B2785" s="10" t="s">
        <v>8500</v>
      </c>
      <c r="D2785" s="5" t="s">
        <v>12</v>
      </c>
      <c r="E2785" s="5" t="s">
        <v>35</v>
      </c>
      <c r="F2785" s="5" t="s">
        <v>320</v>
      </c>
      <c r="G2785" s="10" t="s">
        <v>72</v>
      </c>
      <c r="H2785" s="5" t="s">
        <v>8496</v>
      </c>
    </row>
    <row r="2786" ht="12.75" customHeight="1">
      <c r="A2786" s="5" t="s">
        <v>8501</v>
      </c>
      <c r="B2786" s="5" t="s">
        <v>8502</v>
      </c>
      <c r="C2786" s="5" t="s">
        <v>8501</v>
      </c>
      <c r="D2786" s="5" t="s">
        <v>124</v>
      </c>
      <c r="E2786" s="5" t="s">
        <v>42</v>
      </c>
      <c r="F2786" s="5" t="s">
        <v>426</v>
      </c>
    </row>
    <row r="2787" ht="12.75" customHeight="1">
      <c r="A2787" s="5" t="s">
        <v>8503</v>
      </c>
      <c r="B2787" s="10" t="s">
        <v>8504</v>
      </c>
      <c r="C2787" s="5" t="s">
        <v>8503</v>
      </c>
      <c r="D2787" s="5" t="s">
        <v>34</v>
      </c>
      <c r="E2787" s="5" t="s">
        <v>35</v>
      </c>
      <c r="F2787" s="5" t="s">
        <v>110</v>
      </c>
    </row>
    <row r="2788" ht="12.75" customHeight="1">
      <c r="A2788" s="5" t="s">
        <v>8505</v>
      </c>
      <c r="B2788" s="5" t="s">
        <v>8506</v>
      </c>
      <c r="C2788" s="5" t="s">
        <v>8505</v>
      </c>
      <c r="D2788" s="5" t="s">
        <v>34</v>
      </c>
      <c r="E2788" s="5" t="s">
        <v>42</v>
      </c>
      <c r="F2788" s="5" t="s">
        <v>83</v>
      </c>
    </row>
    <row r="2789" ht="12.75" customHeight="1">
      <c r="A2789" s="5" t="s">
        <v>8507</v>
      </c>
      <c r="B2789" s="5" t="s">
        <v>8508</v>
      </c>
      <c r="C2789" s="5" t="s">
        <v>8507</v>
      </c>
      <c r="D2789" s="5" t="s">
        <v>30</v>
      </c>
      <c r="E2789" s="5" t="s">
        <v>35</v>
      </c>
      <c r="F2789" s="5" t="s">
        <v>1831</v>
      </c>
      <c r="G2789" s="10" t="s">
        <v>72</v>
      </c>
    </row>
    <row r="2790" ht="12.75" customHeight="1">
      <c r="A2790" s="5" t="s">
        <v>8509</v>
      </c>
      <c r="B2790" s="5" t="s">
        <v>8510</v>
      </c>
      <c r="C2790" s="5" t="s">
        <v>8507</v>
      </c>
      <c r="D2790" s="5" t="s">
        <v>30</v>
      </c>
      <c r="E2790" s="5" t="s">
        <v>35</v>
      </c>
      <c r="F2790" s="5" t="s">
        <v>1831</v>
      </c>
    </row>
    <row r="2791" ht="12.75" customHeight="1">
      <c r="A2791" s="5" t="s">
        <v>8511</v>
      </c>
      <c r="B2791" s="5" t="s">
        <v>8512</v>
      </c>
      <c r="C2791" s="5" t="s">
        <v>8513</v>
      </c>
      <c r="D2791" s="5" t="s">
        <v>67</v>
      </c>
      <c r="E2791" s="5" t="s">
        <v>42</v>
      </c>
      <c r="F2791" s="5" t="s">
        <v>1727</v>
      </c>
    </row>
    <row r="2792" ht="12.75" customHeight="1">
      <c r="A2792" s="5" t="s">
        <v>8514</v>
      </c>
      <c r="B2792" s="5" t="s">
        <v>8515</v>
      </c>
      <c r="C2792" s="5" t="s">
        <v>8514</v>
      </c>
      <c r="D2792" s="5" t="s">
        <v>80</v>
      </c>
      <c r="E2792" s="5" t="s">
        <v>42</v>
      </c>
      <c r="F2792" s="5" t="s">
        <v>2420</v>
      </c>
      <c r="H2792" s="5" t="s">
        <v>8516</v>
      </c>
    </row>
    <row r="2793" ht="12.75" customHeight="1">
      <c r="A2793" s="5" t="s">
        <v>8517</v>
      </c>
      <c r="B2793" s="10" t="s">
        <v>8518</v>
      </c>
      <c r="C2793" s="5" t="s">
        <v>8519</v>
      </c>
      <c r="D2793" s="5" t="s">
        <v>50</v>
      </c>
      <c r="E2793" s="5" t="s">
        <v>42</v>
      </c>
      <c r="F2793" s="5" t="s">
        <v>556</v>
      </c>
      <c r="G2793" s="10" t="s">
        <v>72</v>
      </c>
    </row>
    <row r="2794" ht="12.75" customHeight="1">
      <c r="A2794" s="5" t="s">
        <v>8520</v>
      </c>
      <c r="B2794" s="5" t="s">
        <v>8521</v>
      </c>
      <c r="C2794" s="5" t="s">
        <v>6834</v>
      </c>
      <c r="D2794" s="5" t="s">
        <v>50</v>
      </c>
      <c r="E2794" s="5" t="s">
        <v>42</v>
      </c>
      <c r="F2794" s="5" t="s">
        <v>572</v>
      </c>
    </row>
    <row r="2795" ht="12.75" customHeight="1">
      <c r="A2795" s="5" t="s">
        <v>8522</v>
      </c>
      <c r="B2795" s="10" t="s">
        <v>8523</v>
      </c>
      <c r="C2795" s="5" t="s">
        <v>931</v>
      </c>
      <c r="D2795" s="5" t="s">
        <v>34</v>
      </c>
      <c r="E2795" s="5" t="s">
        <v>42</v>
      </c>
      <c r="F2795" s="5" t="s">
        <v>65</v>
      </c>
      <c r="G2795" s="10" t="s">
        <v>72</v>
      </c>
      <c r="L2795" s="5" t="s">
        <v>8524</v>
      </c>
      <c r="M2795" s="5" t="s">
        <v>8524</v>
      </c>
    </row>
    <row r="2796" ht="12.75" customHeight="1">
      <c r="A2796" s="5" t="s">
        <v>8525</v>
      </c>
      <c r="B2796" s="5" t="s">
        <v>8526</v>
      </c>
      <c r="C2796" s="5" t="s">
        <v>8527</v>
      </c>
      <c r="D2796" s="5" t="s">
        <v>50</v>
      </c>
      <c r="E2796" s="5" t="s">
        <v>35</v>
      </c>
      <c r="F2796" s="5" t="s">
        <v>695</v>
      </c>
    </row>
    <row r="2797" ht="12.75" customHeight="1">
      <c r="A2797" s="5" t="s">
        <v>8528</v>
      </c>
      <c r="B2797" s="5" t="s">
        <v>8529</v>
      </c>
      <c r="C2797" s="5" t="s">
        <v>8528</v>
      </c>
      <c r="D2797" s="5" t="s">
        <v>67</v>
      </c>
      <c r="E2797" s="5" t="s">
        <v>35</v>
      </c>
      <c r="F2797" s="5" t="s">
        <v>624</v>
      </c>
    </row>
    <row r="2798" ht="12.75" customHeight="1">
      <c r="A2798" s="5" t="s">
        <v>8530</v>
      </c>
      <c r="B2798" s="5" t="s">
        <v>8531</v>
      </c>
      <c r="C2798" s="5" t="s">
        <v>8530</v>
      </c>
      <c r="D2798" s="5" t="s">
        <v>34</v>
      </c>
      <c r="E2798" s="5" t="s">
        <v>42</v>
      </c>
      <c r="F2798" s="5" t="s">
        <v>575</v>
      </c>
      <c r="G2798" s="10" t="s">
        <v>72</v>
      </c>
    </row>
    <row r="2799" ht="12.75" customHeight="1">
      <c r="A2799" s="5" t="s">
        <v>8532</v>
      </c>
      <c r="B2799" s="5" t="s">
        <v>8533</v>
      </c>
      <c r="C2799" s="5" t="s">
        <v>8532</v>
      </c>
      <c r="D2799" s="5" t="s">
        <v>22</v>
      </c>
      <c r="E2799" s="5" t="s">
        <v>42</v>
      </c>
      <c r="F2799" s="5" t="s">
        <v>637</v>
      </c>
      <c r="G2799" s="10" t="s">
        <v>72</v>
      </c>
    </row>
    <row r="2800" ht="12.75" customHeight="1">
      <c r="A2800" s="5" t="s">
        <v>8534</v>
      </c>
      <c r="B2800" s="5" t="s">
        <v>8535</v>
      </c>
      <c r="C2800" s="5" t="s">
        <v>8536</v>
      </c>
      <c r="D2800" s="5" t="s">
        <v>67</v>
      </c>
      <c r="E2800" s="5" t="s">
        <v>42</v>
      </c>
      <c r="F2800" s="5" t="s">
        <v>1694</v>
      </c>
    </row>
    <row r="2801" ht="12.75" customHeight="1">
      <c r="A2801" s="5" t="s">
        <v>8537</v>
      </c>
      <c r="B2801" s="5" t="s">
        <v>8538</v>
      </c>
      <c r="C2801" s="5" t="s">
        <v>8539</v>
      </c>
      <c r="D2801" s="5" t="s">
        <v>50</v>
      </c>
      <c r="E2801" s="5" t="s">
        <v>42</v>
      </c>
      <c r="F2801" s="5" t="s">
        <v>445</v>
      </c>
    </row>
    <row r="2802" ht="12.75" customHeight="1">
      <c r="A2802" s="5" t="s">
        <v>8540</v>
      </c>
      <c r="B2802" s="5" t="s">
        <v>8541</v>
      </c>
      <c r="C2802" s="5" t="s">
        <v>8540</v>
      </c>
      <c r="D2802" s="5" t="s">
        <v>34</v>
      </c>
      <c r="E2802" s="5" t="s">
        <v>42</v>
      </c>
      <c r="F2802" s="5" t="s">
        <v>199</v>
      </c>
    </row>
    <row r="2803" ht="12.75" customHeight="1">
      <c r="A2803" s="5" t="s">
        <v>8542</v>
      </c>
      <c r="B2803" s="5" t="s">
        <v>8543</v>
      </c>
      <c r="C2803" s="5" t="s">
        <v>8542</v>
      </c>
      <c r="D2803" s="5" t="s">
        <v>80</v>
      </c>
      <c r="E2803" s="5" t="s">
        <v>42</v>
      </c>
      <c r="F2803" s="5" t="s">
        <v>967</v>
      </c>
    </row>
    <row r="2804" ht="12.75" customHeight="1">
      <c r="A2804" s="5" t="s">
        <v>8544</v>
      </c>
      <c r="B2804" s="10" t="s">
        <v>8545</v>
      </c>
      <c r="C2804" s="5" t="s">
        <v>8546</v>
      </c>
      <c r="D2804" s="5" t="s">
        <v>50</v>
      </c>
      <c r="E2804" s="5" t="s">
        <v>35</v>
      </c>
      <c r="F2804" s="5" t="s">
        <v>913</v>
      </c>
    </row>
    <row r="2805" ht="12.75" customHeight="1">
      <c r="A2805" s="5" t="s">
        <v>8547</v>
      </c>
      <c r="B2805" s="5" t="s">
        <v>8548</v>
      </c>
      <c r="C2805" s="5" t="s">
        <v>937</v>
      </c>
      <c r="D2805" s="5" t="s">
        <v>50</v>
      </c>
      <c r="E2805" s="5" t="s">
        <v>42</v>
      </c>
      <c r="F2805" s="5" t="s">
        <v>720</v>
      </c>
      <c r="G2805" s="10" t="s">
        <v>72</v>
      </c>
    </row>
    <row r="2806" ht="12.75" customHeight="1">
      <c r="A2806" s="5" t="s">
        <v>8549</v>
      </c>
      <c r="B2806" s="5" t="s">
        <v>8550</v>
      </c>
      <c r="C2806" s="5" t="s">
        <v>8549</v>
      </c>
      <c r="D2806" s="5" t="s">
        <v>34</v>
      </c>
      <c r="E2806" s="5" t="s">
        <v>35</v>
      </c>
      <c r="F2806" s="5" t="s">
        <v>695</v>
      </c>
    </row>
    <row r="2807" ht="12.75" customHeight="1">
      <c r="A2807" s="5" t="s">
        <v>8551</v>
      </c>
      <c r="B2807" s="5" t="s">
        <v>8552</v>
      </c>
      <c r="C2807" s="5" t="s">
        <v>8551</v>
      </c>
      <c r="D2807" s="5" t="s">
        <v>34</v>
      </c>
      <c r="E2807" s="5" t="s">
        <v>35</v>
      </c>
      <c r="F2807" s="5" t="s">
        <v>429</v>
      </c>
    </row>
    <row r="2808" ht="12.75" customHeight="1">
      <c r="A2808" s="5" t="s">
        <v>8553</v>
      </c>
      <c r="B2808" s="10" t="s">
        <v>8554</v>
      </c>
      <c r="C2808" s="5" t="s">
        <v>8555</v>
      </c>
      <c r="D2808" s="5" t="s">
        <v>34</v>
      </c>
      <c r="E2808" s="5" t="s">
        <v>42</v>
      </c>
      <c r="F2808" s="5" t="s">
        <v>610</v>
      </c>
    </row>
    <row r="2809" ht="12.75" customHeight="1">
      <c r="A2809" s="5" t="s">
        <v>8556</v>
      </c>
      <c r="B2809" s="5" t="s">
        <v>8557</v>
      </c>
      <c r="C2809" s="5" t="s">
        <v>8556</v>
      </c>
      <c r="D2809" s="5" t="s">
        <v>67</v>
      </c>
      <c r="E2809" s="5" t="s">
        <v>35</v>
      </c>
      <c r="F2809" s="5" t="s">
        <v>1666</v>
      </c>
    </row>
    <row r="2810" ht="12.75" customHeight="1">
      <c r="A2810" s="5" t="s">
        <v>8558</v>
      </c>
      <c r="B2810" s="5" t="s">
        <v>8559</v>
      </c>
      <c r="C2810" s="5" t="s">
        <v>8558</v>
      </c>
      <c r="D2810" s="5" t="s">
        <v>67</v>
      </c>
      <c r="E2810" s="5" t="s">
        <v>42</v>
      </c>
      <c r="F2810" s="5" t="s">
        <v>1727</v>
      </c>
    </row>
    <row r="2811" ht="12.75" customHeight="1">
      <c r="A2811" s="5" t="s">
        <v>8560</v>
      </c>
      <c r="B2811" s="5" t="s">
        <v>8561</v>
      </c>
      <c r="C2811" s="5" t="s">
        <v>8560</v>
      </c>
      <c r="D2811" s="5" t="s">
        <v>67</v>
      </c>
      <c r="E2811" s="5" t="s">
        <v>35</v>
      </c>
      <c r="F2811" s="5" t="s">
        <v>1541</v>
      </c>
    </row>
    <row r="2812" ht="12.75" customHeight="1">
      <c r="A2812" s="5" t="s">
        <v>8562</v>
      </c>
      <c r="B2812" s="5" t="s">
        <v>8563</v>
      </c>
      <c r="C2812" s="5" t="s">
        <v>8564</v>
      </c>
      <c r="D2812" s="5" t="s">
        <v>67</v>
      </c>
      <c r="E2812" s="5" t="s">
        <v>42</v>
      </c>
      <c r="F2812" s="5" t="s">
        <v>1672</v>
      </c>
      <c r="G2812" s="10" t="s">
        <v>72</v>
      </c>
    </row>
    <row r="2813" ht="12.75" customHeight="1">
      <c r="A2813" s="5" t="s">
        <v>8565</v>
      </c>
      <c r="B2813" s="5" t="s">
        <v>8566</v>
      </c>
      <c r="C2813" s="5" t="s">
        <v>8567</v>
      </c>
      <c r="D2813" s="5" t="s">
        <v>67</v>
      </c>
      <c r="E2813" s="5" t="s">
        <v>35</v>
      </c>
      <c r="F2813" s="5" t="s">
        <v>624</v>
      </c>
    </row>
    <row r="2814" ht="12.75" customHeight="1">
      <c r="A2814" s="5" t="s">
        <v>8568</v>
      </c>
      <c r="B2814" s="5" t="s">
        <v>8569</v>
      </c>
      <c r="C2814" s="5" t="s">
        <v>8568</v>
      </c>
      <c r="D2814" s="5" t="s">
        <v>50</v>
      </c>
      <c r="E2814" s="5" t="s">
        <v>35</v>
      </c>
      <c r="F2814" s="5" t="s">
        <v>1776</v>
      </c>
    </row>
    <row r="2815" ht="12.75" customHeight="1">
      <c r="A2815" s="5" t="s">
        <v>8570</v>
      </c>
      <c r="B2815" s="5" t="s">
        <v>8571</v>
      </c>
      <c r="C2815" s="5" t="s">
        <v>8570</v>
      </c>
      <c r="D2815" s="5" t="s">
        <v>50</v>
      </c>
      <c r="E2815" s="5" t="s">
        <v>35</v>
      </c>
      <c r="F2815" s="5" t="s">
        <v>619</v>
      </c>
    </row>
    <row r="2816" ht="12.75" customHeight="1">
      <c r="A2816" s="5" t="s">
        <v>8572</v>
      </c>
      <c r="B2816" s="10" t="s">
        <v>8573</v>
      </c>
      <c r="C2816" s="5" t="s">
        <v>8574</v>
      </c>
      <c r="D2816" s="5" t="s">
        <v>22</v>
      </c>
      <c r="E2816" s="5" t="s">
        <v>42</v>
      </c>
      <c r="F2816" s="5" t="s">
        <v>756</v>
      </c>
    </row>
    <row r="2817" ht="12.75" customHeight="1">
      <c r="A2817" s="5" t="s">
        <v>8575</v>
      </c>
      <c r="B2817" s="10" t="s">
        <v>8576</v>
      </c>
      <c r="C2817" s="5" t="s">
        <v>8575</v>
      </c>
      <c r="D2817" s="5" t="s">
        <v>34</v>
      </c>
      <c r="E2817" s="5" t="s">
        <v>35</v>
      </c>
      <c r="F2817" s="5" t="s">
        <v>172</v>
      </c>
    </row>
    <row r="2818" ht="12.75" customHeight="1">
      <c r="A2818" s="5" t="s">
        <v>8577</v>
      </c>
      <c r="B2818" s="5" t="s">
        <v>8578</v>
      </c>
      <c r="C2818" s="5" t="s">
        <v>8577</v>
      </c>
      <c r="D2818" s="5" t="s">
        <v>34</v>
      </c>
      <c r="E2818" s="5" t="s">
        <v>42</v>
      </c>
      <c r="F2818" s="5" t="s">
        <v>575</v>
      </c>
    </row>
    <row r="2819" ht="12.75" customHeight="1">
      <c r="A2819" s="5" t="s">
        <v>8579</v>
      </c>
      <c r="B2819" s="5" t="s">
        <v>8580</v>
      </c>
      <c r="C2819" s="5" t="s">
        <v>8579</v>
      </c>
      <c r="D2819" s="5" t="s">
        <v>34</v>
      </c>
      <c r="E2819" s="5" t="s">
        <v>42</v>
      </c>
      <c r="F2819" s="5" t="s">
        <v>556</v>
      </c>
    </row>
    <row r="2820" ht="12.75" customHeight="1">
      <c r="A2820" s="5" t="s">
        <v>8581</v>
      </c>
      <c r="B2820" s="5" t="s">
        <v>8582</v>
      </c>
      <c r="C2820" s="5" t="s">
        <v>8581</v>
      </c>
      <c r="D2820" s="5" t="s">
        <v>34</v>
      </c>
      <c r="E2820" s="5" t="s">
        <v>42</v>
      </c>
      <c r="F2820" s="5" t="s">
        <v>720</v>
      </c>
    </row>
    <row r="2821" ht="12.75" customHeight="1">
      <c r="A2821" s="5" t="s">
        <v>8583</v>
      </c>
      <c r="B2821" s="5" t="s">
        <v>8584</v>
      </c>
      <c r="C2821" s="5" t="s">
        <v>8583</v>
      </c>
      <c r="D2821" s="5" t="s">
        <v>34</v>
      </c>
      <c r="E2821" s="5" t="s">
        <v>42</v>
      </c>
      <c r="F2821" s="5" t="s">
        <v>167</v>
      </c>
      <c r="G2821" s="10" t="s">
        <v>72</v>
      </c>
    </row>
    <row r="2822" ht="12.75" customHeight="1">
      <c r="A2822" s="5" t="s">
        <v>8585</v>
      </c>
      <c r="B2822" s="5" t="s">
        <v>8586</v>
      </c>
      <c r="C2822" s="5" t="s">
        <v>8585</v>
      </c>
      <c r="D2822" s="5" t="s">
        <v>34</v>
      </c>
      <c r="E2822" s="5" t="s">
        <v>42</v>
      </c>
      <c r="F2822" s="5" t="s">
        <v>1991</v>
      </c>
    </row>
    <row r="2823" ht="12.75" customHeight="1">
      <c r="A2823" s="5" t="s">
        <v>8587</v>
      </c>
      <c r="B2823" s="10" t="s">
        <v>8588</v>
      </c>
      <c r="C2823" s="5" t="s">
        <v>8589</v>
      </c>
      <c r="D2823" s="5" t="s">
        <v>34</v>
      </c>
      <c r="E2823" s="5" t="s">
        <v>35</v>
      </c>
      <c r="F2823" s="5" t="s">
        <v>104</v>
      </c>
      <c r="L2823" s="5" t="s">
        <v>8590</v>
      </c>
    </row>
    <row r="2824" ht="12.75" customHeight="1">
      <c r="A2824" s="5" t="s">
        <v>8591</v>
      </c>
      <c r="B2824" s="5" t="s">
        <v>8592</v>
      </c>
      <c r="C2824" s="5" t="s">
        <v>8591</v>
      </c>
      <c r="D2824" s="5" t="s">
        <v>124</v>
      </c>
      <c r="E2824" s="5" t="s">
        <v>42</v>
      </c>
      <c r="F2824" s="5" t="s">
        <v>426</v>
      </c>
    </row>
    <row r="2825" ht="12.75" customHeight="1">
      <c r="A2825" s="5" t="s">
        <v>8593</v>
      </c>
      <c r="B2825" s="5" t="s">
        <v>8594</v>
      </c>
      <c r="C2825" s="5" t="s">
        <v>8593</v>
      </c>
      <c r="D2825" s="5" t="s">
        <v>34</v>
      </c>
      <c r="E2825" s="5" t="s">
        <v>35</v>
      </c>
      <c r="F2825" s="5" t="s">
        <v>77</v>
      </c>
    </row>
    <row r="2826" ht="12.75" customHeight="1">
      <c r="A2826" s="5" t="s">
        <v>8595</v>
      </c>
      <c r="B2826" s="5" t="s">
        <v>8596</v>
      </c>
      <c r="C2826" s="5" t="s">
        <v>8597</v>
      </c>
      <c r="D2826" s="5" t="s">
        <v>38</v>
      </c>
      <c r="E2826" s="5" t="s">
        <v>35</v>
      </c>
      <c r="F2826" s="5" t="s">
        <v>8598</v>
      </c>
    </row>
    <row r="2827" ht="12.75" customHeight="1">
      <c r="A2827" s="5" t="s">
        <v>8599</v>
      </c>
      <c r="B2827" s="10" t="s">
        <v>8600</v>
      </c>
      <c r="C2827" s="5" t="s">
        <v>8599</v>
      </c>
      <c r="D2827" s="5" t="s">
        <v>34</v>
      </c>
      <c r="E2827" s="5" t="s">
        <v>35</v>
      </c>
      <c r="F2827" s="5" t="s">
        <v>619</v>
      </c>
    </row>
    <row r="2828" ht="12.75" customHeight="1">
      <c r="A2828" s="5" t="s">
        <v>8601</v>
      </c>
      <c r="B2828" s="10" t="s">
        <v>8602</v>
      </c>
      <c r="C2828" s="5" t="s">
        <v>8603</v>
      </c>
      <c r="D2828" s="5" t="s">
        <v>124</v>
      </c>
      <c r="E2828" s="5" t="s">
        <v>42</v>
      </c>
      <c r="F2828" s="5" t="s">
        <v>4550</v>
      </c>
    </row>
    <row r="2829" ht="12.75" customHeight="1">
      <c r="A2829" s="5" t="s">
        <v>8604</v>
      </c>
      <c r="B2829" s="5" t="s">
        <v>8605</v>
      </c>
      <c r="C2829" s="5" t="s">
        <v>8606</v>
      </c>
      <c r="D2829" s="5" t="s">
        <v>34</v>
      </c>
      <c r="E2829" s="5" t="s">
        <v>42</v>
      </c>
      <c r="F2829" s="5" t="s">
        <v>756</v>
      </c>
    </row>
    <row r="2830" ht="12.75" customHeight="1">
      <c r="A2830" s="5" t="s">
        <v>8607</v>
      </c>
      <c r="B2830" s="5" t="s">
        <v>8608</v>
      </c>
      <c r="C2830" s="5" t="s">
        <v>8609</v>
      </c>
      <c r="D2830" s="5" t="s">
        <v>67</v>
      </c>
      <c r="E2830" s="5" t="s">
        <v>42</v>
      </c>
      <c r="F2830" s="5" t="s">
        <v>1260</v>
      </c>
    </row>
    <row r="2831" ht="12.75" customHeight="1">
      <c r="A2831" s="5" t="s">
        <v>8610</v>
      </c>
      <c r="B2831" s="5" t="s">
        <v>8611</v>
      </c>
      <c r="C2831" s="5" t="s">
        <v>8610</v>
      </c>
      <c r="D2831" s="5" t="s">
        <v>34</v>
      </c>
      <c r="E2831" s="5" t="s">
        <v>35</v>
      </c>
      <c r="F2831" s="5" t="s">
        <v>710</v>
      </c>
    </row>
    <row r="2832" ht="12.75" customHeight="1">
      <c r="A2832" s="5" t="s">
        <v>8612</v>
      </c>
      <c r="B2832" s="5" t="s">
        <v>8613</v>
      </c>
      <c r="C2832" s="5" t="s">
        <v>8612</v>
      </c>
      <c r="D2832" s="5" t="s">
        <v>67</v>
      </c>
      <c r="E2832" s="5" t="s">
        <v>42</v>
      </c>
      <c r="F2832" s="5" t="s">
        <v>1727</v>
      </c>
    </row>
    <row r="2833" ht="12.75" customHeight="1">
      <c r="A2833" s="5" t="s">
        <v>8614</v>
      </c>
      <c r="B2833" s="5" t="s">
        <v>8615</v>
      </c>
      <c r="C2833" s="5" t="s">
        <v>8616</v>
      </c>
      <c r="D2833" s="5" t="s">
        <v>34</v>
      </c>
      <c r="E2833" s="5" t="s">
        <v>42</v>
      </c>
      <c r="F2833" s="5" t="s">
        <v>599</v>
      </c>
      <c r="G2833" s="10" t="s">
        <v>72</v>
      </c>
      <c r="H2833" s="5" t="s">
        <v>8617</v>
      </c>
    </row>
    <row r="2834" ht="12.75" customHeight="1">
      <c r="A2834" s="5" t="s">
        <v>8618</v>
      </c>
      <c r="B2834" s="5" t="s">
        <v>8619</v>
      </c>
      <c r="D2834" s="5" t="s">
        <v>34</v>
      </c>
      <c r="E2834" s="5" t="s">
        <v>42</v>
      </c>
      <c r="F2834" s="5" t="s">
        <v>43</v>
      </c>
      <c r="G2834" s="10" t="s">
        <v>72</v>
      </c>
      <c r="H2834" s="5" t="s">
        <v>8620</v>
      </c>
    </row>
    <row r="2835" ht="12.75" customHeight="1">
      <c r="A2835" s="5" t="s">
        <v>8621</v>
      </c>
      <c r="B2835" s="5" t="s">
        <v>8622</v>
      </c>
      <c r="D2835" s="5" t="s">
        <v>34</v>
      </c>
      <c r="E2835" s="5" t="s">
        <v>42</v>
      </c>
      <c r="F2835" s="5" t="s">
        <v>720</v>
      </c>
      <c r="G2835" s="10" t="s">
        <v>72</v>
      </c>
      <c r="H2835" s="5" t="s">
        <v>8620</v>
      </c>
    </row>
    <row r="2836" ht="12.75" customHeight="1">
      <c r="A2836" s="5" t="s">
        <v>8623</v>
      </c>
      <c r="B2836" s="5" t="s">
        <v>8624</v>
      </c>
      <c r="D2836" s="5" t="s">
        <v>34</v>
      </c>
      <c r="E2836" s="5" t="s">
        <v>42</v>
      </c>
      <c r="F2836" s="5" t="s">
        <v>65</v>
      </c>
      <c r="G2836" s="10" t="s">
        <v>72</v>
      </c>
      <c r="H2836" s="5" t="s">
        <v>8620</v>
      </c>
    </row>
    <row r="2837" ht="12.75" customHeight="1">
      <c r="A2837" s="5" t="s">
        <v>8625</v>
      </c>
      <c r="B2837" s="5" t="s">
        <v>8626</v>
      </c>
      <c r="D2837" s="5" t="s">
        <v>34</v>
      </c>
      <c r="E2837" s="5" t="s">
        <v>42</v>
      </c>
      <c r="F2837" s="5" t="s">
        <v>445</v>
      </c>
      <c r="G2837" s="10" t="s">
        <v>72</v>
      </c>
      <c r="H2837" s="5" t="s">
        <v>8627</v>
      </c>
    </row>
    <row r="2838" ht="12.75" customHeight="1">
      <c r="A2838" s="5" t="s">
        <v>8628</v>
      </c>
      <c r="B2838" s="5" t="s">
        <v>8629</v>
      </c>
      <c r="D2838" s="5" t="s">
        <v>34</v>
      </c>
      <c r="E2838" s="5" t="s">
        <v>42</v>
      </c>
      <c r="F2838" s="5" t="s">
        <v>54</v>
      </c>
      <c r="G2838" s="10" t="s">
        <v>72</v>
      </c>
      <c r="H2838" s="5" t="s">
        <v>8627</v>
      </c>
    </row>
    <row r="2839" ht="12.75" customHeight="1">
      <c r="A2839" s="5" t="s">
        <v>8630</v>
      </c>
      <c r="B2839" s="5" t="s">
        <v>8631</v>
      </c>
      <c r="D2839" s="5" t="s">
        <v>34</v>
      </c>
      <c r="E2839" s="5" t="s">
        <v>42</v>
      </c>
      <c r="F2839" s="5" t="s">
        <v>575</v>
      </c>
      <c r="G2839" s="10" t="s">
        <v>72</v>
      </c>
      <c r="H2839" s="5" t="s">
        <v>8627</v>
      </c>
    </row>
    <row r="2840" ht="12.75" customHeight="1">
      <c r="A2840" s="5" t="s">
        <v>8632</v>
      </c>
      <c r="B2840" s="5" t="s">
        <v>8633</v>
      </c>
      <c r="D2840" s="5" t="s">
        <v>34</v>
      </c>
      <c r="E2840" s="5" t="s">
        <v>42</v>
      </c>
      <c r="F2840" s="5" t="s">
        <v>720</v>
      </c>
      <c r="G2840" s="10" t="s">
        <v>72</v>
      </c>
      <c r="H2840" s="5" t="s">
        <v>8634</v>
      </c>
    </row>
    <row r="2841" ht="12.75" customHeight="1">
      <c r="A2841" s="5" t="s">
        <v>8635</v>
      </c>
      <c r="B2841" s="5" t="s">
        <v>8636</v>
      </c>
      <c r="D2841" s="5" t="s">
        <v>34</v>
      </c>
      <c r="E2841" s="5" t="s">
        <v>42</v>
      </c>
      <c r="F2841" s="5" t="s">
        <v>599</v>
      </c>
      <c r="G2841" s="10" t="s">
        <v>72</v>
      </c>
      <c r="H2841" s="5" t="s">
        <v>8637</v>
      </c>
    </row>
    <row r="2842" ht="12.75" customHeight="1">
      <c r="A2842" s="5" t="s">
        <v>8638</v>
      </c>
      <c r="B2842" s="5" t="s">
        <v>8639</v>
      </c>
      <c r="D2842" s="5" t="s">
        <v>34</v>
      </c>
      <c r="E2842" s="5" t="s">
        <v>42</v>
      </c>
      <c r="F2842" s="5" t="s">
        <v>599</v>
      </c>
      <c r="G2842" s="10" t="s">
        <v>72</v>
      </c>
      <c r="H2842" s="5" t="s">
        <v>8637</v>
      </c>
    </row>
    <row r="2843" ht="12.75" customHeight="1">
      <c r="A2843" s="5" t="s">
        <v>8640</v>
      </c>
      <c r="B2843" s="5" t="s">
        <v>8641</v>
      </c>
      <c r="D2843" s="5" t="s">
        <v>50</v>
      </c>
      <c r="E2843" s="5" t="s">
        <v>42</v>
      </c>
      <c r="F2843" s="5" t="s">
        <v>228</v>
      </c>
      <c r="G2843" s="10" t="s">
        <v>72</v>
      </c>
      <c r="H2843" s="5" t="s">
        <v>8642</v>
      </c>
    </row>
    <row r="2844" ht="12.75" customHeight="1">
      <c r="A2844" s="5" t="s">
        <v>8643</v>
      </c>
      <c r="B2844" s="5" t="s">
        <v>8644</v>
      </c>
      <c r="D2844" s="5" t="s">
        <v>34</v>
      </c>
      <c r="E2844" s="5" t="s">
        <v>42</v>
      </c>
      <c r="F2844" s="5" t="s">
        <v>599</v>
      </c>
      <c r="G2844" s="10" t="s">
        <v>72</v>
      </c>
      <c r="H2844" s="5" t="s">
        <v>8645</v>
      </c>
    </row>
    <row r="2845" ht="12.75" customHeight="1">
      <c r="A2845" s="5" t="s">
        <v>8646</v>
      </c>
      <c r="B2845" s="5" t="s">
        <v>8647</v>
      </c>
      <c r="D2845" s="5" t="s">
        <v>50</v>
      </c>
      <c r="E2845" s="5" t="s">
        <v>42</v>
      </c>
      <c r="F2845" s="5" t="s">
        <v>720</v>
      </c>
      <c r="G2845" s="10" t="s">
        <v>72</v>
      </c>
      <c r="H2845" s="5" t="s">
        <v>8634</v>
      </c>
    </row>
    <row r="2846" ht="12.75" customHeight="1">
      <c r="A2846" s="5" t="s">
        <v>8648</v>
      </c>
      <c r="B2846" s="5" t="s">
        <v>8649</v>
      </c>
      <c r="D2846" s="5" t="s">
        <v>34</v>
      </c>
      <c r="E2846" s="5" t="s">
        <v>42</v>
      </c>
      <c r="F2846" s="5" t="s">
        <v>228</v>
      </c>
      <c r="G2846" s="10" t="s">
        <v>72</v>
      </c>
      <c r="H2846" s="5" t="s">
        <v>8634</v>
      </c>
    </row>
    <row r="2847" ht="12.75" customHeight="1">
      <c r="A2847" s="5" t="s">
        <v>8650</v>
      </c>
      <c r="B2847" s="5" t="s">
        <v>8651</v>
      </c>
      <c r="D2847" s="5" t="s">
        <v>50</v>
      </c>
      <c r="E2847" s="5" t="s">
        <v>42</v>
      </c>
      <c r="F2847" s="5" t="s">
        <v>575</v>
      </c>
      <c r="G2847" s="10" t="s">
        <v>72</v>
      </c>
      <c r="H2847" s="5" t="s">
        <v>8652</v>
      </c>
    </row>
    <row r="2848" ht="12.75" customHeight="1">
      <c r="A2848" s="5" t="s">
        <v>8653</v>
      </c>
      <c r="B2848" s="5" t="s">
        <v>8654</v>
      </c>
      <c r="D2848" s="5" t="s">
        <v>34</v>
      </c>
      <c r="E2848" s="5" t="s">
        <v>42</v>
      </c>
      <c r="F2848" s="5" t="s">
        <v>720</v>
      </c>
      <c r="G2848" s="10" t="s">
        <v>72</v>
      </c>
      <c r="H2848" s="5" t="s">
        <v>8655</v>
      </c>
    </row>
    <row r="2849" ht="12.75" customHeight="1">
      <c r="A2849" s="5" t="s">
        <v>8656</v>
      </c>
      <c r="B2849" s="5" t="s">
        <v>8657</v>
      </c>
      <c r="D2849" s="5" t="s">
        <v>34</v>
      </c>
      <c r="E2849" s="5" t="s">
        <v>42</v>
      </c>
      <c r="F2849" s="5" t="s">
        <v>610</v>
      </c>
      <c r="G2849" s="10" t="s">
        <v>72</v>
      </c>
      <c r="H2849" s="5" t="s">
        <v>8658</v>
      </c>
    </row>
    <row r="2850" ht="12.75" customHeight="1">
      <c r="A2850" s="5" t="s">
        <v>8659</v>
      </c>
      <c r="B2850" s="5" t="s">
        <v>8660</v>
      </c>
      <c r="D2850" s="5" t="s">
        <v>34</v>
      </c>
      <c r="E2850" s="5" t="s">
        <v>42</v>
      </c>
      <c r="F2850" s="5" t="s">
        <v>43</v>
      </c>
      <c r="G2850" s="10" t="s">
        <v>72</v>
      </c>
      <c r="H2850" s="5" t="s">
        <v>8658</v>
      </c>
    </row>
    <row r="2851" ht="12.75" customHeight="1">
      <c r="A2851" s="5" t="s">
        <v>8661</v>
      </c>
      <c r="B2851" s="5" t="s">
        <v>8662</v>
      </c>
      <c r="C2851" s="5" t="s">
        <v>8661</v>
      </c>
      <c r="D2851" s="5" t="s">
        <v>67</v>
      </c>
      <c r="E2851" s="5" t="s">
        <v>35</v>
      </c>
      <c r="F2851" s="5" t="s">
        <v>8663</v>
      </c>
    </row>
    <row r="2852" ht="12.75" customHeight="1">
      <c r="A2852" s="5" t="s">
        <v>8664</v>
      </c>
      <c r="B2852" s="10" t="s">
        <v>8665</v>
      </c>
      <c r="C2852" s="5" t="s">
        <v>8664</v>
      </c>
      <c r="D2852" s="5" t="s">
        <v>67</v>
      </c>
      <c r="E2852" s="5" t="s">
        <v>42</v>
      </c>
      <c r="F2852" s="5" t="s">
        <v>1714</v>
      </c>
    </row>
    <row r="2853" ht="12.75" customHeight="1">
      <c r="A2853" s="5" t="s">
        <v>8666</v>
      </c>
      <c r="B2853" s="10" t="s">
        <v>8667</v>
      </c>
      <c r="C2853" s="5" t="s">
        <v>8668</v>
      </c>
      <c r="D2853" s="5" t="s">
        <v>12</v>
      </c>
      <c r="E2853" s="5" t="s">
        <v>42</v>
      </c>
      <c r="F2853" s="5" t="s">
        <v>356</v>
      </c>
      <c r="G2853" s="10" t="s">
        <v>72</v>
      </c>
    </row>
    <row r="2854" ht="12.75" customHeight="1">
      <c r="A2854" s="5" t="s">
        <v>8669</v>
      </c>
      <c r="B2854" s="5" t="s">
        <v>8670</v>
      </c>
      <c r="C2854" s="5" t="s">
        <v>8669</v>
      </c>
      <c r="D2854" s="5" t="s">
        <v>34</v>
      </c>
      <c r="E2854" s="5" t="s">
        <v>42</v>
      </c>
      <c r="F2854" s="5" t="s">
        <v>54</v>
      </c>
    </row>
    <row r="2855" ht="12.75" customHeight="1">
      <c r="A2855" s="5" t="s">
        <v>8671</v>
      </c>
      <c r="B2855" s="10" t="s">
        <v>8672</v>
      </c>
      <c r="C2855" s="5" t="s">
        <v>8673</v>
      </c>
      <c r="D2855" s="5" t="s">
        <v>38</v>
      </c>
      <c r="E2855" s="5" t="s">
        <v>42</v>
      </c>
      <c r="F2855" s="5" t="s">
        <v>454</v>
      </c>
    </row>
    <row r="2856" ht="12.75" customHeight="1">
      <c r="A2856" s="5" t="s">
        <v>8674</v>
      </c>
      <c r="B2856" s="10" t="s">
        <v>8675</v>
      </c>
      <c r="C2856" s="5" t="s">
        <v>8674</v>
      </c>
      <c r="D2856" s="5" t="s">
        <v>34</v>
      </c>
      <c r="E2856" s="5" t="s">
        <v>42</v>
      </c>
      <c r="F2856" s="5" t="s">
        <v>199</v>
      </c>
    </row>
    <row r="2857" ht="12.75" customHeight="1">
      <c r="A2857" s="5" t="s">
        <v>8676</v>
      </c>
      <c r="B2857" s="5" t="s">
        <v>8677</v>
      </c>
      <c r="C2857" s="5" t="s">
        <v>8676</v>
      </c>
      <c r="D2857" s="5" t="s">
        <v>34</v>
      </c>
      <c r="E2857" s="5" t="s">
        <v>35</v>
      </c>
      <c r="F2857" s="5" t="s">
        <v>913</v>
      </c>
    </row>
    <row r="2858" ht="12.75" customHeight="1">
      <c r="A2858" s="5" t="s">
        <v>8678</v>
      </c>
      <c r="B2858" s="5" t="s">
        <v>8679</v>
      </c>
      <c r="C2858" s="5" t="s">
        <v>8678</v>
      </c>
      <c r="D2858" s="5" t="s">
        <v>80</v>
      </c>
      <c r="E2858" s="5" t="s">
        <v>42</v>
      </c>
      <c r="F2858" s="5" t="s">
        <v>211</v>
      </c>
    </row>
    <row r="2859" ht="12.75" customHeight="1">
      <c r="A2859" s="5" t="s">
        <v>8680</v>
      </c>
      <c r="B2859" s="10" t="s">
        <v>8681</v>
      </c>
      <c r="C2859" s="5" t="s">
        <v>8680</v>
      </c>
      <c r="D2859" s="5" t="s">
        <v>34</v>
      </c>
      <c r="E2859" s="5" t="s">
        <v>42</v>
      </c>
      <c r="F2859" s="5" t="s">
        <v>83</v>
      </c>
    </row>
    <row r="2860" ht="12.75" customHeight="1">
      <c r="A2860" s="5" t="s">
        <v>8682</v>
      </c>
      <c r="B2860" s="5" t="s">
        <v>8683</v>
      </c>
      <c r="C2860" s="5" t="s">
        <v>8682</v>
      </c>
      <c r="D2860" s="5" t="s">
        <v>34</v>
      </c>
      <c r="E2860" s="5" t="s">
        <v>42</v>
      </c>
      <c r="F2860" s="5" t="s">
        <v>65</v>
      </c>
      <c r="G2860" s="10" t="s">
        <v>72</v>
      </c>
    </row>
    <row r="2861" ht="12.75" customHeight="1">
      <c r="A2861" s="5" t="s">
        <v>8684</v>
      </c>
      <c r="B2861" s="5" t="s">
        <v>8685</v>
      </c>
      <c r="C2861" s="5" t="s">
        <v>8684</v>
      </c>
      <c r="D2861" s="5" t="s">
        <v>34</v>
      </c>
      <c r="E2861" s="5" t="s">
        <v>35</v>
      </c>
      <c r="F2861" s="5" t="s">
        <v>90</v>
      </c>
    </row>
    <row r="2862" ht="12.75" customHeight="1">
      <c r="A2862" s="5" t="s">
        <v>8686</v>
      </c>
      <c r="B2862" s="10" t="s">
        <v>8687</v>
      </c>
      <c r="C2862" s="5" t="s">
        <v>8686</v>
      </c>
      <c r="D2862" s="5" t="s">
        <v>38</v>
      </c>
      <c r="E2862" s="5" t="s">
        <v>35</v>
      </c>
      <c r="F2862" s="5" t="s">
        <v>429</v>
      </c>
    </row>
    <row r="2863" ht="12.75" customHeight="1">
      <c r="A2863" s="5" t="s">
        <v>8688</v>
      </c>
      <c r="B2863" s="10" t="s">
        <v>8689</v>
      </c>
      <c r="C2863" s="5" t="s">
        <v>8690</v>
      </c>
      <c r="D2863" s="5" t="s">
        <v>34</v>
      </c>
      <c r="E2863" s="5" t="s">
        <v>42</v>
      </c>
      <c r="F2863" s="5" t="s">
        <v>657</v>
      </c>
      <c r="L2863" s="5" t="s">
        <v>8691</v>
      </c>
    </row>
    <row r="2864" ht="12.75" customHeight="1">
      <c r="A2864" s="5" t="s">
        <v>8692</v>
      </c>
      <c r="B2864" s="5" t="s">
        <v>8693</v>
      </c>
      <c r="C2864" s="5" t="s">
        <v>8692</v>
      </c>
      <c r="D2864" s="5" t="s">
        <v>34</v>
      </c>
      <c r="E2864" s="5" t="s">
        <v>35</v>
      </c>
      <c r="F2864" s="5" t="s">
        <v>278</v>
      </c>
      <c r="G2864" s="10" t="s">
        <v>72</v>
      </c>
    </row>
    <row r="2865" ht="12.75" customHeight="1">
      <c r="A2865" s="5" t="s">
        <v>4548</v>
      </c>
      <c r="B2865" s="10" t="s">
        <v>8694</v>
      </c>
      <c r="C2865" s="5" t="s">
        <v>4548</v>
      </c>
      <c r="D2865" s="5" t="s">
        <v>124</v>
      </c>
      <c r="E2865" s="5" t="s">
        <v>42</v>
      </c>
      <c r="F2865" s="5" t="s">
        <v>4550</v>
      </c>
      <c r="L2865" s="5" t="s">
        <v>4546</v>
      </c>
    </row>
    <row r="2866" ht="12.75" customHeight="1">
      <c r="A2866" s="5" t="s">
        <v>8695</v>
      </c>
      <c r="B2866" s="5" t="s">
        <v>8696</v>
      </c>
      <c r="C2866" s="5" t="s">
        <v>8695</v>
      </c>
      <c r="D2866" s="5" t="s">
        <v>34</v>
      </c>
      <c r="E2866" s="5" t="s">
        <v>35</v>
      </c>
      <c r="F2866" s="5" t="s">
        <v>110</v>
      </c>
    </row>
    <row r="2867" ht="12.75" customHeight="1">
      <c r="A2867" s="5" t="s">
        <v>8697</v>
      </c>
      <c r="B2867" s="10" t="s">
        <v>8698</v>
      </c>
      <c r="C2867" s="5" t="s">
        <v>8697</v>
      </c>
      <c r="D2867" s="5" t="s">
        <v>34</v>
      </c>
      <c r="E2867" s="5" t="s">
        <v>42</v>
      </c>
      <c r="F2867" s="5" t="s">
        <v>199</v>
      </c>
    </row>
    <row r="2868" ht="12.75" customHeight="1">
      <c r="A2868" s="5" t="s">
        <v>8699</v>
      </c>
      <c r="B2868" s="5" t="s">
        <v>8700</v>
      </c>
      <c r="C2868" s="5" t="s">
        <v>8699</v>
      </c>
      <c r="D2868" s="5" t="s">
        <v>22</v>
      </c>
      <c r="E2868" s="5" t="s">
        <v>42</v>
      </c>
      <c r="F2868" s="5" t="s">
        <v>720</v>
      </c>
    </row>
    <row r="2869" ht="12.75" customHeight="1">
      <c r="A2869" s="5" t="s">
        <v>8701</v>
      </c>
      <c r="B2869" s="5" t="s">
        <v>8702</v>
      </c>
      <c r="C2869" s="5" t="s">
        <v>8703</v>
      </c>
      <c r="D2869" s="5" t="s">
        <v>34</v>
      </c>
      <c r="E2869" s="5" t="s">
        <v>35</v>
      </c>
      <c r="F2869" s="5" t="s">
        <v>104</v>
      </c>
    </row>
    <row r="2870" ht="12.75" customHeight="1">
      <c r="A2870" s="5" t="s">
        <v>8704</v>
      </c>
      <c r="B2870" s="5" t="s">
        <v>8705</v>
      </c>
      <c r="C2870" s="5" t="s">
        <v>8704</v>
      </c>
      <c r="D2870" s="5" t="s">
        <v>34</v>
      </c>
      <c r="E2870" s="5" t="s">
        <v>42</v>
      </c>
      <c r="F2870" s="5" t="s">
        <v>162</v>
      </c>
    </row>
    <row r="2871" ht="12.75" customHeight="1">
      <c r="A2871" s="5" t="s">
        <v>8706</v>
      </c>
      <c r="B2871" s="10" t="s">
        <v>8707</v>
      </c>
      <c r="C2871" s="5" t="s">
        <v>8706</v>
      </c>
      <c r="D2871" s="5" t="s">
        <v>34</v>
      </c>
      <c r="E2871" s="5" t="s">
        <v>42</v>
      </c>
      <c r="F2871" s="5" t="s">
        <v>599</v>
      </c>
    </row>
    <row r="2872" ht="12.75" customHeight="1">
      <c r="A2872" s="5" t="s">
        <v>8708</v>
      </c>
      <c r="B2872" s="10" t="s">
        <v>8709</v>
      </c>
      <c r="C2872" s="5" t="s">
        <v>8708</v>
      </c>
      <c r="D2872" s="5" t="s">
        <v>38</v>
      </c>
      <c r="E2872" s="5" t="s">
        <v>35</v>
      </c>
      <c r="F2872" s="5" t="s">
        <v>8710</v>
      </c>
    </row>
    <row r="2873" ht="12.75" customHeight="1">
      <c r="A2873" s="5" t="s">
        <v>8711</v>
      </c>
      <c r="B2873" s="10" t="s">
        <v>8712</v>
      </c>
      <c r="C2873" s="5" t="s">
        <v>8711</v>
      </c>
      <c r="D2873" s="5" t="s">
        <v>34</v>
      </c>
      <c r="E2873" s="5" t="s">
        <v>42</v>
      </c>
      <c r="F2873" s="5" t="s">
        <v>445</v>
      </c>
    </row>
    <row r="2874" ht="12.75" customHeight="1">
      <c r="A2874" s="5" t="s">
        <v>8713</v>
      </c>
      <c r="B2874" s="10" t="s">
        <v>8714</v>
      </c>
      <c r="C2874" s="5" t="s">
        <v>8715</v>
      </c>
      <c r="D2874" s="5" t="s">
        <v>34</v>
      </c>
      <c r="E2874" s="5" t="s">
        <v>42</v>
      </c>
      <c r="F2874" s="5" t="s">
        <v>423</v>
      </c>
    </row>
    <row r="2875" ht="12.75" customHeight="1">
      <c r="A2875" s="5" t="s">
        <v>8716</v>
      </c>
      <c r="B2875" s="5" t="s">
        <v>8717</v>
      </c>
      <c r="C2875" s="5" t="s">
        <v>8718</v>
      </c>
      <c r="D2875" s="5" t="s">
        <v>22</v>
      </c>
      <c r="E2875" s="5" t="s">
        <v>42</v>
      </c>
      <c r="F2875" s="5" t="s">
        <v>167</v>
      </c>
      <c r="G2875" s="10" t="s">
        <v>72</v>
      </c>
    </row>
    <row r="2876" ht="12.75" customHeight="1">
      <c r="A2876" s="5" t="s">
        <v>8719</v>
      </c>
      <c r="B2876" s="5" t="s">
        <v>8720</v>
      </c>
      <c r="C2876" s="5" t="s">
        <v>8721</v>
      </c>
      <c r="D2876" s="5" t="s">
        <v>34</v>
      </c>
      <c r="E2876" s="5" t="s">
        <v>35</v>
      </c>
      <c r="F2876" s="5" t="s">
        <v>868</v>
      </c>
    </row>
    <row r="2877" ht="12.75" customHeight="1">
      <c r="A2877" s="5" t="s">
        <v>8722</v>
      </c>
      <c r="B2877" s="5" t="s">
        <v>8723</v>
      </c>
      <c r="C2877" s="5" t="s">
        <v>8722</v>
      </c>
      <c r="D2877" s="5" t="s">
        <v>132</v>
      </c>
      <c r="E2877" s="5" t="s">
        <v>42</v>
      </c>
      <c r="F2877" s="5" t="s">
        <v>556</v>
      </c>
    </row>
    <row r="2878" ht="12.75" customHeight="1">
      <c r="A2878" s="5" t="s">
        <v>8724</v>
      </c>
      <c r="B2878" s="5" t="s">
        <v>8725</v>
      </c>
      <c r="C2878" s="5" t="s">
        <v>8724</v>
      </c>
      <c r="D2878" s="5" t="s">
        <v>132</v>
      </c>
      <c r="E2878" s="5" t="s">
        <v>35</v>
      </c>
      <c r="F2878" s="5" t="s">
        <v>104</v>
      </c>
    </row>
    <row r="2879" ht="12.75" customHeight="1">
      <c r="A2879" s="5" t="s">
        <v>8726</v>
      </c>
      <c r="B2879" s="5" t="s">
        <v>8727</v>
      </c>
      <c r="C2879" s="5" t="s">
        <v>8728</v>
      </c>
      <c r="D2879" s="5" t="s">
        <v>34</v>
      </c>
      <c r="E2879" s="5" t="s">
        <v>42</v>
      </c>
      <c r="F2879" s="5" t="s">
        <v>556</v>
      </c>
      <c r="G2879" s="10" t="s">
        <v>72</v>
      </c>
    </row>
    <row r="2880" ht="12.75" customHeight="1">
      <c r="A2880" s="5" t="s">
        <v>8729</v>
      </c>
      <c r="B2880" s="5" t="s">
        <v>8730</v>
      </c>
      <c r="C2880" s="5" t="s">
        <v>2623</v>
      </c>
      <c r="D2880" s="5" t="s">
        <v>34</v>
      </c>
      <c r="E2880" s="5" t="s">
        <v>42</v>
      </c>
      <c r="F2880" s="5" t="s">
        <v>167</v>
      </c>
    </row>
    <row r="2881" ht="12.75" customHeight="1">
      <c r="A2881" s="5" t="s">
        <v>8731</v>
      </c>
      <c r="B2881" s="5" t="s">
        <v>8732</v>
      </c>
      <c r="C2881" s="5" t="s">
        <v>8733</v>
      </c>
      <c r="D2881" s="5" t="s">
        <v>34</v>
      </c>
      <c r="E2881" s="5" t="s">
        <v>35</v>
      </c>
      <c r="F2881" s="5" t="s">
        <v>77</v>
      </c>
    </row>
    <row r="2882" ht="12.75" customHeight="1">
      <c r="A2882" s="5" t="s">
        <v>8734</v>
      </c>
      <c r="B2882" s="5" t="s">
        <v>8735</v>
      </c>
      <c r="C2882" s="5" t="s">
        <v>691</v>
      </c>
      <c r="D2882" s="5" t="s">
        <v>46</v>
      </c>
      <c r="E2882" s="5" t="s">
        <v>35</v>
      </c>
      <c r="F2882" s="5" t="s">
        <v>96</v>
      </c>
    </row>
    <row r="2883" ht="12.75" customHeight="1">
      <c r="A2883" s="5" t="s">
        <v>8736</v>
      </c>
      <c r="B2883" s="5" t="s">
        <v>8737</v>
      </c>
      <c r="C2883" s="5" t="s">
        <v>691</v>
      </c>
      <c r="D2883" s="5" t="s">
        <v>46</v>
      </c>
      <c r="E2883" s="5" t="s">
        <v>35</v>
      </c>
      <c r="F2883" s="5" t="s">
        <v>1344</v>
      </c>
    </row>
    <row r="2884" ht="12.75" customHeight="1">
      <c r="A2884" s="5" t="s">
        <v>8738</v>
      </c>
      <c r="B2884" s="5" t="s">
        <v>8739</v>
      </c>
      <c r="C2884" s="5" t="s">
        <v>691</v>
      </c>
      <c r="D2884" s="5" t="s">
        <v>46</v>
      </c>
      <c r="E2884" s="5" t="s">
        <v>35</v>
      </c>
      <c r="F2884" s="5" t="s">
        <v>1831</v>
      </c>
    </row>
    <row r="2885" ht="12.75" customHeight="1">
      <c r="A2885" s="5" t="s">
        <v>8740</v>
      </c>
      <c r="B2885" s="5" t="s">
        <v>8741</v>
      </c>
      <c r="C2885" s="5" t="s">
        <v>691</v>
      </c>
      <c r="D2885" s="5" t="s">
        <v>46</v>
      </c>
      <c r="E2885" s="5" t="s">
        <v>35</v>
      </c>
      <c r="F2885" s="5" t="s">
        <v>263</v>
      </c>
    </row>
    <row r="2886" ht="12.75" customHeight="1">
      <c r="A2886" s="5" t="s">
        <v>8742</v>
      </c>
      <c r="B2886" s="5" t="s">
        <v>8743</v>
      </c>
      <c r="C2886" s="5" t="s">
        <v>691</v>
      </c>
      <c r="D2886" s="5" t="s">
        <v>46</v>
      </c>
      <c r="E2886" s="5" t="s">
        <v>35</v>
      </c>
      <c r="F2886" s="5" t="s">
        <v>545</v>
      </c>
    </row>
    <row r="2887" ht="12.75" customHeight="1">
      <c r="A2887" s="5" t="s">
        <v>8744</v>
      </c>
      <c r="B2887" s="5" t="s">
        <v>8745</v>
      </c>
      <c r="C2887" s="5" t="s">
        <v>691</v>
      </c>
      <c r="D2887" s="5" t="s">
        <v>46</v>
      </c>
      <c r="E2887" s="5" t="s">
        <v>35</v>
      </c>
      <c r="F2887" s="5" t="s">
        <v>1344</v>
      </c>
    </row>
    <row r="2888" ht="12.75" customHeight="1">
      <c r="A2888" s="5" t="s">
        <v>8746</v>
      </c>
      <c r="B2888" s="5" t="s">
        <v>8747</v>
      </c>
      <c r="C2888" s="5" t="s">
        <v>691</v>
      </c>
      <c r="D2888" s="5" t="s">
        <v>46</v>
      </c>
      <c r="E2888" s="5" t="s">
        <v>35</v>
      </c>
      <c r="F2888" s="5" t="s">
        <v>1324</v>
      </c>
    </row>
    <row r="2889" ht="12.75" customHeight="1">
      <c r="A2889" s="5" t="s">
        <v>8748</v>
      </c>
      <c r="B2889" s="5" t="s">
        <v>8749</v>
      </c>
      <c r="C2889" s="5" t="s">
        <v>691</v>
      </c>
      <c r="D2889" s="5" t="s">
        <v>46</v>
      </c>
      <c r="E2889" s="5" t="s">
        <v>35</v>
      </c>
      <c r="F2889" s="5" t="s">
        <v>1324</v>
      </c>
    </row>
    <row r="2890" ht="12.75" customHeight="1">
      <c r="A2890" s="5" t="s">
        <v>8750</v>
      </c>
      <c r="B2890" s="5" t="s">
        <v>8751</v>
      </c>
      <c r="C2890" s="5" t="s">
        <v>691</v>
      </c>
      <c r="D2890" s="5" t="s">
        <v>46</v>
      </c>
      <c r="E2890" s="5" t="s">
        <v>35</v>
      </c>
      <c r="F2890" s="5" t="s">
        <v>2401</v>
      </c>
    </row>
    <row r="2891" ht="12.75" customHeight="1">
      <c r="A2891" s="5" t="s">
        <v>8752</v>
      </c>
      <c r="B2891" s="5" t="s">
        <v>8753</v>
      </c>
      <c r="C2891" s="5" t="s">
        <v>691</v>
      </c>
      <c r="D2891" s="5" t="s">
        <v>46</v>
      </c>
      <c r="E2891" s="5" t="s">
        <v>35</v>
      </c>
      <c r="F2891" s="5" t="s">
        <v>3067</v>
      </c>
    </row>
    <row r="2892" ht="12.75" customHeight="1">
      <c r="A2892" s="5" t="s">
        <v>8754</v>
      </c>
      <c r="B2892" s="5" t="s">
        <v>8755</v>
      </c>
      <c r="C2892" s="5" t="s">
        <v>691</v>
      </c>
      <c r="D2892" s="5" t="s">
        <v>46</v>
      </c>
      <c r="E2892" s="5" t="s">
        <v>42</v>
      </c>
      <c r="F2892" s="5" t="s">
        <v>157</v>
      </c>
    </row>
    <row r="2893" ht="12.75" customHeight="1">
      <c r="A2893" s="5" t="s">
        <v>8756</v>
      </c>
      <c r="B2893" s="5" t="s">
        <v>8757</v>
      </c>
      <c r="C2893" s="5" t="s">
        <v>691</v>
      </c>
      <c r="D2893" s="5" t="s">
        <v>46</v>
      </c>
      <c r="E2893" s="5" t="s">
        <v>42</v>
      </c>
      <c r="F2893" s="5" t="s">
        <v>211</v>
      </c>
    </row>
    <row r="2894" ht="12.75" customHeight="1">
      <c r="A2894" s="5" t="s">
        <v>8758</v>
      </c>
      <c r="B2894" s="5" t="s">
        <v>8759</v>
      </c>
      <c r="C2894" s="5" t="s">
        <v>691</v>
      </c>
      <c r="D2894" s="5" t="s">
        <v>46</v>
      </c>
      <c r="E2894" s="5" t="s">
        <v>42</v>
      </c>
      <c r="F2894" s="5" t="s">
        <v>974</v>
      </c>
    </row>
    <row r="2895" ht="12.75" customHeight="1">
      <c r="A2895" s="5" t="s">
        <v>8760</v>
      </c>
      <c r="B2895" s="5" t="s">
        <v>8761</v>
      </c>
      <c r="C2895" s="5" t="s">
        <v>691</v>
      </c>
      <c r="D2895" s="5" t="s">
        <v>46</v>
      </c>
      <c r="E2895" s="5" t="s">
        <v>42</v>
      </c>
      <c r="F2895" s="5" t="s">
        <v>967</v>
      </c>
    </row>
    <row r="2896" ht="12.75" customHeight="1">
      <c r="A2896" s="5" t="s">
        <v>8762</v>
      </c>
      <c r="B2896" s="5" t="s">
        <v>8763</v>
      </c>
      <c r="C2896" s="5" t="s">
        <v>691</v>
      </c>
      <c r="D2896" s="5" t="s">
        <v>46</v>
      </c>
      <c r="E2896" s="5" t="s">
        <v>42</v>
      </c>
      <c r="F2896" s="5" t="s">
        <v>395</v>
      </c>
    </row>
    <row r="2897" ht="12.75" customHeight="1">
      <c r="A2897" s="5" t="s">
        <v>8764</v>
      </c>
      <c r="B2897" s="5" t="s">
        <v>8765</v>
      </c>
      <c r="C2897" s="5" t="s">
        <v>691</v>
      </c>
      <c r="D2897" s="5" t="s">
        <v>46</v>
      </c>
      <c r="E2897" s="5" t="s">
        <v>42</v>
      </c>
      <c r="F2897" s="5" t="s">
        <v>967</v>
      </c>
    </row>
    <row r="2898" ht="12.75" customHeight="1">
      <c r="A2898" s="5" t="s">
        <v>8766</v>
      </c>
      <c r="B2898" s="5" t="s">
        <v>8767</v>
      </c>
      <c r="C2898" s="5" t="s">
        <v>691</v>
      </c>
      <c r="D2898" s="5" t="s">
        <v>46</v>
      </c>
      <c r="E2898" s="5" t="s">
        <v>42</v>
      </c>
      <c r="F2898" s="5" t="s">
        <v>3107</v>
      </c>
    </row>
    <row r="2899" ht="12.75" customHeight="1">
      <c r="A2899" s="5" t="s">
        <v>8768</v>
      </c>
      <c r="B2899" s="5" t="s">
        <v>8769</v>
      </c>
      <c r="C2899" s="5" t="s">
        <v>691</v>
      </c>
      <c r="D2899" s="5" t="s">
        <v>46</v>
      </c>
      <c r="E2899" s="5" t="s">
        <v>42</v>
      </c>
      <c r="F2899" s="5" t="s">
        <v>2701</v>
      </c>
    </row>
    <row r="2900" ht="12.75" customHeight="1">
      <c r="A2900" s="5" t="s">
        <v>8770</v>
      </c>
      <c r="B2900" s="5" t="s">
        <v>8771</v>
      </c>
      <c r="C2900" s="5" t="s">
        <v>691</v>
      </c>
      <c r="D2900" s="5" t="s">
        <v>46</v>
      </c>
      <c r="E2900" s="5" t="s">
        <v>42</v>
      </c>
      <c r="F2900" s="5" t="s">
        <v>2196</v>
      </c>
    </row>
    <row r="2901" ht="12.75" customHeight="1">
      <c r="A2901" s="5" t="s">
        <v>8772</v>
      </c>
      <c r="B2901" s="5" t="s">
        <v>8773</v>
      </c>
      <c r="C2901" s="5" t="s">
        <v>691</v>
      </c>
      <c r="D2901" s="5" t="s">
        <v>46</v>
      </c>
      <c r="E2901" s="5" t="s">
        <v>42</v>
      </c>
      <c r="F2901" s="5" t="s">
        <v>1223</v>
      </c>
    </row>
    <row r="2902" ht="12.75" customHeight="1">
      <c r="A2902" s="5" t="s">
        <v>8774</v>
      </c>
      <c r="B2902" s="10" t="s">
        <v>8775</v>
      </c>
      <c r="C2902" s="5" t="s">
        <v>8774</v>
      </c>
      <c r="D2902" s="5" t="s">
        <v>38</v>
      </c>
      <c r="E2902" s="5" t="s">
        <v>35</v>
      </c>
      <c r="F2902" s="5" t="s">
        <v>8598</v>
      </c>
      <c r="G2902" s="10" t="s">
        <v>72</v>
      </c>
    </row>
    <row r="2903" ht="12.75" customHeight="1">
      <c r="A2903" s="5" t="s">
        <v>8776</v>
      </c>
      <c r="B2903" s="5" t="s">
        <v>8777</v>
      </c>
      <c r="C2903" s="5" t="s">
        <v>8778</v>
      </c>
      <c r="D2903" s="5" t="s">
        <v>34</v>
      </c>
      <c r="E2903" s="5" t="s">
        <v>35</v>
      </c>
      <c r="F2903" s="5" t="s">
        <v>118</v>
      </c>
    </row>
    <row r="2904" ht="12.75" customHeight="1">
      <c r="A2904" s="5" t="s">
        <v>8779</v>
      </c>
      <c r="B2904" s="5" t="s">
        <v>8780</v>
      </c>
      <c r="C2904" s="5" t="s">
        <v>8781</v>
      </c>
      <c r="D2904" s="5" t="s">
        <v>34</v>
      </c>
      <c r="E2904" s="5" t="s">
        <v>42</v>
      </c>
      <c r="F2904" s="5" t="s">
        <v>672</v>
      </c>
      <c r="G2904" s="10" t="s">
        <v>72</v>
      </c>
    </row>
    <row r="2905" ht="12.75" customHeight="1">
      <c r="A2905" s="5" t="s">
        <v>8782</v>
      </c>
      <c r="B2905" s="10" t="s">
        <v>8783</v>
      </c>
      <c r="C2905" s="5" t="s">
        <v>8784</v>
      </c>
      <c r="D2905" s="5" t="s">
        <v>34</v>
      </c>
      <c r="E2905" s="5" t="s">
        <v>42</v>
      </c>
      <c r="F2905" s="5" t="s">
        <v>657</v>
      </c>
      <c r="G2905" s="10" t="s">
        <v>72</v>
      </c>
    </row>
    <row r="2906" ht="12.75" customHeight="1">
      <c r="A2906" s="5" t="s">
        <v>8785</v>
      </c>
      <c r="B2906" s="5" t="s">
        <v>8786</v>
      </c>
      <c r="C2906" s="5" t="s">
        <v>8787</v>
      </c>
      <c r="D2906" s="5" t="s">
        <v>30</v>
      </c>
      <c r="E2906" s="5" t="s">
        <v>35</v>
      </c>
      <c r="F2906" s="5" t="s">
        <v>1324</v>
      </c>
      <c r="G2906" s="10" t="s">
        <v>72</v>
      </c>
    </row>
    <row r="2907" ht="12.75" customHeight="1">
      <c r="A2907" s="5" t="s">
        <v>8788</v>
      </c>
      <c r="B2907" s="5" t="s">
        <v>8789</v>
      </c>
      <c r="C2907" s="5" t="s">
        <v>8790</v>
      </c>
      <c r="D2907" s="5" t="s">
        <v>50</v>
      </c>
      <c r="E2907" s="5" t="s">
        <v>42</v>
      </c>
      <c r="F2907" s="5" t="s">
        <v>199</v>
      </c>
      <c r="G2907" s="10" t="s">
        <v>72</v>
      </c>
    </row>
    <row r="2908" ht="12.75" customHeight="1">
      <c r="A2908" s="5" t="s">
        <v>8791</v>
      </c>
      <c r="B2908" s="5" t="s">
        <v>8792</v>
      </c>
      <c r="C2908" s="5" t="s">
        <v>8793</v>
      </c>
      <c r="D2908" s="5" t="s">
        <v>34</v>
      </c>
      <c r="E2908" s="5" t="s">
        <v>42</v>
      </c>
      <c r="F2908" s="5" t="s">
        <v>228</v>
      </c>
      <c r="G2908" s="10" t="s">
        <v>72</v>
      </c>
    </row>
    <row r="2909" ht="12.75" customHeight="1">
      <c r="A2909" s="5" t="s">
        <v>8794</v>
      </c>
      <c r="B2909" s="5" t="s">
        <v>8795</v>
      </c>
      <c r="C2909" s="5" t="s">
        <v>8796</v>
      </c>
      <c r="D2909" s="5" t="s">
        <v>34</v>
      </c>
      <c r="E2909" s="5" t="s">
        <v>42</v>
      </c>
      <c r="F2909" s="5" t="s">
        <v>556</v>
      </c>
      <c r="G2909" s="10" t="s">
        <v>72</v>
      </c>
    </row>
    <row r="2910" ht="12.75" customHeight="1">
      <c r="A2910" s="5" t="s">
        <v>8797</v>
      </c>
      <c r="B2910" s="10" t="s">
        <v>8798</v>
      </c>
      <c r="C2910" s="5" t="s">
        <v>8797</v>
      </c>
      <c r="D2910" s="5" t="s">
        <v>34</v>
      </c>
      <c r="E2910" s="5" t="s">
        <v>42</v>
      </c>
      <c r="F2910" s="5" t="s">
        <v>720</v>
      </c>
    </row>
    <row r="2911" ht="12.75" customHeight="1">
      <c r="A2911" s="5" t="s">
        <v>8799</v>
      </c>
      <c r="B2911" s="5" t="s">
        <v>8800</v>
      </c>
      <c r="C2911" s="5" t="s">
        <v>8799</v>
      </c>
      <c r="D2911" s="5" t="s">
        <v>34</v>
      </c>
      <c r="E2911" s="5" t="s">
        <v>42</v>
      </c>
      <c r="F2911" s="5" t="s">
        <v>199</v>
      </c>
    </row>
    <row r="2912" ht="12.75" customHeight="1">
      <c r="A2912" s="5" t="s">
        <v>8801</v>
      </c>
      <c r="B2912" s="10" t="s">
        <v>8802</v>
      </c>
      <c r="C2912" s="5" t="s">
        <v>8803</v>
      </c>
      <c r="D2912" s="5" t="s">
        <v>34</v>
      </c>
      <c r="E2912" s="5" t="s">
        <v>42</v>
      </c>
      <c r="F2912" s="5" t="s">
        <v>199</v>
      </c>
    </row>
    <row r="2913" ht="12.75" customHeight="1">
      <c r="A2913" s="5" t="s">
        <v>8804</v>
      </c>
      <c r="B2913" s="5" t="s">
        <v>8805</v>
      </c>
      <c r="C2913" s="5" t="s">
        <v>8806</v>
      </c>
      <c r="D2913" s="5" t="s">
        <v>34</v>
      </c>
      <c r="E2913" s="5" t="s">
        <v>42</v>
      </c>
      <c r="F2913" s="5" t="s">
        <v>83</v>
      </c>
    </row>
    <row r="2914" ht="12.75" customHeight="1">
      <c r="A2914" s="5" t="s">
        <v>8807</v>
      </c>
      <c r="B2914" s="5" t="s">
        <v>8808</v>
      </c>
      <c r="C2914" s="5" t="s">
        <v>8807</v>
      </c>
      <c r="D2914" s="5" t="s">
        <v>34</v>
      </c>
      <c r="E2914" s="5" t="s">
        <v>42</v>
      </c>
      <c r="F2914" s="5" t="s">
        <v>575</v>
      </c>
    </row>
    <row r="2915" ht="12.75" customHeight="1">
      <c r="A2915" s="5" t="s">
        <v>8809</v>
      </c>
      <c r="B2915" s="5" t="s">
        <v>8810</v>
      </c>
      <c r="C2915" s="5" t="s">
        <v>8811</v>
      </c>
      <c r="D2915" s="5" t="s">
        <v>34</v>
      </c>
      <c r="E2915" s="5" t="s">
        <v>42</v>
      </c>
      <c r="F2915" s="5" t="s">
        <v>878</v>
      </c>
      <c r="G2915" s="10" t="s">
        <v>72</v>
      </c>
    </row>
    <row r="2916" ht="12.75" customHeight="1">
      <c r="A2916" s="5" t="s">
        <v>8812</v>
      </c>
      <c r="B2916" s="10" t="s">
        <v>8813</v>
      </c>
      <c r="C2916" s="5" t="s">
        <v>8812</v>
      </c>
      <c r="D2916" s="5" t="s">
        <v>34</v>
      </c>
      <c r="E2916" s="5" t="s">
        <v>42</v>
      </c>
      <c r="F2916" s="5" t="s">
        <v>54</v>
      </c>
    </row>
    <row r="2917" ht="12.75" customHeight="1">
      <c r="A2917" s="5" t="s">
        <v>8814</v>
      </c>
      <c r="B2917" s="5" t="s">
        <v>8815</v>
      </c>
      <c r="C2917" s="5" t="s">
        <v>8816</v>
      </c>
      <c r="D2917" s="5" t="s">
        <v>34</v>
      </c>
      <c r="E2917" s="5" t="s">
        <v>42</v>
      </c>
      <c r="F2917" s="5" t="s">
        <v>572</v>
      </c>
      <c r="G2917" s="10" t="s">
        <v>72</v>
      </c>
    </row>
    <row r="2918" ht="12.75" customHeight="1">
      <c r="A2918" s="5" t="s">
        <v>8817</v>
      </c>
      <c r="B2918" s="5" t="s">
        <v>8818</v>
      </c>
      <c r="C2918" s="5" t="s">
        <v>8819</v>
      </c>
      <c r="D2918" s="5" t="s">
        <v>34</v>
      </c>
      <c r="E2918" s="5" t="s">
        <v>35</v>
      </c>
      <c r="F2918" s="5" t="s">
        <v>36</v>
      </c>
      <c r="G2918" s="10" t="s">
        <v>72</v>
      </c>
    </row>
    <row r="2919" ht="12.75" customHeight="1">
      <c r="A2919" s="5" t="s">
        <v>8820</v>
      </c>
      <c r="B2919" s="5" t="s">
        <v>8821</v>
      </c>
      <c r="C2919" s="5" t="s">
        <v>8822</v>
      </c>
      <c r="D2919" s="5" t="s">
        <v>34</v>
      </c>
      <c r="E2919" s="5" t="s">
        <v>35</v>
      </c>
      <c r="F2919" s="5" t="s">
        <v>104</v>
      </c>
      <c r="G2919" s="10" t="s">
        <v>72</v>
      </c>
    </row>
    <row r="2920" ht="12.75" customHeight="1">
      <c r="A2920" s="5" t="s">
        <v>8823</v>
      </c>
      <c r="B2920" s="5" t="s">
        <v>8824</v>
      </c>
      <c r="C2920" s="5" t="s">
        <v>8825</v>
      </c>
      <c r="D2920" s="5" t="s">
        <v>34</v>
      </c>
      <c r="E2920" s="5" t="s">
        <v>35</v>
      </c>
      <c r="F2920" s="5" t="s">
        <v>695</v>
      </c>
      <c r="G2920" s="10" t="s">
        <v>72</v>
      </c>
    </row>
    <row r="2921" ht="12.75" customHeight="1">
      <c r="A2921" s="5" t="s">
        <v>8826</v>
      </c>
      <c r="B2921" s="5" t="s">
        <v>8827</v>
      </c>
      <c r="C2921" s="5" t="s">
        <v>8828</v>
      </c>
      <c r="D2921" s="5" t="s">
        <v>34</v>
      </c>
      <c r="E2921" s="5" t="s">
        <v>42</v>
      </c>
      <c r="F2921" s="5" t="s">
        <v>43</v>
      </c>
      <c r="G2921" s="10" t="s">
        <v>72</v>
      </c>
    </row>
    <row r="2922" ht="12.75" customHeight="1">
      <c r="A2922" s="5" t="s">
        <v>8829</v>
      </c>
      <c r="B2922" s="10" t="s">
        <v>8830</v>
      </c>
      <c r="C2922" s="5" t="s">
        <v>8829</v>
      </c>
      <c r="D2922" s="5" t="s">
        <v>124</v>
      </c>
      <c r="E2922" s="5" t="s">
        <v>35</v>
      </c>
      <c r="F2922" s="5" t="s">
        <v>763</v>
      </c>
    </row>
    <row r="2923" ht="12.75" customHeight="1">
      <c r="A2923" s="5" t="s">
        <v>8831</v>
      </c>
      <c r="B2923" s="5" t="s">
        <v>8832</v>
      </c>
      <c r="C2923" s="5" t="s">
        <v>8831</v>
      </c>
      <c r="D2923" s="5" t="s">
        <v>34</v>
      </c>
      <c r="E2923" s="5" t="s">
        <v>42</v>
      </c>
      <c r="F2923" s="5" t="s">
        <v>54</v>
      </c>
    </row>
    <row r="2924" ht="12.75" customHeight="1">
      <c r="A2924" s="5" t="s">
        <v>8833</v>
      </c>
      <c r="B2924" s="10" t="s">
        <v>8834</v>
      </c>
      <c r="C2924" s="5" t="s">
        <v>8833</v>
      </c>
      <c r="D2924" s="5" t="s">
        <v>124</v>
      </c>
      <c r="E2924" s="5" t="s">
        <v>42</v>
      </c>
      <c r="F2924" s="5" t="s">
        <v>829</v>
      </c>
    </row>
    <row r="2925" ht="12.75" customHeight="1">
      <c r="A2925" s="5" t="s">
        <v>8835</v>
      </c>
      <c r="B2925" s="5" t="s">
        <v>8836</v>
      </c>
      <c r="C2925" s="5" t="s">
        <v>8835</v>
      </c>
      <c r="D2925" s="5" t="s">
        <v>34</v>
      </c>
      <c r="E2925" s="5" t="s">
        <v>42</v>
      </c>
      <c r="F2925" s="5" t="s">
        <v>65</v>
      </c>
    </row>
    <row r="2926" ht="12.75" customHeight="1">
      <c r="A2926" s="5" t="s">
        <v>8837</v>
      </c>
      <c r="B2926" s="5" t="s">
        <v>8838</v>
      </c>
      <c r="C2926" s="5" t="s">
        <v>8837</v>
      </c>
      <c r="D2926" s="5" t="s">
        <v>34</v>
      </c>
      <c r="E2926" s="5" t="s">
        <v>35</v>
      </c>
      <c r="F2926" s="5" t="s">
        <v>71</v>
      </c>
    </row>
    <row r="2927" ht="12.75" customHeight="1">
      <c r="A2927" s="5" t="s">
        <v>8839</v>
      </c>
      <c r="B2927" s="5" t="s">
        <v>8840</v>
      </c>
      <c r="C2927" s="5" t="s">
        <v>8839</v>
      </c>
      <c r="D2927" s="5" t="s">
        <v>34</v>
      </c>
      <c r="E2927" s="5" t="s">
        <v>42</v>
      </c>
      <c r="F2927" s="5" t="s">
        <v>445</v>
      </c>
    </row>
    <row r="2928" ht="12.75" customHeight="1">
      <c r="A2928" s="5" t="s">
        <v>8841</v>
      </c>
      <c r="B2928" s="10" t="s">
        <v>8842</v>
      </c>
      <c r="C2928" s="5" t="s">
        <v>8843</v>
      </c>
      <c r="D2928" s="5" t="s">
        <v>34</v>
      </c>
      <c r="E2928" s="5" t="s">
        <v>35</v>
      </c>
      <c r="F2928" s="5" t="s">
        <v>77</v>
      </c>
    </row>
    <row r="2929" ht="12.75" customHeight="1">
      <c r="A2929" s="5" t="s">
        <v>8844</v>
      </c>
      <c r="B2929" s="5" t="s">
        <v>8845</v>
      </c>
      <c r="C2929" s="5" t="s">
        <v>8844</v>
      </c>
      <c r="D2929" s="5" t="s">
        <v>34</v>
      </c>
      <c r="E2929" s="5" t="s">
        <v>35</v>
      </c>
      <c r="F2929" s="5" t="s">
        <v>71</v>
      </c>
    </row>
    <row r="2930" ht="12.75" customHeight="1">
      <c r="A2930" s="5" t="s">
        <v>8846</v>
      </c>
      <c r="B2930" s="10" t="s">
        <v>8847</v>
      </c>
      <c r="C2930" s="5" t="s">
        <v>8846</v>
      </c>
      <c r="D2930" s="5" t="s">
        <v>34</v>
      </c>
      <c r="E2930" s="5" t="s">
        <v>35</v>
      </c>
      <c r="F2930" s="5" t="s">
        <v>71</v>
      </c>
    </row>
    <row r="2931" ht="12.75" customHeight="1">
      <c r="A2931" s="5" t="s">
        <v>8848</v>
      </c>
      <c r="B2931" s="5" t="s">
        <v>8849</v>
      </c>
      <c r="C2931" s="5" t="s">
        <v>8850</v>
      </c>
      <c r="D2931" s="5" t="s">
        <v>30</v>
      </c>
      <c r="E2931" s="5" t="s">
        <v>35</v>
      </c>
      <c r="F2931" s="5" t="s">
        <v>1868</v>
      </c>
    </row>
    <row r="2932" ht="12.75" customHeight="1">
      <c r="A2932" s="5" t="s">
        <v>8851</v>
      </c>
      <c r="B2932" s="5" t="s">
        <v>8852</v>
      </c>
      <c r="C2932" s="5" t="s">
        <v>8853</v>
      </c>
      <c r="D2932" s="5" t="s">
        <v>38</v>
      </c>
      <c r="E2932" s="5" t="s">
        <v>35</v>
      </c>
      <c r="F2932" s="5" t="s">
        <v>429</v>
      </c>
    </row>
    <row r="2933" ht="12.75" customHeight="1">
      <c r="A2933" s="5" t="s">
        <v>8854</v>
      </c>
      <c r="B2933" s="5" t="s">
        <v>8855</v>
      </c>
      <c r="C2933" s="5" t="s">
        <v>8856</v>
      </c>
      <c r="D2933" s="5" t="s">
        <v>34</v>
      </c>
      <c r="E2933" s="5" t="s">
        <v>35</v>
      </c>
      <c r="F2933" s="5" t="s">
        <v>90</v>
      </c>
    </row>
    <row r="2934" ht="12.75" customHeight="1">
      <c r="A2934" s="5" t="s">
        <v>8857</v>
      </c>
      <c r="B2934" s="5" t="s">
        <v>8858</v>
      </c>
      <c r="C2934" s="5" t="s">
        <v>8859</v>
      </c>
      <c r="D2934" s="5" t="s">
        <v>34</v>
      </c>
      <c r="E2934" s="5" t="s">
        <v>42</v>
      </c>
      <c r="F2934" s="5" t="s">
        <v>637</v>
      </c>
    </row>
    <row r="2935" ht="12.75" customHeight="1">
      <c r="A2935" s="5" t="s">
        <v>8860</v>
      </c>
      <c r="B2935" s="5" t="s">
        <v>8861</v>
      </c>
      <c r="C2935" s="5" t="s">
        <v>8860</v>
      </c>
      <c r="D2935" s="5" t="s">
        <v>34</v>
      </c>
      <c r="E2935" s="5" t="s">
        <v>42</v>
      </c>
      <c r="F2935" s="5" t="s">
        <v>720</v>
      </c>
      <c r="G2935" s="10" t="s">
        <v>72</v>
      </c>
    </row>
    <row r="2936" ht="12.75" customHeight="1">
      <c r="A2936" s="5" t="s">
        <v>8862</v>
      </c>
      <c r="B2936" s="5" t="s">
        <v>8863</v>
      </c>
      <c r="C2936" s="5" t="s">
        <v>8864</v>
      </c>
      <c r="D2936" s="5" t="s">
        <v>22</v>
      </c>
      <c r="E2936" s="5" t="s">
        <v>35</v>
      </c>
      <c r="F2936" s="5" t="s">
        <v>118</v>
      </c>
      <c r="G2936" s="10" t="s">
        <v>72</v>
      </c>
    </row>
    <row r="2937" ht="12.75" customHeight="1">
      <c r="A2937" s="5" t="s">
        <v>8865</v>
      </c>
      <c r="B2937" s="10" t="s">
        <v>8866</v>
      </c>
      <c r="C2937" s="5" t="s">
        <v>8865</v>
      </c>
      <c r="D2937" s="5" t="s">
        <v>34</v>
      </c>
      <c r="E2937" s="5" t="s">
        <v>35</v>
      </c>
      <c r="F2937" s="5" t="s">
        <v>605</v>
      </c>
    </row>
    <row r="2938" ht="12.75" customHeight="1">
      <c r="A2938" s="5" t="s">
        <v>8867</v>
      </c>
      <c r="B2938" s="5" t="s">
        <v>8868</v>
      </c>
      <c r="C2938" s="5" t="s">
        <v>8867</v>
      </c>
      <c r="D2938" s="5" t="s">
        <v>22</v>
      </c>
      <c r="E2938" s="5" t="s">
        <v>42</v>
      </c>
      <c r="F2938" s="5" t="s">
        <v>162</v>
      </c>
    </row>
    <row r="2939" ht="12.75" customHeight="1">
      <c r="A2939" s="5" t="s">
        <v>8869</v>
      </c>
      <c r="B2939" s="5" t="s">
        <v>8870</v>
      </c>
      <c r="C2939" s="5" t="s">
        <v>691</v>
      </c>
      <c r="D2939" s="5" t="s">
        <v>50</v>
      </c>
      <c r="E2939" s="5" t="s">
        <v>35</v>
      </c>
      <c r="F2939" s="5" t="s">
        <v>90</v>
      </c>
    </row>
    <row r="2940" ht="12.75" customHeight="1">
      <c r="A2940" s="5" t="s">
        <v>8871</v>
      </c>
      <c r="B2940" s="5" t="s">
        <v>8872</v>
      </c>
      <c r="C2940" s="5" t="s">
        <v>691</v>
      </c>
      <c r="D2940" s="5" t="s">
        <v>50</v>
      </c>
      <c r="E2940" s="5" t="s">
        <v>35</v>
      </c>
      <c r="F2940" s="5" t="s">
        <v>619</v>
      </c>
    </row>
    <row r="2941" ht="12.75" customHeight="1">
      <c r="A2941" s="5" t="s">
        <v>8873</v>
      </c>
      <c r="B2941" s="5" t="s">
        <v>8874</v>
      </c>
      <c r="C2941" s="5" t="s">
        <v>691</v>
      </c>
      <c r="D2941" s="5" t="s">
        <v>50</v>
      </c>
      <c r="E2941" s="5" t="s">
        <v>35</v>
      </c>
      <c r="F2941" s="5" t="s">
        <v>71</v>
      </c>
    </row>
    <row r="2942" ht="12.75" customHeight="1">
      <c r="A2942" s="5" t="s">
        <v>8875</v>
      </c>
      <c r="B2942" s="5" t="s">
        <v>8876</v>
      </c>
      <c r="C2942" s="5" t="s">
        <v>691</v>
      </c>
      <c r="D2942" s="5" t="s">
        <v>50</v>
      </c>
      <c r="E2942" s="5" t="s">
        <v>35</v>
      </c>
      <c r="F2942" s="5" t="s">
        <v>868</v>
      </c>
    </row>
    <row r="2943" ht="12.75" customHeight="1">
      <c r="A2943" s="5" t="s">
        <v>8877</v>
      </c>
      <c r="B2943" s="5" t="s">
        <v>8878</v>
      </c>
      <c r="C2943" s="5" t="s">
        <v>691</v>
      </c>
      <c r="D2943" s="5" t="s">
        <v>50</v>
      </c>
      <c r="E2943" s="5" t="s">
        <v>35</v>
      </c>
      <c r="F2943" s="5" t="s">
        <v>104</v>
      </c>
    </row>
    <row r="2944" ht="12.75" customHeight="1">
      <c r="A2944" s="5" t="s">
        <v>8879</v>
      </c>
      <c r="B2944" s="5" t="s">
        <v>8880</v>
      </c>
      <c r="C2944" s="5" t="s">
        <v>691</v>
      </c>
      <c r="D2944" s="5" t="s">
        <v>50</v>
      </c>
      <c r="E2944" s="5" t="s">
        <v>35</v>
      </c>
      <c r="F2944" s="5" t="s">
        <v>118</v>
      </c>
    </row>
    <row r="2945" ht="12.75" customHeight="1">
      <c r="A2945" s="5" t="s">
        <v>8881</v>
      </c>
      <c r="B2945" s="5" t="s">
        <v>8882</v>
      </c>
      <c r="C2945" s="5" t="s">
        <v>691</v>
      </c>
      <c r="D2945" s="5" t="s">
        <v>50</v>
      </c>
      <c r="E2945" s="5" t="s">
        <v>35</v>
      </c>
      <c r="F2945" s="5" t="s">
        <v>104</v>
      </c>
    </row>
    <row r="2946" ht="12.75" customHeight="1">
      <c r="A2946" s="5" t="s">
        <v>8883</v>
      </c>
      <c r="B2946" s="5" t="s">
        <v>8884</v>
      </c>
      <c r="C2946" s="5" t="s">
        <v>691</v>
      </c>
      <c r="D2946" s="5" t="s">
        <v>50</v>
      </c>
      <c r="E2946" s="5" t="s">
        <v>35</v>
      </c>
      <c r="F2946" s="5" t="s">
        <v>110</v>
      </c>
    </row>
    <row r="2947" ht="12.75" customHeight="1">
      <c r="A2947" s="5" t="s">
        <v>8885</v>
      </c>
      <c r="B2947" s="5" t="s">
        <v>8886</v>
      </c>
      <c r="C2947" s="5" t="s">
        <v>691</v>
      </c>
      <c r="D2947" s="5" t="s">
        <v>50</v>
      </c>
      <c r="E2947" s="5" t="s">
        <v>35</v>
      </c>
      <c r="F2947" s="5" t="s">
        <v>429</v>
      </c>
    </row>
    <row r="2948" ht="12.75" customHeight="1">
      <c r="A2948" s="5" t="s">
        <v>8887</v>
      </c>
      <c r="B2948" s="5" t="s">
        <v>8888</v>
      </c>
      <c r="C2948" s="5" t="s">
        <v>691</v>
      </c>
      <c r="D2948" s="5" t="s">
        <v>50</v>
      </c>
      <c r="E2948" s="5" t="s">
        <v>35</v>
      </c>
      <c r="F2948" s="5" t="s">
        <v>710</v>
      </c>
    </row>
    <row r="2949" ht="12.75" customHeight="1">
      <c r="A2949" s="5" t="s">
        <v>8889</v>
      </c>
      <c r="B2949" s="10" t="s">
        <v>8890</v>
      </c>
      <c r="C2949" s="5" t="s">
        <v>691</v>
      </c>
      <c r="D2949" s="5" t="s">
        <v>50</v>
      </c>
      <c r="E2949" s="5" t="s">
        <v>42</v>
      </c>
      <c r="F2949" s="5" t="s">
        <v>65</v>
      </c>
    </row>
    <row r="2950" ht="12.75" customHeight="1">
      <c r="A2950" s="5" t="s">
        <v>8891</v>
      </c>
      <c r="B2950" s="10" t="s">
        <v>8892</v>
      </c>
      <c r="C2950" s="5" t="s">
        <v>691</v>
      </c>
      <c r="D2950" s="5" t="s">
        <v>50</v>
      </c>
      <c r="E2950" s="5" t="s">
        <v>42</v>
      </c>
      <c r="F2950" s="5" t="s">
        <v>720</v>
      </c>
    </row>
    <row r="2951" ht="12.75" customHeight="1">
      <c r="A2951" s="5" t="s">
        <v>8893</v>
      </c>
      <c r="B2951" s="5" t="s">
        <v>8894</v>
      </c>
      <c r="C2951" s="5" t="s">
        <v>691</v>
      </c>
      <c r="D2951" s="5" t="s">
        <v>50</v>
      </c>
      <c r="E2951" s="5" t="s">
        <v>42</v>
      </c>
      <c r="F2951" s="5" t="s">
        <v>657</v>
      </c>
    </row>
    <row r="2952" ht="12.75" customHeight="1">
      <c r="A2952" s="5" t="s">
        <v>8895</v>
      </c>
      <c r="B2952" s="10" t="s">
        <v>8896</v>
      </c>
      <c r="C2952" s="5" t="s">
        <v>691</v>
      </c>
      <c r="D2952" s="5" t="s">
        <v>50</v>
      </c>
      <c r="E2952" s="5" t="s">
        <v>42</v>
      </c>
      <c r="F2952" s="5" t="s">
        <v>575</v>
      </c>
    </row>
    <row r="2953" ht="12.75" customHeight="1">
      <c r="A2953" s="5" t="s">
        <v>8897</v>
      </c>
      <c r="B2953" s="5" t="s">
        <v>8898</v>
      </c>
      <c r="C2953" s="5" t="s">
        <v>691</v>
      </c>
      <c r="D2953" s="5" t="s">
        <v>50</v>
      </c>
      <c r="E2953" s="5" t="s">
        <v>42</v>
      </c>
      <c r="F2953" s="5" t="s">
        <v>238</v>
      </c>
    </row>
    <row r="2954" ht="12.75" customHeight="1">
      <c r="A2954" s="5" t="s">
        <v>8899</v>
      </c>
      <c r="B2954" s="5" t="s">
        <v>8900</v>
      </c>
      <c r="C2954" s="5" t="s">
        <v>691</v>
      </c>
      <c r="D2954" s="5" t="s">
        <v>50</v>
      </c>
      <c r="E2954" s="5" t="s">
        <v>42</v>
      </c>
      <c r="F2954" s="5" t="s">
        <v>720</v>
      </c>
    </row>
    <row r="2955" ht="12.75" customHeight="1">
      <c r="A2955" s="5" t="s">
        <v>8901</v>
      </c>
      <c r="B2955" s="5" t="s">
        <v>8902</v>
      </c>
      <c r="C2955" s="5" t="s">
        <v>691</v>
      </c>
      <c r="D2955" s="5" t="s">
        <v>50</v>
      </c>
      <c r="E2955" s="5" t="s">
        <v>42</v>
      </c>
      <c r="F2955" s="5" t="s">
        <v>54</v>
      </c>
    </row>
    <row r="2956" ht="12.75" customHeight="1">
      <c r="A2956" s="5" t="s">
        <v>8903</v>
      </c>
      <c r="B2956" s="5" t="s">
        <v>8904</v>
      </c>
      <c r="C2956" s="5" t="s">
        <v>691</v>
      </c>
      <c r="D2956" s="5" t="s">
        <v>50</v>
      </c>
      <c r="E2956" s="5" t="s">
        <v>42</v>
      </c>
      <c r="F2956" s="5" t="s">
        <v>83</v>
      </c>
    </row>
    <row r="2957" ht="12.75" customHeight="1">
      <c r="A2957" s="5" t="s">
        <v>8905</v>
      </c>
      <c r="B2957" s="5" t="s">
        <v>8906</v>
      </c>
      <c r="C2957" s="5" t="s">
        <v>691</v>
      </c>
      <c r="D2957" s="5" t="s">
        <v>50</v>
      </c>
      <c r="E2957" s="5" t="s">
        <v>42</v>
      </c>
      <c r="F2957" s="5" t="s">
        <v>199</v>
      </c>
    </row>
    <row r="2958" ht="12.75" customHeight="1">
      <c r="A2958" s="5" t="s">
        <v>8907</v>
      </c>
      <c r="B2958" s="5" t="s">
        <v>8908</v>
      </c>
      <c r="C2958" s="5" t="s">
        <v>691</v>
      </c>
      <c r="D2958" s="5" t="s">
        <v>50</v>
      </c>
      <c r="E2958" s="5" t="s">
        <v>42</v>
      </c>
      <c r="F2958" s="5" t="s">
        <v>400</v>
      </c>
    </row>
    <row r="2959" ht="12.75" customHeight="1">
      <c r="A2959" s="5" t="s">
        <v>8909</v>
      </c>
      <c r="B2959" s="5" t="s">
        <v>8910</v>
      </c>
      <c r="C2959" s="5" t="s">
        <v>8911</v>
      </c>
      <c r="D2959" s="5" t="s">
        <v>50</v>
      </c>
      <c r="E2959" s="5" t="s">
        <v>35</v>
      </c>
      <c r="F2959" s="5" t="s">
        <v>90</v>
      </c>
    </row>
    <row r="2960" ht="12.75" customHeight="1">
      <c r="A2960" s="5" t="s">
        <v>8912</v>
      </c>
      <c r="B2960" s="10" t="s">
        <v>8913</v>
      </c>
      <c r="C2960" s="5" t="s">
        <v>8912</v>
      </c>
      <c r="D2960" s="5" t="s">
        <v>30</v>
      </c>
      <c r="E2960" s="5" t="s">
        <v>42</v>
      </c>
      <c r="F2960" s="5" t="s">
        <v>974</v>
      </c>
    </row>
    <row r="2961" ht="12.75" customHeight="1">
      <c r="A2961" s="5" t="s">
        <v>8914</v>
      </c>
      <c r="B2961" s="5" t="s">
        <v>8915</v>
      </c>
      <c r="C2961" s="5" t="s">
        <v>8916</v>
      </c>
      <c r="D2961" s="5" t="s">
        <v>38</v>
      </c>
      <c r="E2961" s="5" t="s">
        <v>35</v>
      </c>
      <c r="F2961" s="5" t="s">
        <v>710</v>
      </c>
    </row>
    <row r="2962" ht="12.75" customHeight="1">
      <c r="A2962" s="5" t="s">
        <v>8917</v>
      </c>
      <c r="B2962" s="5" t="s">
        <v>8918</v>
      </c>
      <c r="C2962" s="5" t="s">
        <v>8917</v>
      </c>
      <c r="D2962" s="5" t="s">
        <v>34</v>
      </c>
      <c r="E2962" s="5" t="s">
        <v>35</v>
      </c>
      <c r="F2962" s="5" t="s">
        <v>172</v>
      </c>
    </row>
    <row r="2963" ht="12.75" customHeight="1">
      <c r="A2963" s="5" t="s">
        <v>8919</v>
      </c>
      <c r="B2963" s="10" t="s">
        <v>8920</v>
      </c>
      <c r="C2963" s="5" t="s">
        <v>8921</v>
      </c>
      <c r="D2963" s="5" t="s">
        <v>34</v>
      </c>
      <c r="E2963" s="5" t="s">
        <v>35</v>
      </c>
      <c r="F2963" s="5" t="s">
        <v>695</v>
      </c>
    </row>
    <row r="2964" ht="12.75" customHeight="1">
      <c r="A2964" s="5" t="s">
        <v>8922</v>
      </c>
      <c r="B2964" s="5" t="s">
        <v>8923</v>
      </c>
      <c r="C2964" s="5" t="s">
        <v>8924</v>
      </c>
      <c r="D2964" s="5" t="s">
        <v>2808</v>
      </c>
      <c r="E2964" s="5" t="s">
        <v>42</v>
      </c>
      <c r="F2964" s="5" t="s">
        <v>454</v>
      </c>
    </row>
    <row r="2965" ht="12.75" customHeight="1">
      <c r="A2965" s="5" t="s">
        <v>8925</v>
      </c>
      <c r="B2965" s="10" t="s">
        <v>8926</v>
      </c>
      <c r="C2965" s="5" t="s">
        <v>8925</v>
      </c>
      <c r="D2965" s="5" t="s">
        <v>34</v>
      </c>
      <c r="E2965" s="5" t="s">
        <v>35</v>
      </c>
      <c r="F2965" s="5" t="s">
        <v>1776</v>
      </c>
    </row>
    <row r="2966" ht="12.75" customHeight="1">
      <c r="A2966" s="5" t="s">
        <v>8927</v>
      </c>
      <c r="B2966" s="5" t="s">
        <v>8928</v>
      </c>
      <c r="C2966" s="5" t="s">
        <v>8927</v>
      </c>
      <c r="D2966" s="5" t="s">
        <v>30</v>
      </c>
      <c r="E2966" s="5" t="s">
        <v>35</v>
      </c>
      <c r="F2966" s="5" t="s">
        <v>1886</v>
      </c>
      <c r="G2966" s="10" t="s">
        <v>72</v>
      </c>
    </row>
    <row r="2967" ht="12.75" customHeight="1">
      <c r="A2967" s="5" t="s">
        <v>8929</v>
      </c>
      <c r="B2967" s="5" t="s">
        <v>8930</v>
      </c>
      <c r="C2967" s="5" t="s">
        <v>8931</v>
      </c>
      <c r="D2967" s="5" t="s">
        <v>34</v>
      </c>
      <c r="E2967" s="5" t="s">
        <v>42</v>
      </c>
      <c r="F2967" s="5" t="s">
        <v>575</v>
      </c>
    </row>
    <row r="2968" ht="12.75" customHeight="1">
      <c r="A2968" s="5" t="s">
        <v>8932</v>
      </c>
      <c r="B2968" s="10" t="s">
        <v>8933</v>
      </c>
      <c r="C2968" s="5" t="s">
        <v>8934</v>
      </c>
      <c r="D2968" s="5" t="s">
        <v>22</v>
      </c>
      <c r="E2968" s="5" t="s">
        <v>35</v>
      </c>
      <c r="F2968" s="5" t="s">
        <v>90</v>
      </c>
    </row>
    <row r="2969" ht="12.75" customHeight="1">
      <c r="A2969" s="5" t="s">
        <v>8935</v>
      </c>
      <c r="B2969" s="5" t="s">
        <v>8936</v>
      </c>
      <c r="C2969" s="5" t="s">
        <v>8935</v>
      </c>
      <c r="D2969" s="5" t="s">
        <v>34</v>
      </c>
      <c r="E2969" s="5" t="s">
        <v>35</v>
      </c>
      <c r="F2969" s="5" t="s">
        <v>118</v>
      </c>
    </row>
    <row r="2970" ht="12.75" customHeight="1">
      <c r="A2970" s="5" t="s">
        <v>8937</v>
      </c>
      <c r="B2970" s="5" t="s">
        <v>8938</v>
      </c>
      <c r="C2970" s="5" t="s">
        <v>8939</v>
      </c>
      <c r="D2970" s="5" t="s">
        <v>12</v>
      </c>
      <c r="E2970" s="5" t="s">
        <v>42</v>
      </c>
      <c r="F2970" s="5" t="s">
        <v>392</v>
      </c>
      <c r="G2970" s="10" t="s">
        <v>72</v>
      </c>
    </row>
    <row r="2971" ht="12.75" customHeight="1">
      <c r="A2971" s="5" t="s">
        <v>8940</v>
      </c>
      <c r="B2971" s="5" t="s">
        <v>8941</v>
      </c>
      <c r="C2971" s="5" t="s">
        <v>8940</v>
      </c>
      <c r="D2971" s="5" t="s">
        <v>74</v>
      </c>
      <c r="E2971" s="5" t="s">
        <v>42</v>
      </c>
      <c r="F2971" s="5" t="s">
        <v>445</v>
      </c>
    </row>
    <row r="2972" ht="12.75" customHeight="1">
      <c r="A2972" s="5" t="s">
        <v>8942</v>
      </c>
      <c r="B2972" s="5" t="s">
        <v>8943</v>
      </c>
      <c r="C2972" s="5" t="s">
        <v>8944</v>
      </c>
      <c r="D2972" s="5" t="s">
        <v>55</v>
      </c>
      <c r="E2972" s="5" t="s">
        <v>42</v>
      </c>
      <c r="F2972" s="5" t="s">
        <v>4107</v>
      </c>
      <c r="G2972" s="10" t="s">
        <v>72</v>
      </c>
    </row>
    <row r="2973" ht="12.75" customHeight="1">
      <c r="A2973" s="5" t="s">
        <v>8945</v>
      </c>
      <c r="B2973" s="5" t="s">
        <v>8946</v>
      </c>
      <c r="C2973" s="5" t="s">
        <v>8945</v>
      </c>
      <c r="D2973" s="5" t="s">
        <v>34</v>
      </c>
      <c r="E2973" s="5" t="s">
        <v>42</v>
      </c>
      <c r="F2973" s="5" t="s">
        <v>1991</v>
      </c>
    </row>
    <row r="2974" ht="12.75" customHeight="1">
      <c r="A2974" s="5" t="s">
        <v>8947</v>
      </c>
      <c r="B2974" s="10" t="s">
        <v>8948</v>
      </c>
      <c r="C2974" s="5" t="s">
        <v>8947</v>
      </c>
      <c r="D2974" s="5" t="s">
        <v>34</v>
      </c>
      <c r="E2974" s="5" t="s">
        <v>42</v>
      </c>
      <c r="F2974" s="5" t="s">
        <v>556</v>
      </c>
    </row>
    <row r="2975" ht="12.75" customHeight="1">
      <c r="A2975" s="5" t="s">
        <v>8949</v>
      </c>
      <c r="B2975" s="10" t="s">
        <v>8950</v>
      </c>
      <c r="C2975" s="5" t="s">
        <v>8949</v>
      </c>
      <c r="D2975" s="5" t="s">
        <v>34</v>
      </c>
      <c r="E2975" s="5" t="s">
        <v>42</v>
      </c>
      <c r="F2975" s="5" t="s">
        <v>445</v>
      </c>
      <c r="G2975" s="10" t="s">
        <v>72</v>
      </c>
    </row>
    <row r="2976" ht="12.75" customHeight="1">
      <c r="A2976" s="5" t="s">
        <v>8951</v>
      </c>
      <c r="B2976" s="5" t="s">
        <v>8952</v>
      </c>
      <c r="C2976" s="5" t="s">
        <v>8951</v>
      </c>
      <c r="D2976" s="5" t="s">
        <v>34</v>
      </c>
      <c r="E2976" s="5" t="s">
        <v>42</v>
      </c>
      <c r="F2976" s="5" t="s">
        <v>65</v>
      </c>
    </row>
    <row r="2977" ht="12.75" customHeight="1">
      <c r="A2977" s="5" t="s">
        <v>2481</v>
      </c>
      <c r="B2977" s="5" t="s">
        <v>8953</v>
      </c>
      <c r="C2977" s="5" t="s">
        <v>2481</v>
      </c>
      <c r="D2977" s="5" t="s">
        <v>34</v>
      </c>
      <c r="E2977" s="5" t="s">
        <v>42</v>
      </c>
      <c r="F2977" s="5" t="s">
        <v>199</v>
      </c>
    </row>
    <row r="2978" ht="12.75" customHeight="1">
      <c r="A2978" s="5" t="s">
        <v>8954</v>
      </c>
      <c r="B2978" s="5" t="s">
        <v>8955</v>
      </c>
      <c r="C2978" s="5" t="s">
        <v>8956</v>
      </c>
      <c r="D2978" s="5" t="s">
        <v>34</v>
      </c>
      <c r="E2978" s="5" t="s">
        <v>42</v>
      </c>
      <c r="F2978" s="5" t="s">
        <v>199</v>
      </c>
    </row>
    <row r="2979" ht="12.75" customHeight="1">
      <c r="A2979" s="5" t="s">
        <v>8957</v>
      </c>
      <c r="B2979" s="5" t="s">
        <v>8958</v>
      </c>
      <c r="C2979" s="5" t="s">
        <v>8957</v>
      </c>
      <c r="D2979" s="5" t="s">
        <v>74</v>
      </c>
      <c r="E2979" s="5" t="s">
        <v>35</v>
      </c>
      <c r="F2979" s="5" t="s">
        <v>267</v>
      </c>
    </row>
    <row r="2980" ht="12.75" customHeight="1">
      <c r="A2980" s="5" t="s">
        <v>8959</v>
      </c>
      <c r="B2980" s="10" t="s">
        <v>8960</v>
      </c>
      <c r="C2980" s="5" t="s">
        <v>8959</v>
      </c>
      <c r="D2980" s="5" t="s">
        <v>34</v>
      </c>
      <c r="E2980" s="5" t="s">
        <v>35</v>
      </c>
      <c r="F2980" s="5" t="s">
        <v>90</v>
      </c>
    </row>
    <row r="2981" ht="12.75" customHeight="1">
      <c r="A2981" s="5" t="s">
        <v>8961</v>
      </c>
      <c r="B2981" s="5" t="s">
        <v>8962</v>
      </c>
      <c r="C2981" s="5" t="s">
        <v>8961</v>
      </c>
      <c r="D2981" s="5" t="s">
        <v>34</v>
      </c>
      <c r="E2981" s="5" t="s">
        <v>42</v>
      </c>
      <c r="F2981" s="5" t="s">
        <v>756</v>
      </c>
    </row>
    <row r="2982" ht="12.75" customHeight="1">
      <c r="A2982" s="5" t="s">
        <v>8963</v>
      </c>
      <c r="B2982" s="5" t="s">
        <v>8964</v>
      </c>
      <c r="C2982" s="5" t="s">
        <v>8963</v>
      </c>
      <c r="D2982" s="5" t="s">
        <v>124</v>
      </c>
      <c r="E2982" s="5" t="s">
        <v>42</v>
      </c>
      <c r="F2982" s="5" t="s">
        <v>4550</v>
      </c>
    </row>
    <row r="2983" ht="12.75" customHeight="1">
      <c r="A2983" s="5" t="s">
        <v>8965</v>
      </c>
      <c r="B2983" s="10" t="s">
        <v>8966</v>
      </c>
      <c r="C2983" s="5" t="s">
        <v>8965</v>
      </c>
      <c r="D2983" s="5" t="s">
        <v>34</v>
      </c>
      <c r="E2983" s="5" t="s">
        <v>42</v>
      </c>
      <c r="F2983" s="5" t="s">
        <v>113</v>
      </c>
    </row>
    <row r="2984" ht="12.75" customHeight="1">
      <c r="A2984" s="5" t="s">
        <v>8967</v>
      </c>
      <c r="B2984" s="5" t="s">
        <v>8968</v>
      </c>
      <c r="C2984" s="5" t="s">
        <v>8967</v>
      </c>
      <c r="D2984" s="5" t="s">
        <v>34</v>
      </c>
      <c r="E2984" s="5" t="s">
        <v>42</v>
      </c>
      <c r="F2984" s="5" t="s">
        <v>634</v>
      </c>
    </row>
    <row r="2985" ht="12.75" customHeight="1">
      <c r="A2985" s="5" t="s">
        <v>8969</v>
      </c>
      <c r="B2985" s="5" t="s">
        <v>8970</v>
      </c>
      <c r="C2985" s="5" t="s">
        <v>8971</v>
      </c>
      <c r="D2985" s="5" t="s">
        <v>38</v>
      </c>
      <c r="E2985" s="5" t="s">
        <v>42</v>
      </c>
      <c r="F2985" s="5" t="s">
        <v>454</v>
      </c>
    </row>
    <row r="2986" ht="12.75" customHeight="1">
      <c r="A2986" s="5" t="s">
        <v>8972</v>
      </c>
      <c r="B2986" s="5" t="s">
        <v>8973</v>
      </c>
      <c r="C2986" s="5" t="s">
        <v>8974</v>
      </c>
      <c r="D2986" s="5" t="s">
        <v>22</v>
      </c>
      <c r="E2986" s="5" t="s">
        <v>35</v>
      </c>
      <c r="F2986" s="5" t="s">
        <v>110</v>
      </c>
    </row>
    <row r="2987" ht="12.75" customHeight="1">
      <c r="A2987" s="5" t="s">
        <v>8975</v>
      </c>
      <c r="B2987" s="5" t="s">
        <v>8976</v>
      </c>
      <c r="C2987" s="5" t="s">
        <v>8977</v>
      </c>
      <c r="D2987" s="5" t="s">
        <v>55</v>
      </c>
      <c r="E2987" s="5" t="s">
        <v>42</v>
      </c>
      <c r="F2987" s="5" t="s">
        <v>1194</v>
      </c>
      <c r="G2987" s="10" t="s">
        <v>72</v>
      </c>
    </row>
    <row r="2988" ht="12.75" customHeight="1">
      <c r="A2988" s="5" t="s">
        <v>8733</v>
      </c>
      <c r="B2988" s="5" t="s">
        <v>8978</v>
      </c>
      <c r="C2988" s="5" t="s">
        <v>8733</v>
      </c>
      <c r="D2988" s="5" t="s">
        <v>34</v>
      </c>
      <c r="E2988" s="5" t="s">
        <v>35</v>
      </c>
      <c r="F2988" s="5" t="s">
        <v>868</v>
      </c>
    </row>
    <row r="2989" ht="12.75" customHeight="1">
      <c r="A2989" s="5" t="s">
        <v>8979</v>
      </c>
      <c r="B2989" s="10" t="s">
        <v>8980</v>
      </c>
      <c r="C2989" s="5" t="s">
        <v>8979</v>
      </c>
      <c r="D2989" s="5" t="s">
        <v>34</v>
      </c>
      <c r="E2989" s="5" t="s">
        <v>42</v>
      </c>
      <c r="F2989" s="5" t="s">
        <v>756</v>
      </c>
    </row>
    <row r="2990" ht="12.75" customHeight="1">
      <c r="A2990" s="5" t="s">
        <v>8981</v>
      </c>
      <c r="B2990" s="5" t="s">
        <v>8982</v>
      </c>
      <c r="C2990" s="5" t="s">
        <v>8981</v>
      </c>
      <c r="D2990" s="5" t="s">
        <v>30</v>
      </c>
      <c r="E2990" s="5" t="s">
        <v>35</v>
      </c>
      <c r="F2990" s="5" t="s">
        <v>2401</v>
      </c>
      <c r="G2990" s="10" t="s">
        <v>72</v>
      </c>
    </row>
    <row r="2991" ht="12.75" customHeight="1">
      <c r="A2991" s="5" t="s">
        <v>8983</v>
      </c>
      <c r="B2991" s="10" t="s">
        <v>8984</v>
      </c>
      <c r="C2991" s="5" t="s">
        <v>8983</v>
      </c>
      <c r="D2991" s="5" t="s">
        <v>34</v>
      </c>
      <c r="E2991" s="5" t="s">
        <v>35</v>
      </c>
      <c r="F2991" s="5" t="s">
        <v>172</v>
      </c>
    </row>
    <row r="2992" ht="12.75" customHeight="1">
      <c r="A2992" s="5" t="s">
        <v>8985</v>
      </c>
      <c r="B2992" s="10" t="s">
        <v>8986</v>
      </c>
      <c r="C2992" s="5" t="s">
        <v>8985</v>
      </c>
      <c r="D2992" s="5" t="s">
        <v>48</v>
      </c>
      <c r="E2992" s="5" t="s">
        <v>42</v>
      </c>
      <c r="F2992" s="5" t="s">
        <v>426</v>
      </c>
    </row>
    <row r="2993" ht="12.75" customHeight="1">
      <c r="A2993" s="5" t="s">
        <v>8987</v>
      </c>
      <c r="B2993" s="10" t="s">
        <v>8988</v>
      </c>
      <c r="C2993" s="5" t="s">
        <v>8987</v>
      </c>
      <c r="D2993" s="5" t="s">
        <v>12</v>
      </c>
      <c r="E2993" s="5" t="s">
        <v>35</v>
      </c>
      <c r="F2993" s="5" t="s">
        <v>1188</v>
      </c>
    </row>
    <row r="2994" ht="12.75" customHeight="1">
      <c r="A2994" s="5" t="s">
        <v>8989</v>
      </c>
      <c r="B2994" s="5" t="s">
        <v>8990</v>
      </c>
      <c r="C2994" s="5" t="s">
        <v>8989</v>
      </c>
      <c r="D2994" s="5" t="s">
        <v>74</v>
      </c>
      <c r="E2994" s="5" t="s">
        <v>35</v>
      </c>
      <c r="F2994" s="5" t="s">
        <v>267</v>
      </c>
    </row>
    <row r="2995" ht="12.75" customHeight="1">
      <c r="A2995" s="5" t="s">
        <v>8991</v>
      </c>
      <c r="B2995" s="5" t="s">
        <v>8992</v>
      </c>
      <c r="D2995" s="5" t="s">
        <v>55</v>
      </c>
      <c r="E2995" s="5" t="s">
        <v>35</v>
      </c>
      <c r="F2995" s="5" t="s">
        <v>134</v>
      </c>
    </row>
    <row r="2996" ht="12.75" customHeight="1">
      <c r="A2996" s="5" t="s">
        <v>8993</v>
      </c>
      <c r="B2996" s="5" t="s">
        <v>8994</v>
      </c>
      <c r="D2996" s="5" t="s">
        <v>55</v>
      </c>
      <c r="E2996" s="5" t="s">
        <v>35</v>
      </c>
      <c r="F2996" s="5" t="s">
        <v>439</v>
      </c>
    </row>
    <row r="2997" ht="12.75" customHeight="1">
      <c r="A2997" s="5" t="s">
        <v>8995</v>
      </c>
      <c r="B2997" s="5" t="s">
        <v>8996</v>
      </c>
      <c r="D2997" s="5" t="s">
        <v>55</v>
      </c>
      <c r="E2997" s="5" t="s">
        <v>35</v>
      </c>
      <c r="F2997" s="5" t="s">
        <v>8997</v>
      </c>
    </row>
    <row r="2998" ht="12.75" customHeight="1">
      <c r="A2998" s="5" t="s">
        <v>8998</v>
      </c>
      <c r="B2998" s="5" t="s">
        <v>8999</v>
      </c>
      <c r="D2998" s="5" t="s">
        <v>55</v>
      </c>
      <c r="E2998" s="5" t="s">
        <v>35</v>
      </c>
      <c r="F2998" s="5" t="s">
        <v>1472</v>
      </c>
    </row>
    <row r="2999" ht="12.75" customHeight="1">
      <c r="A2999" s="5" t="s">
        <v>9000</v>
      </c>
      <c r="B2999" s="5" t="s">
        <v>9001</v>
      </c>
      <c r="D2999" s="5" t="s">
        <v>55</v>
      </c>
      <c r="E2999" s="5" t="s">
        <v>35</v>
      </c>
      <c r="F2999" s="5" t="s">
        <v>1465</v>
      </c>
    </row>
    <row r="3000" ht="12.75" customHeight="1">
      <c r="A3000" s="5" t="s">
        <v>9002</v>
      </c>
      <c r="B3000" s="5" t="s">
        <v>9003</v>
      </c>
      <c r="D3000" s="5" t="s">
        <v>55</v>
      </c>
      <c r="E3000" s="5" t="s">
        <v>35</v>
      </c>
      <c r="F3000" s="5" t="s">
        <v>1472</v>
      </c>
    </row>
    <row r="3001" ht="12.75" customHeight="1">
      <c r="A3001" s="5" t="s">
        <v>9004</v>
      </c>
      <c r="B3001" s="5" t="s">
        <v>9005</v>
      </c>
      <c r="D3001" s="5" t="s">
        <v>55</v>
      </c>
      <c r="E3001" s="5" t="s">
        <v>35</v>
      </c>
      <c r="F3001" s="5" t="s">
        <v>1250</v>
      </c>
    </row>
    <row r="3002" ht="12.75" customHeight="1">
      <c r="A3002" s="5" t="s">
        <v>9006</v>
      </c>
      <c r="B3002" s="5" t="s">
        <v>9007</v>
      </c>
      <c r="D3002" s="5" t="s">
        <v>55</v>
      </c>
      <c r="E3002" s="5" t="s">
        <v>35</v>
      </c>
      <c r="F3002" s="5" t="s">
        <v>9008</v>
      </c>
    </row>
    <row r="3003" ht="12.75" customHeight="1">
      <c r="A3003" s="5" t="s">
        <v>9009</v>
      </c>
      <c r="B3003" s="5" t="s">
        <v>9010</v>
      </c>
      <c r="D3003" s="5" t="s">
        <v>55</v>
      </c>
      <c r="E3003" s="5" t="s">
        <v>35</v>
      </c>
      <c r="F3003" s="5" t="s">
        <v>1273</v>
      </c>
    </row>
    <row r="3004" ht="12.75" customHeight="1">
      <c r="A3004" s="5" t="s">
        <v>9011</v>
      </c>
      <c r="B3004" s="5" t="s">
        <v>9012</v>
      </c>
      <c r="D3004" s="5" t="s">
        <v>55</v>
      </c>
      <c r="E3004" s="5" t="s">
        <v>35</v>
      </c>
      <c r="F3004" s="5" t="s">
        <v>1250</v>
      </c>
    </row>
    <row r="3005" ht="12.75" customHeight="1">
      <c r="A3005" s="5" t="s">
        <v>9013</v>
      </c>
      <c r="B3005" s="10" t="s">
        <v>9014</v>
      </c>
      <c r="D3005" s="5" t="s">
        <v>55</v>
      </c>
      <c r="E3005" s="5" t="s">
        <v>42</v>
      </c>
      <c r="F3005" s="5" t="s">
        <v>134</v>
      </c>
    </row>
    <row r="3006" ht="12.75" customHeight="1">
      <c r="A3006" s="5" t="s">
        <v>9015</v>
      </c>
      <c r="B3006" s="5" t="s">
        <v>9016</v>
      </c>
      <c r="D3006" s="5" t="s">
        <v>55</v>
      </c>
      <c r="E3006" s="5" t="s">
        <v>42</v>
      </c>
      <c r="F3006" s="5" t="s">
        <v>1454</v>
      </c>
    </row>
    <row r="3007" ht="12.75" customHeight="1">
      <c r="A3007" s="5" t="s">
        <v>9017</v>
      </c>
      <c r="B3007" s="5" t="s">
        <v>9018</v>
      </c>
      <c r="D3007" s="5" t="s">
        <v>55</v>
      </c>
      <c r="E3007" s="5" t="s">
        <v>42</v>
      </c>
      <c r="F3007" s="5" t="s">
        <v>1947</v>
      </c>
    </row>
    <row r="3008" ht="12.75" customHeight="1">
      <c r="A3008" s="5" t="s">
        <v>9019</v>
      </c>
      <c r="B3008" s="5" t="s">
        <v>9020</v>
      </c>
      <c r="D3008" s="5" t="s">
        <v>55</v>
      </c>
      <c r="E3008" s="5" t="s">
        <v>42</v>
      </c>
      <c r="F3008" s="5" t="s">
        <v>1228</v>
      </c>
    </row>
    <row r="3009" ht="12.75" customHeight="1">
      <c r="A3009" s="5" t="s">
        <v>9021</v>
      </c>
      <c r="B3009" s="5" t="s">
        <v>9022</v>
      </c>
      <c r="D3009" s="5" t="s">
        <v>55</v>
      </c>
      <c r="E3009" s="5" t="s">
        <v>42</v>
      </c>
      <c r="F3009" s="5" t="s">
        <v>1947</v>
      </c>
    </row>
    <row r="3010" ht="12.75" customHeight="1">
      <c r="A3010" s="5" t="s">
        <v>9023</v>
      </c>
      <c r="B3010" s="5" t="s">
        <v>9024</v>
      </c>
      <c r="D3010" s="5" t="s">
        <v>55</v>
      </c>
      <c r="E3010" s="5" t="s">
        <v>42</v>
      </c>
      <c r="F3010" s="5" t="s">
        <v>134</v>
      </c>
    </row>
    <row r="3011" ht="12.75" customHeight="1">
      <c r="A3011" s="5" t="s">
        <v>9025</v>
      </c>
      <c r="B3011" s="5" t="s">
        <v>9026</v>
      </c>
      <c r="D3011" s="5" t="s">
        <v>55</v>
      </c>
      <c r="E3011" s="5" t="s">
        <v>42</v>
      </c>
      <c r="F3011" s="5" t="s">
        <v>4107</v>
      </c>
    </row>
    <row r="3012" ht="12.75" customHeight="1">
      <c r="A3012" s="5" t="s">
        <v>9027</v>
      </c>
      <c r="B3012" s="5" t="s">
        <v>9028</v>
      </c>
      <c r="D3012" s="5" t="s">
        <v>55</v>
      </c>
      <c r="E3012" s="5" t="s">
        <v>42</v>
      </c>
      <c r="F3012" s="5" t="s">
        <v>1244</v>
      </c>
    </row>
    <row r="3013" ht="12.75" customHeight="1">
      <c r="A3013" s="5" t="s">
        <v>9029</v>
      </c>
      <c r="B3013" s="5" t="s">
        <v>9030</v>
      </c>
      <c r="D3013" s="5" t="s">
        <v>55</v>
      </c>
      <c r="E3013" s="5" t="s">
        <v>42</v>
      </c>
      <c r="F3013" s="5" t="s">
        <v>4124</v>
      </c>
    </row>
    <row r="3014" ht="12.75" customHeight="1">
      <c r="A3014" s="5" t="s">
        <v>9031</v>
      </c>
      <c r="B3014" s="5" t="s">
        <v>9032</v>
      </c>
      <c r="D3014" s="5" t="s">
        <v>55</v>
      </c>
      <c r="E3014" s="5" t="s">
        <v>42</v>
      </c>
      <c r="F3014" s="5" t="s">
        <v>4107</v>
      </c>
    </row>
    <row r="3015" ht="12.75" customHeight="1">
      <c r="A3015" s="5" t="s">
        <v>9033</v>
      </c>
      <c r="B3015" s="10" t="s">
        <v>9034</v>
      </c>
      <c r="C3015" s="5" t="s">
        <v>9035</v>
      </c>
      <c r="D3015" s="5" t="s">
        <v>67</v>
      </c>
      <c r="E3015" s="5" t="s">
        <v>42</v>
      </c>
      <c r="F3015" s="5" t="s">
        <v>1727</v>
      </c>
      <c r="G3015" s="10" t="s">
        <v>72</v>
      </c>
    </row>
    <row r="3016" ht="12.75" customHeight="1">
      <c r="A3016" s="5" t="s">
        <v>9036</v>
      </c>
      <c r="B3016" s="5" t="s">
        <v>9037</v>
      </c>
      <c r="C3016" s="5" t="s">
        <v>9036</v>
      </c>
      <c r="D3016" s="5" t="s">
        <v>55</v>
      </c>
      <c r="E3016" s="5" t="s">
        <v>42</v>
      </c>
      <c r="F3016" s="5" t="s">
        <v>134</v>
      </c>
      <c r="G3016" s="10" t="s">
        <v>72</v>
      </c>
    </row>
    <row r="3017" ht="12.75" customHeight="1">
      <c r="A3017" s="5" t="s">
        <v>9038</v>
      </c>
      <c r="B3017" s="5" t="s">
        <v>9039</v>
      </c>
      <c r="C3017" s="5" t="s">
        <v>9038</v>
      </c>
      <c r="D3017" s="5" t="s">
        <v>55</v>
      </c>
      <c r="E3017" s="5" t="s">
        <v>35</v>
      </c>
      <c r="F3017" s="5" t="s">
        <v>1465</v>
      </c>
    </row>
    <row r="3018" ht="12.75" customHeight="1">
      <c r="A3018" s="5" t="s">
        <v>9040</v>
      </c>
      <c r="B3018" s="10" t="s">
        <v>9041</v>
      </c>
      <c r="C3018" s="5" t="s">
        <v>9040</v>
      </c>
      <c r="D3018" s="5" t="s">
        <v>34</v>
      </c>
      <c r="E3018" s="5" t="s">
        <v>42</v>
      </c>
      <c r="F3018" s="5" t="s">
        <v>878</v>
      </c>
    </row>
    <row r="3019" ht="12.75" customHeight="1">
      <c r="A3019" s="5" t="s">
        <v>9042</v>
      </c>
      <c r="B3019" s="10" t="s">
        <v>9043</v>
      </c>
      <c r="C3019" s="5" t="s">
        <v>9042</v>
      </c>
      <c r="D3019" s="5" t="s">
        <v>34</v>
      </c>
      <c r="E3019" s="5" t="s">
        <v>42</v>
      </c>
      <c r="F3019" s="5" t="s">
        <v>657</v>
      </c>
    </row>
    <row r="3020" ht="12.75" customHeight="1">
      <c r="A3020" s="5" t="s">
        <v>9044</v>
      </c>
      <c r="B3020" s="10" t="s">
        <v>9045</v>
      </c>
      <c r="C3020" s="5" t="s">
        <v>9046</v>
      </c>
      <c r="D3020" s="5" t="s">
        <v>34</v>
      </c>
      <c r="E3020" s="5" t="s">
        <v>42</v>
      </c>
      <c r="F3020" s="5" t="s">
        <v>556</v>
      </c>
    </row>
    <row r="3021" ht="12.75" customHeight="1">
      <c r="A3021" s="5" t="s">
        <v>9047</v>
      </c>
      <c r="B3021" s="5" t="s">
        <v>9048</v>
      </c>
      <c r="C3021" s="5" t="s">
        <v>9047</v>
      </c>
      <c r="D3021" s="5" t="s">
        <v>34</v>
      </c>
      <c r="E3021" s="5" t="s">
        <v>42</v>
      </c>
      <c r="F3021" s="5" t="s">
        <v>672</v>
      </c>
    </row>
    <row r="3022" ht="12.75" customHeight="1">
      <c r="A3022" s="5" t="s">
        <v>9049</v>
      </c>
      <c r="B3022" s="5" t="s">
        <v>9050</v>
      </c>
      <c r="C3022" s="5" t="s">
        <v>9049</v>
      </c>
      <c r="D3022" s="5" t="s">
        <v>34</v>
      </c>
      <c r="E3022" s="5" t="s">
        <v>42</v>
      </c>
      <c r="F3022" s="5" t="s">
        <v>228</v>
      </c>
    </row>
    <row r="3023" ht="12.75" customHeight="1">
      <c r="A3023" s="5" t="s">
        <v>9051</v>
      </c>
      <c r="B3023" s="10" t="s">
        <v>9052</v>
      </c>
      <c r="C3023" s="5" t="s">
        <v>9051</v>
      </c>
      <c r="D3023" s="5" t="s">
        <v>38</v>
      </c>
      <c r="E3023" s="5" t="s">
        <v>42</v>
      </c>
      <c r="F3023" s="5" t="s">
        <v>556</v>
      </c>
      <c r="G3023" s="10" t="s">
        <v>72</v>
      </c>
    </row>
    <row r="3024" ht="12.75" customHeight="1">
      <c r="A3024" s="5" t="s">
        <v>9053</v>
      </c>
      <c r="B3024" s="10" t="s">
        <v>9054</v>
      </c>
      <c r="C3024" s="5" t="s">
        <v>9053</v>
      </c>
      <c r="D3024" s="5" t="s">
        <v>124</v>
      </c>
      <c r="E3024" s="5" t="s">
        <v>42</v>
      </c>
      <c r="F3024" s="5" t="s">
        <v>829</v>
      </c>
    </row>
    <row r="3025" ht="12.75" customHeight="1">
      <c r="A3025" s="5" t="s">
        <v>841</v>
      </c>
      <c r="B3025" s="5" t="s">
        <v>9055</v>
      </c>
      <c r="C3025" s="5" t="s">
        <v>9056</v>
      </c>
      <c r="D3025" s="5" t="s">
        <v>34</v>
      </c>
      <c r="E3025" s="5" t="s">
        <v>42</v>
      </c>
      <c r="F3025" s="5" t="s">
        <v>657</v>
      </c>
      <c r="G3025" s="10" t="s">
        <v>72</v>
      </c>
      <c r="L3025" s="5" t="s">
        <v>9057</v>
      </c>
      <c r="M3025" s="5" t="s">
        <v>9057</v>
      </c>
    </row>
    <row r="3026" ht="12.75" customHeight="1">
      <c r="A3026" s="5" t="s">
        <v>9058</v>
      </c>
      <c r="B3026" s="5" t="s">
        <v>9059</v>
      </c>
      <c r="C3026" s="5" t="s">
        <v>9058</v>
      </c>
      <c r="D3026" s="5" t="s">
        <v>34</v>
      </c>
      <c r="E3026" s="5" t="s">
        <v>42</v>
      </c>
      <c r="F3026" s="5" t="s">
        <v>637</v>
      </c>
    </row>
    <row r="3027" ht="12.75" customHeight="1">
      <c r="A3027" s="5" t="s">
        <v>9060</v>
      </c>
      <c r="B3027" s="5" t="s">
        <v>9061</v>
      </c>
      <c r="C3027" s="5" t="s">
        <v>9060</v>
      </c>
      <c r="D3027" s="5" t="s">
        <v>34</v>
      </c>
      <c r="E3027" s="5" t="s">
        <v>42</v>
      </c>
      <c r="F3027" s="5" t="s">
        <v>634</v>
      </c>
    </row>
    <row r="3028" ht="12.75" customHeight="1">
      <c r="A3028" s="5" t="s">
        <v>9062</v>
      </c>
      <c r="B3028" s="5" t="s">
        <v>9063</v>
      </c>
      <c r="C3028" s="5" t="s">
        <v>9062</v>
      </c>
      <c r="D3028" s="5" t="s">
        <v>34</v>
      </c>
      <c r="E3028" s="5" t="s">
        <v>42</v>
      </c>
      <c r="F3028" s="5" t="s">
        <v>572</v>
      </c>
    </row>
    <row r="3029" ht="12.75" customHeight="1">
      <c r="A3029" s="5" t="s">
        <v>9064</v>
      </c>
      <c r="B3029" s="5" t="s">
        <v>9065</v>
      </c>
      <c r="C3029" s="5" t="s">
        <v>9064</v>
      </c>
      <c r="D3029" s="5" t="s">
        <v>34</v>
      </c>
      <c r="E3029" s="5" t="s">
        <v>42</v>
      </c>
      <c r="F3029" s="5" t="s">
        <v>228</v>
      </c>
    </row>
    <row r="3030" ht="12.75" customHeight="1">
      <c r="A3030" s="5" t="s">
        <v>9066</v>
      </c>
      <c r="B3030" s="10" t="s">
        <v>9067</v>
      </c>
      <c r="C3030" s="5" t="s">
        <v>9068</v>
      </c>
      <c r="D3030" s="5" t="s">
        <v>34</v>
      </c>
      <c r="E3030" s="5" t="s">
        <v>35</v>
      </c>
      <c r="F3030" s="5" t="s">
        <v>77</v>
      </c>
    </row>
    <row r="3031" ht="12.75" customHeight="1">
      <c r="A3031" s="5" t="s">
        <v>9069</v>
      </c>
      <c r="B3031" s="5" t="s">
        <v>9070</v>
      </c>
      <c r="C3031" s="5" t="s">
        <v>9069</v>
      </c>
      <c r="D3031" s="5" t="s">
        <v>34</v>
      </c>
      <c r="E3031" s="5" t="s">
        <v>35</v>
      </c>
      <c r="F3031" s="5" t="s">
        <v>110</v>
      </c>
    </row>
    <row r="3032" ht="12.75" customHeight="1">
      <c r="A3032" s="5" t="s">
        <v>9071</v>
      </c>
      <c r="B3032" s="10" t="s">
        <v>9072</v>
      </c>
      <c r="C3032" s="5" t="s">
        <v>9073</v>
      </c>
      <c r="D3032" s="5" t="s">
        <v>67</v>
      </c>
      <c r="E3032" s="5" t="s">
        <v>42</v>
      </c>
      <c r="F3032" s="5" t="s">
        <v>1555</v>
      </c>
    </row>
    <row r="3033" ht="12.75" customHeight="1">
      <c r="A3033" s="5" t="s">
        <v>9074</v>
      </c>
      <c r="B3033" s="5" t="s">
        <v>9075</v>
      </c>
      <c r="C3033" s="5" t="s">
        <v>9076</v>
      </c>
      <c r="D3033" s="5" t="s">
        <v>124</v>
      </c>
      <c r="E3033" s="5" t="s">
        <v>42</v>
      </c>
      <c r="F3033" s="5" t="s">
        <v>4550</v>
      </c>
    </row>
    <row r="3034" ht="12.75" customHeight="1">
      <c r="A3034" s="5" t="s">
        <v>9077</v>
      </c>
      <c r="B3034" s="5" t="s">
        <v>9078</v>
      </c>
      <c r="C3034" s="5" t="s">
        <v>9079</v>
      </c>
      <c r="D3034" s="5" t="s">
        <v>67</v>
      </c>
      <c r="E3034" s="5" t="s">
        <v>35</v>
      </c>
      <c r="F3034" s="5" t="s">
        <v>450</v>
      </c>
    </row>
    <row r="3035" ht="12.75" customHeight="1">
      <c r="A3035" s="5" t="s">
        <v>9080</v>
      </c>
      <c r="B3035" s="10" t="s">
        <v>9081</v>
      </c>
      <c r="C3035" s="5" t="s">
        <v>9080</v>
      </c>
      <c r="D3035" s="5" t="s">
        <v>34</v>
      </c>
      <c r="E3035" s="5" t="s">
        <v>42</v>
      </c>
      <c r="F3035" s="5" t="s">
        <v>54</v>
      </c>
    </row>
    <row r="3036" ht="12.75" customHeight="1">
      <c r="A3036" s="5" t="s">
        <v>9082</v>
      </c>
      <c r="B3036" s="10" t="s">
        <v>9083</v>
      </c>
      <c r="C3036" s="5" t="s">
        <v>9084</v>
      </c>
      <c r="D3036" s="5" t="s">
        <v>34</v>
      </c>
      <c r="E3036" s="5" t="s">
        <v>42</v>
      </c>
      <c r="F3036" s="5" t="s">
        <v>657</v>
      </c>
    </row>
    <row r="3037" ht="12.75" customHeight="1">
      <c r="A3037" s="5" t="s">
        <v>9085</v>
      </c>
      <c r="B3037" s="5" t="s">
        <v>9086</v>
      </c>
      <c r="C3037" s="5" t="s">
        <v>9085</v>
      </c>
      <c r="D3037" s="5" t="s">
        <v>34</v>
      </c>
      <c r="E3037" s="5" t="s">
        <v>42</v>
      </c>
      <c r="F3037" s="5" t="s">
        <v>610</v>
      </c>
    </row>
    <row r="3038" ht="12.75" customHeight="1">
      <c r="A3038" s="5" t="s">
        <v>9087</v>
      </c>
      <c r="B3038" s="5" t="s">
        <v>9088</v>
      </c>
      <c r="C3038" s="5" t="s">
        <v>9087</v>
      </c>
      <c r="D3038" s="5" t="s">
        <v>34</v>
      </c>
      <c r="E3038" s="5" t="s">
        <v>42</v>
      </c>
      <c r="F3038" s="5" t="s">
        <v>238</v>
      </c>
    </row>
    <row r="3039" ht="12.75" customHeight="1">
      <c r="A3039" s="5" t="s">
        <v>9089</v>
      </c>
      <c r="B3039" s="10" t="s">
        <v>9090</v>
      </c>
      <c r="C3039" s="5" t="s">
        <v>9091</v>
      </c>
      <c r="D3039" s="5" t="s">
        <v>50</v>
      </c>
      <c r="E3039" s="5" t="s">
        <v>35</v>
      </c>
      <c r="F3039" s="5" t="s">
        <v>36</v>
      </c>
    </row>
    <row r="3040" ht="12.75" customHeight="1">
      <c r="A3040" s="5" t="s">
        <v>9092</v>
      </c>
      <c r="B3040" s="5" t="s">
        <v>9093</v>
      </c>
      <c r="C3040" s="5" t="s">
        <v>9094</v>
      </c>
      <c r="D3040" s="5" t="s">
        <v>50</v>
      </c>
      <c r="E3040" s="5" t="s">
        <v>42</v>
      </c>
      <c r="F3040" s="5" t="s">
        <v>83</v>
      </c>
    </row>
    <row r="3041" ht="12.75" customHeight="1">
      <c r="A3041" s="5" t="s">
        <v>4039</v>
      </c>
      <c r="B3041" s="5" t="s">
        <v>9095</v>
      </c>
      <c r="C3041" s="5" t="s">
        <v>4039</v>
      </c>
      <c r="D3041" s="5" t="s">
        <v>34</v>
      </c>
      <c r="E3041" s="5" t="s">
        <v>35</v>
      </c>
      <c r="F3041" s="5" t="s">
        <v>4630</v>
      </c>
    </row>
    <row r="3042" ht="12.75" customHeight="1">
      <c r="A3042" s="5" t="s">
        <v>9096</v>
      </c>
      <c r="B3042" s="5" t="s">
        <v>9097</v>
      </c>
      <c r="C3042" s="5" t="s">
        <v>9098</v>
      </c>
      <c r="D3042" s="5" t="s">
        <v>38</v>
      </c>
      <c r="E3042" s="5" t="s">
        <v>35</v>
      </c>
      <c r="F3042" s="5" t="s">
        <v>172</v>
      </c>
    </row>
    <row r="3043" ht="12.75" customHeight="1">
      <c r="A3043" s="5" t="s">
        <v>9099</v>
      </c>
      <c r="B3043" s="5" t="s">
        <v>9100</v>
      </c>
      <c r="C3043" s="5" t="s">
        <v>9099</v>
      </c>
      <c r="D3043" s="5" t="s">
        <v>46</v>
      </c>
      <c r="E3043" s="5" t="s">
        <v>42</v>
      </c>
      <c r="F3043" s="5" t="s">
        <v>1911</v>
      </c>
      <c r="G3043" s="10" t="s">
        <v>72</v>
      </c>
    </row>
    <row r="3044" ht="12.75" customHeight="1">
      <c r="A3044" s="5" t="s">
        <v>9101</v>
      </c>
      <c r="B3044" s="5" t="s">
        <v>9102</v>
      </c>
      <c r="C3044" s="5" t="s">
        <v>9101</v>
      </c>
      <c r="D3044" s="5" t="s">
        <v>34</v>
      </c>
      <c r="E3044" s="5" t="s">
        <v>35</v>
      </c>
      <c r="F3044" s="5" t="s">
        <v>77</v>
      </c>
    </row>
    <row r="3045" ht="12.75" customHeight="1">
      <c r="A3045" s="5" t="s">
        <v>9103</v>
      </c>
      <c r="B3045" s="10" t="s">
        <v>9104</v>
      </c>
      <c r="C3045" s="5" t="s">
        <v>9103</v>
      </c>
      <c r="D3045" s="5" t="s">
        <v>22</v>
      </c>
      <c r="E3045" s="5" t="s">
        <v>35</v>
      </c>
      <c r="F3045" s="5" t="s">
        <v>104</v>
      </c>
    </row>
    <row r="3046" ht="12.75" customHeight="1">
      <c r="A3046" s="5" t="s">
        <v>9105</v>
      </c>
      <c r="B3046" s="5" t="s">
        <v>9106</v>
      </c>
      <c r="C3046" s="5" t="s">
        <v>9105</v>
      </c>
      <c r="D3046" s="5" t="s">
        <v>67</v>
      </c>
      <c r="E3046" s="5" t="s">
        <v>42</v>
      </c>
      <c r="F3046" s="5" t="s">
        <v>1727</v>
      </c>
      <c r="G3046" s="10" t="s">
        <v>72</v>
      </c>
    </row>
    <row r="3047" ht="12.75" customHeight="1">
      <c r="A3047" s="5" t="s">
        <v>9107</v>
      </c>
      <c r="B3047" s="10" t="s">
        <v>9108</v>
      </c>
      <c r="C3047" s="5" t="s">
        <v>9107</v>
      </c>
      <c r="D3047" s="5" t="s">
        <v>34</v>
      </c>
      <c r="E3047" s="5" t="s">
        <v>42</v>
      </c>
      <c r="F3047" s="5" t="s">
        <v>720</v>
      </c>
    </row>
    <row r="3048" ht="12.75" customHeight="1">
      <c r="A3048" s="5" t="s">
        <v>9109</v>
      </c>
      <c r="B3048" s="5" t="s">
        <v>9110</v>
      </c>
      <c r="C3048" s="5" t="s">
        <v>9109</v>
      </c>
      <c r="D3048" s="5" t="s">
        <v>34</v>
      </c>
      <c r="E3048" s="5" t="s">
        <v>42</v>
      </c>
      <c r="F3048" s="5" t="s">
        <v>637</v>
      </c>
    </row>
    <row r="3049" ht="12.75" customHeight="1">
      <c r="A3049" s="5" t="s">
        <v>9111</v>
      </c>
      <c r="B3049" s="5" t="s">
        <v>9112</v>
      </c>
      <c r="C3049" s="5" t="s">
        <v>9113</v>
      </c>
      <c r="D3049" s="5" t="s">
        <v>38</v>
      </c>
      <c r="E3049" s="5" t="s">
        <v>42</v>
      </c>
      <c r="F3049" s="5" t="s">
        <v>228</v>
      </c>
      <c r="G3049" s="10" t="s">
        <v>72</v>
      </c>
    </row>
    <row r="3050" ht="12.75" customHeight="1">
      <c r="A3050" s="5" t="s">
        <v>9114</v>
      </c>
      <c r="B3050" s="5" t="s">
        <v>9115</v>
      </c>
      <c r="C3050" s="5" t="s">
        <v>9116</v>
      </c>
      <c r="D3050" s="5" t="s">
        <v>34</v>
      </c>
      <c r="E3050" s="5" t="s">
        <v>42</v>
      </c>
      <c r="F3050" s="5" t="s">
        <v>1991</v>
      </c>
    </row>
    <row r="3051" ht="12.75" customHeight="1">
      <c r="A3051" s="5" t="s">
        <v>9117</v>
      </c>
      <c r="B3051" s="10" t="s">
        <v>9118</v>
      </c>
      <c r="C3051" s="5" t="s">
        <v>9117</v>
      </c>
      <c r="D3051" s="5" t="s">
        <v>34</v>
      </c>
      <c r="E3051" s="5" t="s">
        <v>42</v>
      </c>
      <c r="F3051" s="5" t="s">
        <v>83</v>
      </c>
    </row>
    <row r="3052" ht="12.75" customHeight="1">
      <c r="A3052" s="5" t="s">
        <v>9119</v>
      </c>
      <c r="B3052" s="10" t="s">
        <v>9120</v>
      </c>
      <c r="C3052" s="5" t="s">
        <v>9121</v>
      </c>
      <c r="D3052" s="5" t="s">
        <v>22</v>
      </c>
      <c r="E3052" s="5" t="s">
        <v>42</v>
      </c>
      <c r="F3052" s="5" t="s">
        <v>672</v>
      </c>
      <c r="G3052" s="10" t="s">
        <v>72</v>
      </c>
    </row>
    <row r="3053" ht="12.75" customHeight="1">
      <c r="A3053" s="5" t="s">
        <v>9122</v>
      </c>
      <c r="B3053" s="5" t="s">
        <v>9123</v>
      </c>
      <c r="C3053" s="5" t="s">
        <v>9122</v>
      </c>
      <c r="D3053" s="5" t="s">
        <v>30</v>
      </c>
      <c r="E3053" s="5" t="s">
        <v>35</v>
      </c>
      <c r="F3053" s="5" t="s">
        <v>1831</v>
      </c>
    </row>
    <row r="3054" ht="12.75" customHeight="1">
      <c r="A3054" s="5" t="s">
        <v>9124</v>
      </c>
      <c r="B3054" s="5" t="s">
        <v>9125</v>
      </c>
      <c r="C3054" s="5" t="s">
        <v>9126</v>
      </c>
      <c r="D3054" s="5" t="s">
        <v>50</v>
      </c>
      <c r="E3054" s="5" t="s">
        <v>42</v>
      </c>
      <c r="F3054" s="5" t="s">
        <v>720</v>
      </c>
    </row>
    <row r="3055" ht="12.75" customHeight="1">
      <c r="A3055" s="5" t="s">
        <v>9127</v>
      </c>
      <c r="B3055" s="5" t="s">
        <v>9128</v>
      </c>
      <c r="C3055" s="5" t="s">
        <v>9127</v>
      </c>
      <c r="D3055" s="5" t="s">
        <v>67</v>
      </c>
      <c r="E3055" s="5" t="s">
        <v>42</v>
      </c>
      <c r="F3055" s="5" t="s">
        <v>2555</v>
      </c>
    </row>
    <row r="3056" ht="12.75" customHeight="1">
      <c r="A3056" s="5" t="s">
        <v>4835</v>
      </c>
      <c r="B3056" s="5" t="s">
        <v>9129</v>
      </c>
      <c r="C3056" s="5" t="s">
        <v>4774</v>
      </c>
      <c r="D3056" s="5" t="s">
        <v>34</v>
      </c>
      <c r="E3056" s="5" t="s">
        <v>35</v>
      </c>
      <c r="F3056" s="5" t="s">
        <v>36</v>
      </c>
      <c r="G3056" s="10" t="s">
        <v>72</v>
      </c>
      <c r="L3056" s="5" t="s">
        <v>4832</v>
      </c>
      <c r="M3056" s="5" t="s">
        <v>4832</v>
      </c>
    </row>
    <row r="3057" ht="12.75" customHeight="1">
      <c r="A3057" s="5" t="s">
        <v>4505</v>
      </c>
      <c r="B3057" s="5" t="s">
        <v>9130</v>
      </c>
      <c r="C3057" s="5" t="s">
        <v>4774</v>
      </c>
      <c r="D3057" s="5" t="s">
        <v>34</v>
      </c>
      <c r="E3057" s="5" t="s">
        <v>42</v>
      </c>
      <c r="F3057" s="5" t="s">
        <v>228</v>
      </c>
      <c r="G3057" s="10" t="s">
        <v>72</v>
      </c>
      <c r="L3057" s="5" t="s">
        <v>9131</v>
      </c>
      <c r="M3057" s="5" t="s">
        <v>9131</v>
      </c>
    </row>
    <row r="3058" ht="12.75" customHeight="1">
      <c r="A3058" s="5" t="s">
        <v>4843</v>
      </c>
      <c r="B3058" s="5" t="s">
        <v>9132</v>
      </c>
      <c r="C3058" s="5" t="s">
        <v>4774</v>
      </c>
      <c r="D3058" s="5" t="s">
        <v>34</v>
      </c>
      <c r="E3058" s="5" t="s">
        <v>35</v>
      </c>
      <c r="F3058" s="5" t="s">
        <v>104</v>
      </c>
      <c r="G3058" s="10" t="s">
        <v>72</v>
      </c>
      <c r="L3058" s="5" t="s">
        <v>4841</v>
      </c>
      <c r="M3058" s="5" t="s">
        <v>4841</v>
      </c>
    </row>
    <row r="3059" ht="12.75" customHeight="1">
      <c r="A3059" s="5" t="s">
        <v>4848</v>
      </c>
      <c r="B3059" s="5" t="s">
        <v>9133</v>
      </c>
      <c r="C3059" s="5" t="s">
        <v>4774</v>
      </c>
      <c r="D3059" s="5" t="s">
        <v>34</v>
      </c>
      <c r="E3059" s="5" t="s">
        <v>42</v>
      </c>
      <c r="F3059" s="5" t="s">
        <v>575</v>
      </c>
      <c r="G3059" s="10" t="s">
        <v>72</v>
      </c>
      <c r="L3059" s="5" t="s">
        <v>4845</v>
      </c>
      <c r="M3059" s="5" t="s">
        <v>4845</v>
      </c>
    </row>
    <row r="3060" ht="12.75" customHeight="1">
      <c r="A3060" s="5" t="s">
        <v>9134</v>
      </c>
      <c r="B3060" s="5" t="s">
        <v>9135</v>
      </c>
      <c r="C3060" s="5" t="s">
        <v>4774</v>
      </c>
      <c r="D3060" s="5" t="s">
        <v>34</v>
      </c>
      <c r="E3060" s="5" t="s">
        <v>35</v>
      </c>
      <c r="F3060" s="5" t="s">
        <v>172</v>
      </c>
      <c r="G3060" s="10" t="s">
        <v>72</v>
      </c>
    </row>
    <row r="3061" ht="12.75" customHeight="1">
      <c r="A3061" s="5" t="s">
        <v>2876</v>
      </c>
      <c r="B3061" s="5" t="s">
        <v>9136</v>
      </c>
      <c r="C3061" s="5" t="s">
        <v>4774</v>
      </c>
      <c r="D3061" s="5" t="s">
        <v>34</v>
      </c>
      <c r="E3061" s="5" t="s">
        <v>42</v>
      </c>
      <c r="F3061" s="5" t="s">
        <v>167</v>
      </c>
      <c r="G3061" s="10" t="s">
        <v>72</v>
      </c>
      <c r="K3061" s="5" t="s">
        <v>2873</v>
      </c>
      <c r="L3061" s="5" t="s">
        <v>9137</v>
      </c>
      <c r="M3061" s="5" t="s">
        <v>9137</v>
      </c>
    </row>
    <row r="3062" ht="12.75" customHeight="1">
      <c r="A3062" s="5" t="s">
        <v>9138</v>
      </c>
      <c r="B3062" s="5" t="s">
        <v>9139</v>
      </c>
      <c r="C3062" s="5" t="s">
        <v>4774</v>
      </c>
      <c r="D3062" s="5" t="s">
        <v>34</v>
      </c>
      <c r="E3062" s="5" t="s">
        <v>35</v>
      </c>
      <c r="F3062" s="5" t="s">
        <v>695</v>
      </c>
      <c r="G3062" s="10" t="s">
        <v>72</v>
      </c>
    </row>
    <row r="3063" ht="12.75" customHeight="1">
      <c r="A3063" s="5" t="s">
        <v>4517</v>
      </c>
      <c r="B3063" s="5" t="s">
        <v>9140</v>
      </c>
      <c r="C3063" s="5" t="s">
        <v>4774</v>
      </c>
      <c r="D3063" s="5" t="s">
        <v>34</v>
      </c>
      <c r="E3063" s="5" t="s">
        <v>42</v>
      </c>
      <c r="F3063" s="5" t="s">
        <v>599</v>
      </c>
      <c r="G3063" s="10" t="s">
        <v>72</v>
      </c>
      <c r="L3063" s="5" t="s">
        <v>9141</v>
      </c>
      <c r="M3063" s="5" t="s">
        <v>9141</v>
      </c>
    </row>
    <row r="3064" ht="12.75" customHeight="1">
      <c r="A3064" s="5" t="s">
        <v>4852</v>
      </c>
      <c r="B3064" s="5" t="s">
        <v>9142</v>
      </c>
      <c r="C3064" s="5" t="s">
        <v>4774</v>
      </c>
      <c r="D3064" s="5" t="s">
        <v>34</v>
      </c>
      <c r="E3064" s="5" t="s">
        <v>35</v>
      </c>
      <c r="F3064" s="5" t="s">
        <v>71</v>
      </c>
      <c r="G3064" s="10" t="s">
        <v>72</v>
      </c>
      <c r="L3064" s="5" t="s">
        <v>4850</v>
      </c>
      <c r="M3064" s="5" t="s">
        <v>4850</v>
      </c>
    </row>
    <row r="3065" ht="12.75" customHeight="1">
      <c r="A3065" s="5" t="s">
        <v>2956</v>
      </c>
      <c r="B3065" s="5" t="s">
        <v>9143</v>
      </c>
      <c r="C3065" s="5" t="s">
        <v>4774</v>
      </c>
      <c r="D3065" s="5" t="s">
        <v>34</v>
      </c>
      <c r="E3065" s="5" t="s">
        <v>42</v>
      </c>
      <c r="F3065" s="5" t="s">
        <v>199</v>
      </c>
      <c r="G3065" s="10" t="s">
        <v>72</v>
      </c>
      <c r="K3065" s="5" t="s">
        <v>2953</v>
      </c>
      <c r="L3065" s="5" t="s">
        <v>9144</v>
      </c>
      <c r="M3065" s="5" t="s">
        <v>9144</v>
      </c>
    </row>
    <row r="3066" ht="12.75" customHeight="1">
      <c r="A3066" s="5" t="s">
        <v>9145</v>
      </c>
      <c r="B3066" s="5" t="s">
        <v>9146</v>
      </c>
      <c r="C3066" s="5" t="s">
        <v>4774</v>
      </c>
      <c r="D3066" s="5" t="s">
        <v>34</v>
      </c>
      <c r="E3066" s="5" t="s">
        <v>35</v>
      </c>
      <c r="F3066" s="5" t="s">
        <v>90</v>
      </c>
      <c r="G3066" s="10" t="s">
        <v>72</v>
      </c>
    </row>
    <row r="3067" ht="12.75" customHeight="1">
      <c r="A3067" s="5" t="s">
        <v>2981</v>
      </c>
      <c r="B3067" s="5" t="s">
        <v>9147</v>
      </c>
      <c r="C3067" s="5" t="s">
        <v>4774</v>
      </c>
      <c r="D3067" s="5" t="s">
        <v>34</v>
      </c>
      <c r="E3067" s="5" t="s">
        <v>42</v>
      </c>
      <c r="F3067" s="5" t="s">
        <v>556</v>
      </c>
      <c r="G3067" s="10" t="s">
        <v>72</v>
      </c>
      <c r="H3067" s="5" t="s">
        <v>1166</v>
      </c>
      <c r="K3067" s="5" t="s">
        <v>2978</v>
      </c>
    </row>
    <row r="3068" ht="12.75" customHeight="1">
      <c r="A3068" s="5" t="s">
        <v>9148</v>
      </c>
      <c r="B3068" s="5" t="s">
        <v>9149</v>
      </c>
      <c r="D3068" s="5" t="s">
        <v>34</v>
      </c>
      <c r="E3068" s="5" t="s">
        <v>42</v>
      </c>
      <c r="F3068" s="5" t="s">
        <v>599</v>
      </c>
      <c r="G3068" s="10" t="s">
        <v>72</v>
      </c>
      <c r="H3068" s="5" t="s">
        <v>9150</v>
      </c>
    </row>
    <row r="3069" ht="12.75" customHeight="1">
      <c r="A3069" s="5" t="s">
        <v>4392</v>
      </c>
      <c r="B3069" s="5" t="s">
        <v>9151</v>
      </c>
      <c r="D3069" s="5" t="s">
        <v>30</v>
      </c>
      <c r="E3069" s="5" t="s">
        <v>35</v>
      </c>
      <c r="F3069" s="5" t="s">
        <v>1875</v>
      </c>
      <c r="G3069" s="10" t="s">
        <v>72</v>
      </c>
      <c r="H3069" s="5" t="s">
        <v>4414</v>
      </c>
      <c r="L3069" s="5" t="s">
        <v>4390</v>
      </c>
      <c r="M3069" s="5" t="s">
        <v>4390</v>
      </c>
    </row>
    <row r="3070" ht="12.75" customHeight="1">
      <c r="A3070" s="5" t="s">
        <v>9152</v>
      </c>
      <c r="B3070" s="5" t="s">
        <v>9153</v>
      </c>
      <c r="D3070" s="5" t="s">
        <v>30</v>
      </c>
      <c r="E3070" s="5" t="s">
        <v>42</v>
      </c>
      <c r="F3070" s="5" t="s">
        <v>211</v>
      </c>
      <c r="G3070" s="10" t="s">
        <v>72</v>
      </c>
      <c r="H3070" s="5" t="s">
        <v>4786</v>
      </c>
    </row>
    <row r="3071" ht="12.75" customHeight="1">
      <c r="A3071" s="5" t="s">
        <v>2141</v>
      </c>
      <c r="B3071" s="5" t="s">
        <v>9154</v>
      </c>
      <c r="D3071" s="5" t="s">
        <v>46</v>
      </c>
      <c r="E3071" s="5" t="s">
        <v>35</v>
      </c>
      <c r="F3071" s="5" t="s">
        <v>263</v>
      </c>
      <c r="G3071" s="10" t="s">
        <v>72</v>
      </c>
      <c r="K3071" s="5" t="s">
        <v>9155</v>
      </c>
    </row>
    <row r="3072" ht="12.75" customHeight="1">
      <c r="A3072" s="5" t="s">
        <v>2150</v>
      </c>
      <c r="B3072" s="5" t="s">
        <v>9156</v>
      </c>
      <c r="D3072" s="5" t="s">
        <v>30</v>
      </c>
      <c r="E3072" s="5" t="s">
        <v>42</v>
      </c>
      <c r="F3072" s="5" t="s">
        <v>395</v>
      </c>
      <c r="G3072" s="10" t="s">
        <v>72</v>
      </c>
      <c r="K3072" s="5" t="s">
        <v>9157</v>
      </c>
    </row>
    <row r="3073" ht="12.75" customHeight="1">
      <c r="A3073" s="5" t="s">
        <v>9158</v>
      </c>
      <c r="B3073" s="5" t="s">
        <v>9159</v>
      </c>
      <c r="C3073" s="5" t="s">
        <v>9160</v>
      </c>
      <c r="D3073" s="5" t="s">
        <v>34</v>
      </c>
      <c r="E3073" s="5" t="s">
        <v>35</v>
      </c>
      <c r="F3073" s="5" t="s">
        <v>36</v>
      </c>
    </row>
    <row r="3074" ht="12.75" customHeight="1">
      <c r="A3074" s="5" t="s">
        <v>9161</v>
      </c>
      <c r="B3074" s="5" t="s">
        <v>9162</v>
      </c>
      <c r="C3074" s="5" t="s">
        <v>9161</v>
      </c>
      <c r="D3074" s="5" t="s">
        <v>22</v>
      </c>
      <c r="E3074" s="5" t="s">
        <v>42</v>
      </c>
      <c r="F3074" s="5" t="s">
        <v>572</v>
      </c>
      <c r="G3074" s="10" t="s">
        <v>72</v>
      </c>
    </row>
    <row r="3075" ht="12.75" customHeight="1">
      <c r="A3075" s="5" t="s">
        <v>9163</v>
      </c>
      <c r="B3075" s="5" t="s">
        <v>9164</v>
      </c>
      <c r="C3075" s="5" t="s">
        <v>9163</v>
      </c>
      <c r="D3075" s="5" t="s">
        <v>22</v>
      </c>
      <c r="E3075" s="5" t="s">
        <v>35</v>
      </c>
      <c r="F3075" s="5" t="s">
        <v>710</v>
      </c>
    </row>
    <row r="3076" ht="12.75" customHeight="1">
      <c r="A3076" s="5" t="s">
        <v>9165</v>
      </c>
      <c r="B3076" s="5" t="s">
        <v>9166</v>
      </c>
      <c r="C3076" s="5" t="s">
        <v>9165</v>
      </c>
      <c r="D3076" s="5" t="s">
        <v>12</v>
      </c>
      <c r="E3076" s="5" t="s">
        <v>42</v>
      </c>
      <c r="F3076" s="5" t="s">
        <v>9167</v>
      </c>
    </row>
    <row r="3077" ht="12.75" customHeight="1">
      <c r="A3077" s="5" t="s">
        <v>9168</v>
      </c>
      <c r="B3077" s="5" t="s">
        <v>9169</v>
      </c>
      <c r="C3077" s="5" t="s">
        <v>9170</v>
      </c>
      <c r="D3077" s="5" t="s">
        <v>55</v>
      </c>
      <c r="E3077" s="5" t="s">
        <v>42</v>
      </c>
      <c r="F3077" s="5" t="s">
        <v>1228</v>
      </c>
    </row>
    <row r="3078" ht="12.75" customHeight="1">
      <c r="A3078" s="5" t="s">
        <v>9171</v>
      </c>
      <c r="B3078" s="5" t="s">
        <v>9172</v>
      </c>
      <c r="C3078" s="5" t="s">
        <v>9171</v>
      </c>
      <c r="D3078" s="5" t="s">
        <v>67</v>
      </c>
      <c r="E3078" s="5" t="s">
        <v>42</v>
      </c>
      <c r="F3078" s="5" t="s">
        <v>1215</v>
      </c>
    </row>
    <row r="3079" ht="12.75" customHeight="1">
      <c r="A3079" s="5" t="s">
        <v>9173</v>
      </c>
      <c r="B3079" s="5" t="s">
        <v>9174</v>
      </c>
      <c r="C3079" s="5" t="s">
        <v>9175</v>
      </c>
      <c r="D3079" s="5" t="s">
        <v>55</v>
      </c>
      <c r="E3079" s="5" t="s">
        <v>42</v>
      </c>
      <c r="F3079" s="5" t="s">
        <v>4124</v>
      </c>
    </row>
    <row r="3080" ht="12.75" customHeight="1">
      <c r="A3080" s="5" t="s">
        <v>9176</v>
      </c>
      <c r="B3080" s="5" t="s">
        <v>9177</v>
      </c>
      <c r="C3080" s="5" t="s">
        <v>9178</v>
      </c>
      <c r="D3080" s="5" t="s">
        <v>55</v>
      </c>
      <c r="E3080" s="5" t="s">
        <v>42</v>
      </c>
      <c r="F3080" s="5" t="s">
        <v>4107</v>
      </c>
    </row>
    <row r="3081" ht="12.75" customHeight="1">
      <c r="A3081" s="5" t="s">
        <v>9179</v>
      </c>
      <c r="B3081" s="10" t="s">
        <v>9180</v>
      </c>
      <c r="C3081" s="5" t="s">
        <v>9179</v>
      </c>
      <c r="D3081" s="5" t="s">
        <v>1314</v>
      </c>
      <c r="E3081" s="5" t="s">
        <v>42</v>
      </c>
      <c r="F3081" s="5" t="s">
        <v>454</v>
      </c>
    </row>
    <row r="3082" ht="12.75" customHeight="1">
      <c r="A3082" s="5" t="s">
        <v>9181</v>
      </c>
      <c r="B3082" s="10" t="s">
        <v>9182</v>
      </c>
      <c r="C3082" s="5" t="s">
        <v>9181</v>
      </c>
      <c r="D3082" s="5" t="s">
        <v>80</v>
      </c>
      <c r="E3082" s="5" t="s">
        <v>42</v>
      </c>
      <c r="F3082" s="5" t="s">
        <v>2638</v>
      </c>
      <c r="G3082" s="10" t="s">
        <v>72</v>
      </c>
    </row>
    <row r="3083" ht="12.75" customHeight="1">
      <c r="A3083" s="5" t="s">
        <v>9183</v>
      </c>
      <c r="B3083" s="5" t="s">
        <v>9184</v>
      </c>
      <c r="C3083" s="5" t="s">
        <v>9185</v>
      </c>
      <c r="D3083" s="5" t="s">
        <v>50</v>
      </c>
      <c r="E3083" s="5" t="s">
        <v>42</v>
      </c>
      <c r="F3083" s="5" t="s">
        <v>556</v>
      </c>
    </row>
    <row r="3084" ht="12.75" customHeight="1">
      <c r="A3084" s="5" t="s">
        <v>9186</v>
      </c>
      <c r="B3084" s="5" t="s">
        <v>9187</v>
      </c>
      <c r="C3084" s="5" t="s">
        <v>9188</v>
      </c>
      <c r="D3084" s="5" t="s">
        <v>30</v>
      </c>
      <c r="E3084" s="5" t="s">
        <v>42</v>
      </c>
      <c r="F3084" s="5" t="s">
        <v>967</v>
      </c>
    </row>
    <row r="3085" ht="12.75" customHeight="1">
      <c r="A3085" s="5" t="s">
        <v>9189</v>
      </c>
      <c r="B3085" s="5" t="s">
        <v>9190</v>
      </c>
      <c r="C3085" s="5" t="s">
        <v>9191</v>
      </c>
      <c r="D3085" s="5" t="s">
        <v>30</v>
      </c>
      <c r="E3085" s="5" t="s">
        <v>42</v>
      </c>
      <c r="F3085" s="5" t="s">
        <v>2218</v>
      </c>
    </row>
    <row r="3086" ht="12.75" customHeight="1">
      <c r="A3086" s="5" t="s">
        <v>9192</v>
      </c>
      <c r="B3086" s="5" t="s">
        <v>9193</v>
      </c>
      <c r="C3086" s="5" t="s">
        <v>9192</v>
      </c>
      <c r="D3086" s="5" t="s">
        <v>74</v>
      </c>
      <c r="E3086" s="5" t="s">
        <v>42</v>
      </c>
      <c r="F3086" s="5" t="s">
        <v>445</v>
      </c>
    </row>
    <row r="3087" ht="12.75" customHeight="1">
      <c r="A3087" s="5" t="s">
        <v>9194</v>
      </c>
      <c r="B3087" s="5" t="s">
        <v>9195</v>
      </c>
      <c r="C3087" s="5" t="s">
        <v>9196</v>
      </c>
      <c r="D3087" s="5" t="s">
        <v>55</v>
      </c>
      <c r="E3087" s="5" t="s">
        <v>42</v>
      </c>
      <c r="F3087" s="5" t="s">
        <v>1194</v>
      </c>
    </row>
    <row r="3088" ht="12.75" customHeight="1">
      <c r="A3088" s="5" t="s">
        <v>9197</v>
      </c>
      <c r="B3088" s="10" t="s">
        <v>9198</v>
      </c>
      <c r="C3088" s="5" t="s">
        <v>9199</v>
      </c>
      <c r="D3088" s="5" t="s">
        <v>30</v>
      </c>
      <c r="E3088" s="5" t="s">
        <v>35</v>
      </c>
      <c r="F3088" s="5" t="s">
        <v>1831</v>
      </c>
    </row>
    <row r="3089" ht="12.75" customHeight="1">
      <c r="A3089" s="5" t="s">
        <v>9200</v>
      </c>
      <c r="B3089" s="5" t="s">
        <v>9201</v>
      </c>
      <c r="C3089" s="5" t="s">
        <v>9200</v>
      </c>
      <c r="D3089" s="5" t="s">
        <v>34</v>
      </c>
      <c r="E3089" s="5" t="s">
        <v>42</v>
      </c>
      <c r="F3089" s="5" t="s">
        <v>1991</v>
      </c>
    </row>
    <row r="3090" ht="12.75" customHeight="1">
      <c r="A3090" s="5" t="s">
        <v>9202</v>
      </c>
      <c r="B3090" s="10" t="s">
        <v>9203</v>
      </c>
      <c r="C3090" s="5" t="s">
        <v>9202</v>
      </c>
      <c r="D3090" s="5" t="s">
        <v>34</v>
      </c>
      <c r="E3090" s="5" t="s">
        <v>35</v>
      </c>
      <c r="F3090" s="5" t="s">
        <v>71</v>
      </c>
    </row>
    <row r="3091" ht="12.75" customHeight="1">
      <c r="A3091" s="5" t="s">
        <v>9204</v>
      </c>
      <c r="B3091" s="5" t="s">
        <v>9205</v>
      </c>
      <c r="C3091" s="5" t="s">
        <v>9206</v>
      </c>
      <c r="D3091" s="5" t="s">
        <v>67</v>
      </c>
      <c r="E3091" s="5" t="s">
        <v>42</v>
      </c>
      <c r="F3091" s="5" t="s">
        <v>5421</v>
      </c>
    </row>
    <row r="3092" ht="12.75" customHeight="1">
      <c r="A3092" s="5" t="s">
        <v>9207</v>
      </c>
      <c r="B3092" s="5" t="s">
        <v>9208</v>
      </c>
      <c r="C3092" s="5" t="s">
        <v>9207</v>
      </c>
      <c r="D3092" s="5" t="s">
        <v>34</v>
      </c>
      <c r="E3092" s="5" t="s">
        <v>42</v>
      </c>
      <c r="F3092" s="5" t="s">
        <v>199</v>
      </c>
    </row>
    <row r="3093" ht="12.75" customHeight="1">
      <c r="A3093" s="5" t="s">
        <v>9209</v>
      </c>
      <c r="B3093" s="5" t="s">
        <v>9210</v>
      </c>
      <c r="C3093" s="5" t="s">
        <v>9211</v>
      </c>
      <c r="D3093" s="5" t="s">
        <v>34</v>
      </c>
      <c r="E3093" s="5" t="s">
        <v>35</v>
      </c>
      <c r="F3093" s="5" t="s">
        <v>189</v>
      </c>
      <c r="G3093" s="10" t="s">
        <v>72</v>
      </c>
    </row>
    <row r="3094" ht="12.75" customHeight="1">
      <c r="A3094" s="5" t="s">
        <v>9212</v>
      </c>
      <c r="B3094" s="10" t="s">
        <v>9213</v>
      </c>
      <c r="C3094" s="5" t="s">
        <v>9214</v>
      </c>
      <c r="D3094" s="5" t="s">
        <v>55</v>
      </c>
      <c r="E3094" s="5" t="s">
        <v>42</v>
      </c>
      <c r="F3094" s="5" t="s">
        <v>134</v>
      </c>
    </row>
    <row r="3095" ht="12.75" customHeight="1">
      <c r="A3095" s="5" t="s">
        <v>9215</v>
      </c>
      <c r="B3095" s="10" t="s">
        <v>9216</v>
      </c>
      <c r="C3095" s="5" t="s">
        <v>9215</v>
      </c>
      <c r="D3095" s="5" t="s">
        <v>46</v>
      </c>
      <c r="E3095" s="5" t="s">
        <v>42</v>
      </c>
      <c r="F3095" s="5" t="s">
        <v>395</v>
      </c>
    </row>
    <row r="3096" ht="12.75" customHeight="1">
      <c r="A3096" s="5" t="s">
        <v>9217</v>
      </c>
      <c r="B3096" s="5" t="s">
        <v>9218</v>
      </c>
      <c r="C3096" s="5" t="s">
        <v>9217</v>
      </c>
      <c r="D3096" s="5" t="s">
        <v>22</v>
      </c>
      <c r="E3096" s="5" t="s">
        <v>35</v>
      </c>
      <c r="F3096" s="5" t="s">
        <v>710</v>
      </c>
    </row>
    <row r="3097" ht="12.75" customHeight="1">
      <c r="A3097" s="5" t="s">
        <v>9219</v>
      </c>
      <c r="B3097" s="5" t="s">
        <v>9220</v>
      </c>
      <c r="C3097" s="5" t="s">
        <v>9221</v>
      </c>
      <c r="D3097" s="5" t="s">
        <v>22</v>
      </c>
      <c r="E3097" s="5" t="s">
        <v>42</v>
      </c>
      <c r="F3097" s="5" t="s">
        <v>65</v>
      </c>
      <c r="G3097" s="10" t="s">
        <v>72</v>
      </c>
    </row>
    <row r="3098" ht="12.75" customHeight="1">
      <c r="A3098" s="5" t="s">
        <v>9222</v>
      </c>
      <c r="B3098" s="10" t="s">
        <v>9223</v>
      </c>
      <c r="C3098" s="5" t="s">
        <v>9224</v>
      </c>
      <c r="D3098" s="5" t="s">
        <v>80</v>
      </c>
      <c r="E3098" s="5" t="s">
        <v>42</v>
      </c>
      <c r="F3098" s="5" t="s">
        <v>2638</v>
      </c>
    </row>
    <row r="3099" ht="12.75" customHeight="1">
      <c r="A3099" s="5" t="s">
        <v>9225</v>
      </c>
      <c r="B3099" s="10" t="s">
        <v>9226</v>
      </c>
      <c r="C3099" s="5" t="s">
        <v>9224</v>
      </c>
      <c r="D3099" s="5" t="s">
        <v>80</v>
      </c>
      <c r="E3099" s="5" t="s">
        <v>42</v>
      </c>
      <c r="F3099" s="5" t="s">
        <v>2638</v>
      </c>
    </row>
    <row r="3100" ht="12.75" customHeight="1">
      <c r="A3100" s="5" t="s">
        <v>9227</v>
      </c>
      <c r="B3100" s="10" t="s">
        <v>9228</v>
      </c>
      <c r="C3100" s="5" t="s">
        <v>9224</v>
      </c>
      <c r="D3100" s="5" t="s">
        <v>80</v>
      </c>
      <c r="E3100" s="5" t="s">
        <v>42</v>
      </c>
      <c r="F3100" s="5" t="s">
        <v>2638</v>
      </c>
    </row>
    <row r="3101" ht="12.75" customHeight="1">
      <c r="A3101" s="5" t="s">
        <v>9229</v>
      </c>
      <c r="B3101" s="10" t="s">
        <v>9230</v>
      </c>
      <c r="C3101" s="5" t="s">
        <v>9224</v>
      </c>
      <c r="D3101" s="5" t="s">
        <v>30</v>
      </c>
      <c r="E3101" s="5" t="s">
        <v>42</v>
      </c>
      <c r="F3101" s="5" t="s">
        <v>157</v>
      </c>
    </row>
    <row r="3102" ht="12.75" customHeight="1">
      <c r="A3102" s="5" t="s">
        <v>9231</v>
      </c>
      <c r="B3102" s="10" t="s">
        <v>9232</v>
      </c>
      <c r="C3102" s="5" t="s">
        <v>9224</v>
      </c>
      <c r="D3102" s="5" t="s">
        <v>30</v>
      </c>
      <c r="E3102" s="5" t="s">
        <v>42</v>
      </c>
      <c r="F3102" s="5" t="s">
        <v>157</v>
      </c>
    </row>
    <row r="3103" ht="12.75" customHeight="1">
      <c r="A3103" s="5" t="s">
        <v>9233</v>
      </c>
      <c r="B3103" s="10" t="s">
        <v>9234</v>
      </c>
      <c r="C3103" s="5" t="s">
        <v>9224</v>
      </c>
      <c r="D3103" s="5" t="s">
        <v>30</v>
      </c>
      <c r="E3103" s="5" t="s">
        <v>42</v>
      </c>
      <c r="F3103" s="5" t="s">
        <v>157</v>
      </c>
    </row>
    <row r="3104" ht="12.75" customHeight="1">
      <c r="A3104" s="5" t="s">
        <v>9235</v>
      </c>
      <c r="B3104" s="5" t="s">
        <v>9236</v>
      </c>
      <c r="C3104" s="5" t="s">
        <v>9237</v>
      </c>
      <c r="D3104" s="5" t="s">
        <v>46</v>
      </c>
      <c r="E3104" s="5" t="s">
        <v>42</v>
      </c>
      <c r="F3104" s="5" t="s">
        <v>535</v>
      </c>
    </row>
    <row r="3105" ht="12.75" customHeight="1">
      <c r="A3105" s="5" t="s">
        <v>9238</v>
      </c>
      <c r="B3105" s="5" t="s">
        <v>9239</v>
      </c>
      <c r="C3105" s="5" t="s">
        <v>9240</v>
      </c>
      <c r="D3105" s="5" t="s">
        <v>22</v>
      </c>
      <c r="E3105" s="5" t="s">
        <v>42</v>
      </c>
      <c r="F3105" s="5" t="s">
        <v>672</v>
      </c>
    </row>
    <row r="3106" ht="12.75" customHeight="1">
      <c r="A3106" s="5" t="s">
        <v>9241</v>
      </c>
      <c r="B3106" s="5" t="s">
        <v>9242</v>
      </c>
      <c r="C3106" s="5" t="s">
        <v>9243</v>
      </c>
      <c r="D3106" s="5" t="s">
        <v>1314</v>
      </c>
      <c r="E3106" s="5" t="s">
        <v>42</v>
      </c>
      <c r="F3106" s="5" t="s">
        <v>454</v>
      </c>
    </row>
    <row r="3107" ht="12.75" customHeight="1">
      <c r="A3107" s="5" t="s">
        <v>9244</v>
      </c>
      <c r="B3107" s="5" t="s">
        <v>9245</v>
      </c>
      <c r="C3107" s="5" t="s">
        <v>9246</v>
      </c>
      <c r="D3107" s="5" t="s">
        <v>74</v>
      </c>
      <c r="E3107" s="5" t="s">
        <v>35</v>
      </c>
      <c r="F3107" s="5" t="s">
        <v>619</v>
      </c>
    </row>
    <row r="3108" ht="12.75" customHeight="1">
      <c r="A3108" s="5" t="s">
        <v>9247</v>
      </c>
      <c r="B3108" s="5" t="s">
        <v>9248</v>
      </c>
      <c r="C3108" s="5" t="s">
        <v>9249</v>
      </c>
      <c r="D3108" s="5" t="s">
        <v>30</v>
      </c>
      <c r="E3108" s="5" t="s">
        <v>35</v>
      </c>
      <c r="F3108" s="5" t="s">
        <v>96</v>
      </c>
    </row>
    <row r="3109" ht="12.75" customHeight="1">
      <c r="A3109" s="5" t="s">
        <v>9250</v>
      </c>
      <c r="B3109" s="5" t="s">
        <v>9251</v>
      </c>
      <c r="C3109" s="5" t="s">
        <v>9252</v>
      </c>
      <c r="D3109" s="5" t="s">
        <v>80</v>
      </c>
      <c r="E3109" s="5" t="s">
        <v>42</v>
      </c>
      <c r="F3109" s="5" t="s">
        <v>157</v>
      </c>
    </row>
    <row r="3110" ht="12.75" customHeight="1">
      <c r="A3110" s="5" t="s">
        <v>9253</v>
      </c>
      <c r="B3110" s="5" t="s">
        <v>9254</v>
      </c>
      <c r="C3110" s="5" t="s">
        <v>9255</v>
      </c>
      <c r="D3110" s="5" t="s">
        <v>34</v>
      </c>
      <c r="E3110" s="5" t="s">
        <v>42</v>
      </c>
      <c r="F3110" s="5" t="s">
        <v>556</v>
      </c>
    </row>
    <row r="3111" ht="12.75" customHeight="1">
      <c r="A3111" s="5" t="s">
        <v>9256</v>
      </c>
      <c r="B3111" s="5" t="s">
        <v>9257</v>
      </c>
      <c r="C3111" s="5" t="s">
        <v>9258</v>
      </c>
      <c r="D3111" s="5" t="s">
        <v>34</v>
      </c>
      <c r="E3111" s="5" t="s">
        <v>42</v>
      </c>
      <c r="F3111" s="5" t="s">
        <v>599</v>
      </c>
      <c r="G3111" s="10" t="s">
        <v>72</v>
      </c>
    </row>
    <row r="3112" ht="12.75" customHeight="1">
      <c r="A3112" s="5" t="s">
        <v>9259</v>
      </c>
      <c r="B3112" s="5" t="s">
        <v>9260</v>
      </c>
      <c r="C3112" s="5" t="s">
        <v>9258</v>
      </c>
      <c r="D3112" s="5" t="s">
        <v>34</v>
      </c>
      <c r="E3112" s="5" t="s">
        <v>42</v>
      </c>
      <c r="F3112" s="5" t="s">
        <v>599</v>
      </c>
      <c r="G3112" s="10" t="s">
        <v>72</v>
      </c>
    </row>
    <row r="3113" ht="12.75" customHeight="1">
      <c r="A3113" s="5" t="s">
        <v>9261</v>
      </c>
      <c r="B3113" s="5" t="s">
        <v>9262</v>
      </c>
      <c r="C3113" s="5" t="s">
        <v>9263</v>
      </c>
      <c r="D3113" s="5" t="s">
        <v>12</v>
      </c>
      <c r="E3113" s="5" t="s">
        <v>35</v>
      </c>
      <c r="F3113" s="5" t="s">
        <v>9264</v>
      </c>
    </row>
    <row r="3114" ht="12.75" customHeight="1">
      <c r="A3114" s="5" t="s">
        <v>9265</v>
      </c>
      <c r="B3114" s="5" t="s">
        <v>9266</v>
      </c>
      <c r="C3114" s="5" t="s">
        <v>9258</v>
      </c>
      <c r="D3114" s="5" t="s">
        <v>34</v>
      </c>
      <c r="E3114" s="5" t="s">
        <v>42</v>
      </c>
      <c r="F3114" s="5" t="s">
        <v>878</v>
      </c>
    </row>
    <row r="3115" ht="12.75" customHeight="1">
      <c r="A3115" s="5" t="s">
        <v>9267</v>
      </c>
      <c r="B3115" s="5" t="s">
        <v>9268</v>
      </c>
      <c r="C3115" s="5" t="s">
        <v>9269</v>
      </c>
      <c r="D3115" s="5" t="s">
        <v>22</v>
      </c>
      <c r="E3115" s="5" t="s">
        <v>42</v>
      </c>
      <c r="F3115" s="5" t="s">
        <v>720</v>
      </c>
    </row>
    <row r="3116" ht="12.75" customHeight="1">
      <c r="A3116" s="5" t="s">
        <v>9270</v>
      </c>
      <c r="B3116" s="5" t="s">
        <v>9271</v>
      </c>
      <c r="C3116" s="5" t="s">
        <v>9272</v>
      </c>
      <c r="D3116" s="5" t="s">
        <v>30</v>
      </c>
      <c r="E3116" s="5" t="s">
        <v>42</v>
      </c>
      <c r="F3116" s="5" t="s">
        <v>3107</v>
      </c>
    </row>
    <row r="3117" ht="12.75" customHeight="1">
      <c r="A3117" s="5" t="s">
        <v>9273</v>
      </c>
      <c r="B3117" s="5" t="s">
        <v>9274</v>
      </c>
      <c r="C3117" s="5" t="s">
        <v>9275</v>
      </c>
      <c r="D3117" s="5" t="s">
        <v>46</v>
      </c>
      <c r="E3117" s="5" t="s">
        <v>42</v>
      </c>
      <c r="F3117" s="5" t="s">
        <v>2638</v>
      </c>
      <c r="G3117" s="10" t="s">
        <v>72</v>
      </c>
    </row>
    <row r="3118" ht="12.75" customHeight="1">
      <c r="A3118" s="5" t="s">
        <v>9276</v>
      </c>
      <c r="B3118" s="5" t="s">
        <v>9277</v>
      </c>
      <c r="C3118" s="5" t="s">
        <v>9278</v>
      </c>
      <c r="D3118" s="5" t="s">
        <v>22</v>
      </c>
      <c r="E3118" s="5" t="s">
        <v>35</v>
      </c>
      <c r="F3118" s="5" t="s">
        <v>278</v>
      </c>
    </row>
    <row r="3119" ht="12.75" customHeight="1">
      <c r="A3119" s="5" t="s">
        <v>9279</v>
      </c>
      <c r="B3119" s="5" t="s">
        <v>9280</v>
      </c>
      <c r="C3119" s="5" t="s">
        <v>9281</v>
      </c>
      <c r="D3119" s="5" t="s">
        <v>1314</v>
      </c>
      <c r="E3119" s="5" t="s">
        <v>42</v>
      </c>
      <c r="F3119" s="5" t="s">
        <v>6199</v>
      </c>
    </row>
    <row r="3120" ht="12.75" customHeight="1">
      <c r="A3120" s="5" t="s">
        <v>9282</v>
      </c>
      <c r="B3120" s="5" t="s">
        <v>9283</v>
      </c>
      <c r="C3120" s="5" t="s">
        <v>9282</v>
      </c>
      <c r="D3120" s="5" t="s">
        <v>34</v>
      </c>
      <c r="E3120" s="5" t="s">
        <v>42</v>
      </c>
      <c r="F3120" s="5" t="s">
        <v>65</v>
      </c>
      <c r="G3120" s="10" t="s">
        <v>72</v>
      </c>
    </row>
    <row r="3121" ht="12.75" customHeight="1">
      <c r="A3121" s="5" t="s">
        <v>9284</v>
      </c>
      <c r="B3121" s="5" t="s">
        <v>9285</v>
      </c>
      <c r="C3121" s="5" t="s">
        <v>9286</v>
      </c>
      <c r="D3121" s="5" t="s">
        <v>168</v>
      </c>
      <c r="E3121" s="5" t="s">
        <v>35</v>
      </c>
      <c r="F3121" s="5" t="s">
        <v>763</v>
      </c>
    </row>
    <row r="3122" ht="12.75" customHeight="1">
      <c r="A3122" s="5" t="s">
        <v>9287</v>
      </c>
      <c r="B3122" s="5" t="s">
        <v>9288</v>
      </c>
      <c r="C3122" s="5" t="s">
        <v>9289</v>
      </c>
      <c r="D3122" s="5" t="s">
        <v>124</v>
      </c>
      <c r="E3122" s="5" t="s">
        <v>35</v>
      </c>
      <c r="F3122" s="5" t="s">
        <v>763</v>
      </c>
    </row>
    <row r="3123" ht="12.75" customHeight="1">
      <c r="A3123" s="5" t="s">
        <v>4191</v>
      </c>
      <c r="B3123" s="5" t="s">
        <v>9290</v>
      </c>
      <c r="C3123" s="5" t="s">
        <v>9291</v>
      </c>
      <c r="D3123" s="5" t="s">
        <v>22</v>
      </c>
      <c r="E3123" s="5" t="s">
        <v>35</v>
      </c>
      <c r="F3123" s="5" t="s">
        <v>110</v>
      </c>
      <c r="G3123" s="10" t="s">
        <v>72</v>
      </c>
      <c r="L3123" s="5" t="s">
        <v>4186</v>
      </c>
    </row>
    <row r="3124" ht="12.75" customHeight="1">
      <c r="A3124" s="5" t="s">
        <v>9292</v>
      </c>
      <c r="B3124" s="5" t="s">
        <v>9293</v>
      </c>
      <c r="C3124" s="5" t="s">
        <v>9294</v>
      </c>
      <c r="D3124" s="5" t="s">
        <v>30</v>
      </c>
      <c r="E3124" s="5" t="s">
        <v>42</v>
      </c>
      <c r="F3124" s="5" t="s">
        <v>2869</v>
      </c>
    </row>
    <row r="3125" ht="12.75" customHeight="1">
      <c r="A3125" s="5" t="s">
        <v>9295</v>
      </c>
      <c r="B3125" s="5" t="s">
        <v>9296</v>
      </c>
      <c r="C3125" s="5" t="s">
        <v>9297</v>
      </c>
      <c r="D3125" s="5" t="s">
        <v>34</v>
      </c>
      <c r="E3125" s="5" t="s">
        <v>35</v>
      </c>
      <c r="F3125" s="5" t="s">
        <v>913</v>
      </c>
      <c r="G3125" s="10" t="s">
        <v>72</v>
      </c>
    </row>
    <row r="3126" ht="12.75" customHeight="1">
      <c r="A3126" s="5" t="s">
        <v>9298</v>
      </c>
      <c r="B3126" s="5" t="s">
        <v>9299</v>
      </c>
      <c r="C3126" s="5" t="s">
        <v>9298</v>
      </c>
      <c r="D3126" s="5" t="s">
        <v>67</v>
      </c>
      <c r="E3126" s="5" t="s">
        <v>35</v>
      </c>
      <c r="F3126" s="5" t="s">
        <v>624</v>
      </c>
    </row>
    <row r="3127" ht="12.75" customHeight="1">
      <c r="A3127" s="5" t="s">
        <v>9300</v>
      </c>
      <c r="B3127" s="5" t="s">
        <v>9301</v>
      </c>
      <c r="C3127" s="5" t="s">
        <v>9302</v>
      </c>
      <c r="D3127" s="5" t="s">
        <v>34</v>
      </c>
      <c r="E3127" s="5" t="s">
        <v>42</v>
      </c>
      <c r="F3127" s="5" t="s">
        <v>445</v>
      </c>
    </row>
    <row r="3128" ht="12.75" customHeight="1">
      <c r="A3128" s="5" t="s">
        <v>9303</v>
      </c>
      <c r="B3128" s="5" t="s">
        <v>9304</v>
      </c>
      <c r="C3128" s="5" t="s">
        <v>9303</v>
      </c>
      <c r="D3128" s="5" t="s">
        <v>22</v>
      </c>
      <c r="E3128" s="5" t="s">
        <v>42</v>
      </c>
      <c r="F3128" s="5" t="s">
        <v>556</v>
      </c>
      <c r="G3128" s="10" t="s">
        <v>72</v>
      </c>
    </row>
    <row r="3129" ht="12.75" customHeight="1">
      <c r="A3129" s="5" t="s">
        <v>9305</v>
      </c>
      <c r="B3129" s="5" t="s">
        <v>9306</v>
      </c>
      <c r="C3129" s="5" t="s">
        <v>9307</v>
      </c>
      <c r="D3129" s="5" t="s">
        <v>67</v>
      </c>
      <c r="E3129" s="5" t="s">
        <v>42</v>
      </c>
      <c r="F3129" s="5" t="s">
        <v>1587</v>
      </c>
    </row>
    <row r="3130" ht="12.75" customHeight="1">
      <c r="A3130" s="5" t="s">
        <v>9308</v>
      </c>
      <c r="B3130" s="10" t="s">
        <v>9309</v>
      </c>
      <c r="C3130" s="5" t="s">
        <v>9310</v>
      </c>
      <c r="D3130" s="5" t="s">
        <v>22</v>
      </c>
      <c r="E3130" s="5" t="s">
        <v>42</v>
      </c>
      <c r="F3130" s="5" t="s">
        <v>720</v>
      </c>
    </row>
    <row r="3131" ht="12.75" customHeight="1">
      <c r="A3131" s="5" t="s">
        <v>9311</v>
      </c>
      <c r="B3131" s="5" t="s">
        <v>9312</v>
      </c>
      <c r="C3131" s="5" t="s">
        <v>787</v>
      </c>
      <c r="D3131" s="5" t="s">
        <v>34</v>
      </c>
      <c r="E3131" s="5" t="s">
        <v>42</v>
      </c>
      <c r="F3131" s="5" t="s">
        <v>634</v>
      </c>
      <c r="G3131" s="10" t="s">
        <v>72</v>
      </c>
    </row>
    <row r="3132" ht="12.75" customHeight="1">
      <c r="A3132" s="5" t="s">
        <v>9313</v>
      </c>
      <c r="B3132" s="5" t="s">
        <v>9314</v>
      </c>
      <c r="C3132" s="5" t="s">
        <v>4272</v>
      </c>
      <c r="D3132" s="5" t="s">
        <v>34</v>
      </c>
      <c r="E3132" s="5" t="s">
        <v>42</v>
      </c>
      <c r="F3132" s="5" t="s">
        <v>199</v>
      </c>
      <c r="G3132" s="10" t="s">
        <v>72</v>
      </c>
    </row>
    <row r="3133" ht="12.75" customHeight="1">
      <c r="A3133" s="5" t="s">
        <v>9315</v>
      </c>
      <c r="B3133" s="5" t="s">
        <v>9316</v>
      </c>
      <c r="C3133" s="5" t="s">
        <v>4272</v>
      </c>
      <c r="D3133" s="5" t="s">
        <v>34</v>
      </c>
      <c r="E3133" s="5" t="s">
        <v>42</v>
      </c>
      <c r="F3133" s="5" t="s">
        <v>756</v>
      </c>
      <c r="G3133" s="10" t="s">
        <v>72</v>
      </c>
    </row>
    <row r="3134" ht="12.75" customHeight="1">
      <c r="A3134" s="5" t="s">
        <v>9317</v>
      </c>
      <c r="B3134" s="5" t="s">
        <v>9318</v>
      </c>
      <c r="D3134" s="5" t="s">
        <v>34</v>
      </c>
      <c r="E3134" s="5" t="s">
        <v>35</v>
      </c>
      <c r="F3134" s="5" t="s">
        <v>619</v>
      </c>
    </row>
    <row r="3135" ht="12.75" customHeight="1">
      <c r="A3135" s="5" t="s">
        <v>9319</v>
      </c>
      <c r="B3135" s="5" t="s">
        <v>9320</v>
      </c>
      <c r="D3135" s="5" t="s">
        <v>34</v>
      </c>
      <c r="E3135" s="5" t="s">
        <v>42</v>
      </c>
      <c r="F3135" s="5" t="s">
        <v>54</v>
      </c>
    </row>
    <row r="3136" ht="12.75" customHeight="1">
      <c r="A3136" s="5" t="s">
        <v>9321</v>
      </c>
      <c r="B3136" s="5" t="s">
        <v>9322</v>
      </c>
      <c r="C3136" s="5" t="s">
        <v>9323</v>
      </c>
      <c r="D3136" s="5" t="s">
        <v>50</v>
      </c>
      <c r="E3136" s="5" t="s">
        <v>42</v>
      </c>
      <c r="F3136" s="5" t="s">
        <v>228</v>
      </c>
    </row>
    <row r="3137" ht="12.75" customHeight="1">
      <c r="A3137" s="5" t="s">
        <v>9324</v>
      </c>
      <c r="B3137" s="5" t="s">
        <v>9325</v>
      </c>
      <c r="D3137" s="5" t="s">
        <v>50</v>
      </c>
      <c r="E3137" s="5" t="s">
        <v>35</v>
      </c>
      <c r="F3137" s="5" t="s">
        <v>172</v>
      </c>
      <c r="H3137" s="5" t="s">
        <v>9326</v>
      </c>
    </row>
    <row r="3138" ht="12.75" customHeight="1">
      <c r="A3138" s="5" t="s">
        <v>9327</v>
      </c>
      <c r="B3138" s="5" t="s">
        <v>9328</v>
      </c>
      <c r="D3138" s="5" t="s">
        <v>50</v>
      </c>
      <c r="E3138" s="5" t="s">
        <v>42</v>
      </c>
      <c r="F3138" s="5" t="s">
        <v>199</v>
      </c>
      <c r="H3138" s="5" t="s">
        <v>9326</v>
      </c>
    </row>
    <row r="3139" ht="12.75" customHeight="1">
      <c r="A3139" s="5" t="s">
        <v>9329</v>
      </c>
      <c r="B3139" s="10" t="s">
        <v>9330</v>
      </c>
      <c r="C3139" s="5" t="s">
        <v>9331</v>
      </c>
      <c r="D3139" s="5" t="s">
        <v>50</v>
      </c>
      <c r="E3139" s="5" t="s">
        <v>35</v>
      </c>
      <c r="F3139" s="5" t="s">
        <v>619</v>
      </c>
    </row>
    <row r="3140" ht="12.75" customHeight="1">
      <c r="A3140" s="5" t="s">
        <v>9326</v>
      </c>
      <c r="B3140" s="10" t="s">
        <v>9332</v>
      </c>
      <c r="C3140" s="5" t="s">
        <v>4220</v>
      </c>
      <c r="D3140" s="5" t="s">
        <v>34</v>
      </c>
      <c r="E3140" s="5" t="s">
        <v>42</v>
      </c>
      <c r="F3140" s="5" t="s">
        <v>228</v>
      </c>
      <c r="K3140" s="5" t="s">
        <v>9333</v>
      </c>
      <c r="L3140" s="5" t="s">
        <v>9334</v>
      </c>
    </row>
    <row r="3141" ht="12.75" customHeight="1">
      <c r="A3141" s="5" t="s">
        <v>9335</v>
      </c>
      <c r="B3141" s="5" t="s">
        <v>9336</v>
      </c>
      <c r="C3141" s="5" t="s">
        <v>4220</v>
      </c>
      <c r="D3141" s="5" t="s">
        <v>34</v>
      </c>
      <c r="E3141" s="5" t="s">
        <v>42</v>
      </c>
      <c r="F3141" s="5" t="s">
        <v>878</v>
      </c>
    </row>
    <row r="3142" ht="12.75" customHeight="1">
      <c r="A3142" s="5" t="s">
        <v>9337</v>
      </c>
      <c r="B3142" s="5" t="s">
        <v>9338</v>
      </c>
      <c r="C3142" s="5" t="s">
        <v>4220</v>
      </c>
      <c r="D3142" s="5" t="s">
        <v>50</v>
      </c>
      <c r="E3142" s="5" t="s">
        <v>42</v>
      </c>
      <c r="F3142" s="5" t="s">
        <v>756</v>
      </c>
    </row>
    <row r="3143" ht="12.75" customHeight="1">
      <c r="A3143" s="5" t="s">
        <v>9339</v>
      </c>
      <c r="B3143" s="5" t="s">
        <v>9340</v>
      </c>
      <c r="C3143" s="5" t="s">
        <v>4220</v>
      </c>
      <c r="D3143" s="5" t="s">
        <v>50</v>
      </c>
      <c r="E3143" s="5" t="s">
        <v>42</v>
      </c>
      <c r="F3143" s="5" t="s">
        <v>199</v>
      </c>
    </row>
    <row r="3144" ht="12.75" customHeight="1">
      <c r="A3144" s="5" t="s">
        <v>9334</v>
      </c>
      <c r="B3144" s="5" t="s">
        <v>9341</v>
      </c>
      <c r="D3144" s="5" t="s">
        <v>34</v>
      </c>
      <c r="E3144" s="5" t="s">
        <v>42</v>
      </c>
      <c r="F3144" s="5" t="s">
        <v>228</v>
      </c>
      <c r="H3144" s="5" t="s">
        <v>9326</v>
      </c>
      <c r="I3144" s="10" t="s">
        <v>72</v>
      </c>
    </row>
    <row r="3145" ht="12.75" customHeight="1">
      <c r="A3145" s="5" t="s">
        <v>9342</v>
      </c>
      <c r="B3145" s="5" t="s">
        <v>9343</v>
      </c>
      <c r="C3145" s="5" t="s">
        <v>4220</v>
      </c>
      <c r="D3145" s="5" t="s">
        <v>34</v>
      </c>
      <c r="E3145" s="5" t="s">
        <v>42</v>
      </c>
      <c r="F3145" s="5" t="s">
        <v>65</v>
      </c>
    </row>
    <row r="3146" ht="12.75" customHeight="1">
      <c r="A3146" s="5" t="s">
        <v>9344</v>
      </c>
      <c r="B3146" s="5" t="s">
        <v>9345</v>
      </c>
      <c r="C3146" s="5" t="s">
        <v>4220</v>
      </c>
      <c r="D3146" s="5" t="s">
        <v>50</v>
      </c>
      <c r="E3146" s="5" t="s">
        <v>42</v>
      </c>
      <c r="F3146" s="5" t="s">
        <v>720</v>
      </c>
    </row>
    <row r="3147" ht="12.75" customHeight="1">
      <c r="A3147" s="5" t="s">
        <v>9346</v>
      </c>
      <c r="B3147" s="5" t="s">
        <v>9347</v>
      </c>
      <c r="C3147" s="5" t="s">
        <v>9348</v>
      </c>
      <c r="D3147" s="5" t="s">
        <v>50</v>
      </c>
      <c r="E3147" s="5" t="s">
        <v>35</v>
      </c>
      <c r="F3147" s="5" t="s">
        <v>1776</v>
      </c>
    </row>
    <row r="3148" ht="12.75" customHeight="1">
      <c r="A3148" s="5" t="s">
        <v>9349</v>
      </c>
      <c r="B3148" s="5" t="s">
        <v>9350</v>
      </c>
      <c r="C3148" s="5" t="s">
        <v>4220</v>
      </c>
      <c r="D3148" s="5" t="s">
        <v>50</v>
      </c>
      <c r="E3148" s="5" t="s">
        <v>42</v>
      </c>
      <c r="F3148" s="5" t="s">
        <v>162</v>
      </c>
    </row>
    <row r="3149" ht="12.75" customHeight="1">
      <c r="A3149" s="5" t="s">
        <v>9351</v>
      </c>
      <c r="B3149" s="5" t="s">
        <v>9352</v>
      </c>
      <c r="C3149" s="5" t="s">
        <v>4220</v>
      </c>
      <c r="D3149" s="5" t="s">
        <v>34</v>
      </c>
      <c r="E3149" s="5" t="s">
        <v>42</v>
      </c>
      <c r="F3149" s="5" t="s">
        <v>54</v>
      </c>
    </row>
    <row r="3150" ht="12.75" customHeight="1">
      <c r="A3150" s="5" t="s">
        <v>9353</v>
      </c>
      <c r="B3150" s="5" t="s">
        <v>9354</v>
      </c>
      <c r="C3150" s="5" t="s">
        <v>4220</v>
      </c>
      <c r="D3150" s="5" t="s">
        <v>34</v>
      </c>
      <c r="E3150" s="5" t="s">
        <v>42</v>
      </c>
      <c r="F3150" s="5" t="s">
        <v>720</v>
      </c>
    </row>
    <row r="3151" ht="12.75" customHeight="1">
      <c r="A3151" s="5" t="s">
        <v>9355</v>
      </c>
      <c r="B3151" s="5" t="s">
        <v>9356</v>
      </c>
      <c r="C3151" s="5" t="s">
        <v>4220</v>
      </c>
      <c r="D3151" s="5" t="s">
        <v>34</v>
      </c>
      <c r="E3151" s="5" t="s">
        <v>42</v>
      </c>
      <c r="F3151" s="5" t="s">
        <v>445</v>
      </c>
    </row>
    <row r="3152" ht="12.75" customHeight="1">
      <c r="A3152" s="5" t="s">
        <v>9357</v>
      </c>
      <c r="B3152" s="5" t="s">
        <v>9358</v>
      </c>
      <c r="C3152" s="5" t="s">
        <v>9359</v>
      </c>
      <c r="D3152" s="5" t="s">
        <v>34</v>
      </c>
      <c r="E3152" s="5" t="s">
        <v>42</v>
      </c>
      <c r="F3152" s="5" t="s">
        <v>575</v>
      </c>
    </row>
    <row r="3153" ht="12.75" customHeight="1">
      <c r="A3153" s="5" t="s">
        <v>9360</v>
      </c>
      <c r="B3153" s="5" t="s">
        <v>9361</v>
      </c>
      <c r="C3153" s="5" t="s">
        <v>4272</v>
      </c>
      <c r="D3153" s="5" t="s">
        <v>34</v>
      </c>
      <c r="E3153" s="5" t="s">
        <v>42</v>
      </c>
      <c r="F3153" s="5" t="s">
        <v>634</v>
      </c>
    </row>
    <row r="3154" ht="12.75" customHeight="1">
      <c r="A3154" s="5" t="s">
        <v>9362</v>
      </c>
      <c r="B3154" s="5" t="s">
        <v>9363</v>
      </c>
      <c r="C3154" s="5" t="s">
        <v>4272</v>
      </c>
      <c r="D3154" s="5" t="s">
        <v>34</v>
      </c>
      <c r="E3154" s="5" t="s">
        <v>42</v>
      </c>
      <c r="F3154" s="5" t="s">
        <v>1991</v>
      </c>
    </row>
    <row r="3155" ht="12.75" customHeight="1">
      <c r="A3155" s="5" t="s">
        <v>9364</v>
      </c>
      <c r="B3155" s="5" t="s">
        <v>9365</v>
      </c>
      <c r="D3155" s="5" t="s">
        <v>34</v>
      </c>
      <c r="E3155" s="5" t="s">
        <v>42</v>
      </c>
      <c r="F3155" s="5" t="s">
        <v>599</v>
      </c>
      <c r="H3155" s="5" t="s">
        <v>4277</v>
      </c>
      <c r="I3155" s="10" t="s">
        <v>72</v>
      </c>
    </row>
    <row r="3156" ht="12.75" customHeight="1">
      <c r="A3156" s="5" t="s">
        <v>9366</v>
      </c>
      <c r="B3156" s="5" t="s">
        <v>9367</v>
      </c>
      <c r="C3156" s="5" t="s">
        <v>4272</v>
      </c>
      <c r="D3156" s="5" t="s">
        <v>34</v>
      </c>
      <c r="E3156" s="5" t="s">
        <v>35</v>
      </c>
      <c r="F3156" s="5" t="s">
        <v>77</v>
      </c>
    </row>
    <row r="3157" ht="12.75" customHeight="1">
      <c r="A3157" s="5" t="s">
        <v>9368</v>
      </c>
      <c r="B3157" s="5" t="s">
        <v>9369</v>
      </c>
      <c r="C3157" s="5" t="s">
        <v>4272</v>
      </c>
      <c r="D3157" s="5" t="s">
        <v>34</v>
      </c>
      <c r="E3157" s="5" t="s">
        <v>42</v>
      </c>
      <c r="F3157" s="5" t="s">
        <v>637</v>
      </c>
    </row>
    <row r="3158" ht="12.75" customHeight="1">
      <c r="A3158" s="5" t="s">
        <v>9370</v>
      </c>
      <c r="B3158" s="5" t="s">
        <v>9371</v>
      </c>
      <c r="C3158" s="5" t="s">
        <v>4272</v>
      </c>
      <c r="D3158" s="5" t="s">
        <v>34</v>
      </c>
      <c r="E3158" s="5" t="s">
        <v>42</v>
      </c>
      <c r="F3158" s="5" t="s">
        <v>1991</v>
      </c>
    </row>
    <row r="3159" ht="12.75" customHeight="1">
      <c r="A3159" s="5" t="s">
        <v>9372</v>
      </c>
      <c r="B3159" s="5" t="s">
        <v>9373</v>
      </c>
      <c r="C3159" s="5" t="s">
        <v>4272</v>
      </c>
      <c r="D3159" s="5" t="s">
        <v>34</v>
      </c>
      <c r="E3159" s="5" t="s">
        <v>42</v>
      </c>
      <c r="F3159" s="5" t="s">
        <v>65</v>
      </c>
    </row>
    <row r="3160" ht="12.75" customHeight="1">
      <c r="A3160" s="5" t="s">
        <v>9374</v>
      </c>
      <c r="B3160" s="5" t="s">
        <v>9375</v>
      </c>
      <c r="C3160" s="5" t="s">
        <v>4272</v>
      </c>
      <c r="D3160" s="5" t="s">
        <v>34</v>
      </c>
      <c r="E3160" s="5" t="s">
        <v>35</v>
      </c>
      <c r="F3160" s="5" t="s">
        <v>77</v>
      </c>
      <c r="K3160" s="5" t="s">
        <v>9376</v>
      </c>
    </row>
    <row r="3161" ht="12.75" customHeight="1">
      <c r="A3161" s="5" t="s">
        <v>9377</v>
      </c>
      <c r="B3161" s="5" t="s">
        <v>9378</v>
      </c>
      <c r="C3161" s="5" t="s">
        <v>4272</v>
      </c>
      <c r="D3161" s="5" t="s">
        <v>34</v>
      </c>
      <c r="E3161" s="5" t="s">
        <v>35</v>
      </c>
      <c r="F3161" s="5" t="s">
        <v>71</v>
      </c>
    </row>
    <row r="3162" ht="12.75" customHeight="1">
      <c r="A3162" s="5" t="s">
        <v>9376</v>
      </c>
      <c r="B3162" s="5" t="s">
        <v>9379</v>
      </c>
      <c r="D3162" s="5" t="s">
        <v>34</v>
      </c>
      <c r="E3162" s="5" t="s">
        <v>35</v>
      </c>
      <c r="F3162" s="5" t="s">
        <v>104</v>
      </c>
      <c r="H3162" s="5" t="s">
        <v>9374</v>
      </c>
    </row>
    <row r="3163" ht="12.75" customHeight="1">
      <c r="A3163" s="5" t="s">
        <v>4277</v>
      </c>
      <c r="B3163" s="5" t="s">
        <v>9380</v>
      </c>
      <c r="C3163" s="5" t="s">
        <v>4272</v>
      </c>
      <c r="D3163" s="5" t="s">
        <v>34</v>
      </c>
      <c r="E3163" s="5" t="s">
        <v>42</v>
      </c>
      <c r="F3163" s="5" t="s">
        <v>599</v>
      </c>
      <c r="K3163" s="5" t="s">
        <v>9381</v>
      </c>
      <c r="L3163" s="5" t="s">
        <v>9382</v>
      </c>
    </row>
    <row r="3164" ht="12.75" customHeight="1">
      <c r="A3164" s="5" t="s">
        <v>9383</v>
      </c>
      <c r="B3164" s="5" t="s">
        <v>9384</v>
      </c>
      <c r="C3164" s="5" t="s">
        <v>4272</v>
      </c>
      <c r="D3164" s="5" t="s">
        <v>34</v>
      </c>
      <c r="E3164" s="5" t="s">
        <v>42</v>
      </c>
      <c r="F3164" s="5" t="s">
        <v>637</v>
      </c>
    </row>
    <row r="3165" ht="12.75" customHeight="1">
      <c r="A3165" s="5" t="s">
        <v>9385</v>
      </c>
      <c r="B3165" s="5" t="s">
        <v>9386</v>
      </c>
      <c r="C3165" s="5" t="s">
        <v>4272</v>
      </c>
      <c r="D3165" s="5" t="s">
        <v>34</v>
      </c>
      <c r="E3165" s="5" t="s">
        <v>42</v>
      </c>
      <c r="F3165" s="5" t="s">
        <v>65</v>
      </c>
    </row>
    <row r="3166" ht="12.75" customHeight="1">
      <c r="A3166" s="5" t="s">
        <v>9387</v>
      </c>
      <c r="B3166" s="5" t="s">
        <v>9388</v>
      </c>
      <c r="C3166" s="5" t="s">
        <v>4272</v>
      </c>
      <c r="D3166" s="5" t="s">
        <v>34</v>
      </c>
      <c r="E3166" s="5" t="s">
        <v>42</v>
      </c>
      <c r="F3166" s="5" t="s">
        <v>423</v>
      </c>
    </row>
    <row r="3167" ht="12.75" customHeight="1">
      <c r="A3167" s="5" t="s">
        <v>9389</v>
      </c>
      <c r="B3167" s="5" t="s">
        <v>9390</v>
      </c>
      <c r="C3167" s="5" t="s">
        <v>4272</v>
      </c>
      <c r="D3167" s="5" t="s">
        <v>34</v>
      </c>
      <c r="E3167" s="5" t="s">
        <v>42</v>
      </c>
      <c r="F3167" s="5" t="s">
        <v>43</v>
      </c>
    </row>
    <row r="3168" ht="12.75" customHeight="1">
      <c r="A3168" s="5" t="s">
        <v>9391</v>
      </c>
      <c r="B3168" s="5" t="s">
        <v>9392</v>
      </c>
      <c r="D3168" s="5" t="s">
        <v>34</v>
      </c>
      <c r="E3168" s="5" t="s">
        <v>42</v>
      </c>
      <c r="F3168" s="5" t="s">
        <v>83</v>
      </c>
      <c r="H3168" s="5" t="s">
        <v>4277</v>
      </c>
    </row>
    <row r="3169" ht="12.75" customHeight="1">
      <c r="A3169" s="5" t="s">
        <v>9393</v>
      </c>
      <c r="B3169" s="5" t="s">
        <v>9394</v>
      </c>
      <c r="D3169" s="5" t="s">
        <v>34</v>
      </c>
      <c r="E3169" s="5" t="s">
        <v>42</v>
      </c>
      <c r="F3169" s="5" t="s">
        <v>113</v>
      </c>
      <c r="H3169" s="5" t="s">
        <v>4277</v>
      </c>
    </row>
    <row r="3170" ht="12.75" customHeight="1">
      <c r="A3170" s="5" t="s">
        <v>9395</v>
      </c>
      <c r="B3170" s="5" t="s">
        <v>9396</v>
      </c>
      <c r="C3170" s="5" t="s">
        <v>9397</v>
      </c>
      <c r="D3170" s="5" t="s">
        <v>38</v>
      </c>
      <c r="E3170" s="5" t="s">
        <v>42</v>
      </c>
      <c r="F3170" s="5" t="s">
        <v>228</v>
      </c>
    </row>
    <row r="3171" ht="12.75" customHeight="1">
      <c r="A3171" s="5" t="s">
        <v>9398</v>
      </c>
      <c r="B3171" s="5" t="s">
        <v>9399</v>
      </c>
      <c r="C3171" s="5" t="s">
        <v>9400</v>
      </c>
      <c r="D3171" s="5" t="s">
        <v>50</v>
      </c>
      <c r="E3171" s="5" t="s">
        <v>42</v>
      </c>
      <c r="F3171" s="5" t="s">
        <v>672</v>
      </c>
    </row>
    <row r="3172" ht="12.75" customHeight="1">
      <c r="A3172" s="5" t="s">
        <v>6733</v>
      </c>
      <c r="B3172" s="5" t="s">
        <v>9401</v>
      </c>
      <c r="C3172" s="5" t="s">
        <v>4875</v>
      </c>
      <c r="D3172" s="5" t="s">
        <v>34</v>
      </c>
      <c r="E3172" s="5" t="s">
        <v>42</v>
      </c>
      <c r="F3172" s="5" t="s">
        <v>65</v>
      </c>
      <c r="G3172" s="10" t="s">
        <v>72</v>
      </c>
      <c r="H3172" s="5" t="s">
        <v>6731</v>
      </c>
      <c r="I3172" s="10" t="s">
        <v>72</v>
      </c>
    </row>
    <row r="3173" ht="12.75" customHeight="1">
      <c r="A3173" s="5" t="s">
        <v>6749</v>
      </c>
      <c r="B3173" s="5" t="s">
        <v>9402</v>
      </c>
      <c r="C3173" s="5" t="s">
        <v>4875</v>
      </c>
      <c r="D3173" s="5" t="s">
        <v>34</v>
      </c>
      <c r="E3173" s="5" t="s">
        <v>42</v>
      </c>
      <c r="F3173" s="5" t="s">
        <v>162</v>
      </c>
      <c r="G3173" s="10" t="s">
        <v>72</v>
      </c>
      <c r="H3173" s="5" t="s">
        <v>6747</v>
      </c>
      <c r="I3173" s="10" t="s">
        <v>72</v>
      </c>
    </row>
    <row r="3174" ht="12.75" customHeight="1">
      <c r="A3174" s="5" t="s">
        <v>6738</v>
      </c>
      <c r="B3174" s="10" t="s">
        <v>9403</v>
      </c>
      <c r="C3174" s="5" t="s">
        <v>4875</v>
      </c>
      <c r="D3174" s="5" t="s">
        <v>34</v>
      </c>
      <c r="E3174" s="5" t="s">
        <v>42</v>
      </c>
      <c r="F3174" s="5" t="s">
        <v>199</v>
      </c>
      <c r="G3174" s="10" t="s">
        <v>72</v>
      </c>
      <c r="H3174" s="5" t="s">
        <v>6734</v>
      </c>
      <c r="I3174" s="10" t="s">
        <v>72</v>
      </c>
    </row>
    <row r="3175" ht="12.75" customHeight="1">
      <c r="A3175" s="5" t="s">
        <v>6752</v>
      </c>
      <c r="B3175" s="10" t="s">
        <v>9404</v>
      </c>
      <c r="C3175" s="5" t="s">
        <v>4875</v>
      </c>
      <c r="D3175" s="5" t="s">
        <v>34</v>
      </c>
      <c r="E3175" s="5" t="s">
        <v>42</v>
      </c>
      <c r="F3175" s="5" t="s">
        <v>720</v>
      </c>
      <c r="G3175" s="10" t="s">
        <v>72</v>
      </c>
      <c r="H3175" s="5" t="s">
        <v>6750</v>
      </c>
      <c r="I3175" s="10" t="s">
        <v>72</v>
      </c>
    </row>
    <row r="3176" ht="12.75" customHeight="1">
      <c r="A3176" s="5" t="s">
        <v>9405</v>
      </c>
      <c r="B3176" s="5" t="s">
        <v>9406</v>
      </c>
      <c r="D3176" s="5" t="s">
        <v>34</v>
      </c>
      <c r="E3176" s="5" t="s">
        <v>42</v>
      </c>
      <c r="F3176" s="5" t="s">
        <v>637</v>
      </c>
    </row>
    <row r="3177" ht="12.75" customHeight="1">
      <c r="A3177" s="5" t="s">
        <v>9407</v>
      </c>
      <c r="B3177" s="5" t="s">
        <v>9408</v>
      </c>
      <c r="C3177" s="5" t="s">
        <v>9409</v>
      </c>
      <c r="D3177" s="5" t="s">
        <v>34</v>
      </c>
      <c r="E3177" s="5" t="s">
        <v>35</v>
      </c>
      <c r="F3177" s="5" t="s">
        <v>77</v>
      </c>
    </row>
    <row r="3178" ht="12.75" customHeight="1">
      <c r="A3178" s="5" t="s">
        <v>9410</v>
      </c>
      <c r="B3178" s="10" t="s">
        <v>9411</v>
      </c>
      <c r="C3178" s="5" t="s">
        <v>9181</v>
      </c>
      <c r="D3178" s="5" t="s">
        <v>80</v>
      </c>
      <c r="E3178" s="5" t="s">
        <v>42</v>
      </c>
      <c r="F3178" s="5" t="s">
        <v>211</v>
      </c>
    </row>
    <row r="3179" ht="12.75" customHeight="1">
      <c r="A3179" s="5" t="s">
        <v>9412</v>
      </c>
      <c r="B3179" s="5" t="s">
        <v>9413</v>
      </c>
      <c r="C3179" s="5" t="s">
        <v>9414</v>
      </c>
      <c r="D3179" s="5" t="s">
        <v>34</v>
      </c>
      <c r="E3179" s="5" t="s">
        <v>42</v>
      </c>
      <c r="F3179" s="5" t="s">
        <v>672</v>
      </c>
      <c r="H3179" s="5" t="s">
        <v>788</v>
      </c>
    </row>
    <row r="3180" ht="12.75" customHeight="1">
      <c r="A3180" s="5" t="s">
        <v>9415</v>
      </c>
      <c r="B3180" s="5" t="s">
        <v>9416</v>
      </c>
      <c r="C3180" s="5" t="s">
        <v>9414</v>
      </c>
      <c r="D3180" s="5" t="s">
        <v>34</v>
      </c>
      <c r="E3180" s="5" t="s">
        <v>42</v>
      </c>
      <c r="F3180" s="5" t="s">
        <v>199</v>
      </c>
      <c r="H3180" s="5" t="s">
        <v>788</v>
      </c>
    </row>
    <row r="3181" ht="12.75" customHeight="1">
      <c r="A3181" s="5" t="s">
        <v>9417</v>
      </c>
      <c r="B3181" s="10" t="s">
        <v>9418</v>
      </c>
      <c r="C3181" s="5" t="s">
        <v>9414</v>
      </c>
      <c r="D3181" s="5" t="s">
        <v>34</v>
      </c>
      <c r="E3181" s="5" t="s">
        <v>42</v>
      </c>
      <c r="F3181" s="5" t="s">
        <v>238</v>
      </c>
      <c r="H3181" s="5" t="s">
        <v>788</v>
      </c>
    </row>
    <row r="3182" ht="12.75" customHeight="1">
      <c r="A3182" s="5" t="s">
        <v>7060</v>
      </c>
      <c r="B3182" s="5" t="s">
        <v>9419</v>
      </c>
      <c r="D3182" s="5" t="s">
        <v>46</v>
      </c>
      <c r="E3182" s="5" t="s">
        <v>35</v>
      </c>
      <c r="F3182" s="5" t="s">
        <v>924</v>
      </c>
      <c r="H3182" s="5" t="s">
        <v>7057</v>
      </c>
      <c r="I3182" s="10" t="s">
        <v>72</v>
      </c>
    </row>
    <row r="3183" ht="12.75" customHeight="1">
      <c r="A3183" s="5" t="s">
        <v>9420</v>
      </c>
      <c r="B3183" s="5" t="s">
        <v>9421</v>
      </c>
      <c r="D3183" s="5" t="s">
        <v>46</v>
      </c>
      <c r="E3183" s="5" t="s">
        <v>42</v>
      </c>
      <c r="F3183" s="5" t="s">
        <v>157</v>
      </c>
      <c r="H3183" s="5" t="s">
        <v>7059</v>
      </c>
      <c r="I3183" s="10" t="s">
        <v>72</v>
      </c>
    </row>
    <row r="3184" ht="12.75" customHeight="1">
      <c r="A3184" s="5" t="s">
        <v>9422</v>
      </c>
      <c r="B3184" s="5" t="s">
        <v>9423</v>
      </c>
      <c r="D3184" s="5" t="s">
        <v>46</v>
      </c>
      <c r="E3184" s="5" t="s">
        <v>42</v>
      </c>
      <c r="F3184" s="5" t="s">
        <v>211</v>
      </c>
      <c r="G3184" s="10" t="s">
        <v>72</v>
      </c>
    </row>
    <row r="3185" ht="12.75" customHeight="1">
      <c r="A3185" s="5" t="s">
        <v>9424</v>
      </c>
      <c r="B3185" s="10" t="s">
        <v>9425</v>
      </c>
      <c r="D3185" s="5" t="s">
        <v>46</v>
      </c>
      <c r="E3185" s="5" t="s">
        <v>42</v>
      </c>
      <c r="F3185" s="5" t="s">
        <v>2771</v>
      </c>
      <c r="G3185" s="10" t="s">
        <v>72</v>
      </c>
    </row>
    <row r="3186" ht="12.75" customHeight="1">
      <c r="A3186" s="5" t="s">
        <v>9426</v>
      </c>
      <c r="B3186" s="5" t="s">
        <v>9427</v>
      </c>
      <c r="D3186" s="5" t="s">
        <v>46</v>
      </c>
      <c r="E3186" s="5" t="s">
        <v>42</v>
      </c>
      <c r="F3186" s="5" t="s">
        <v>211</v>
      </c>
      <c r="G3186" s="10" t="s">
        <v>72</v>
      </c>
    </row>
    <row r="3187" ht="12.75" customHeight="1">
      <c r="A3187" s="5" t="s">
        <v>9428</v>
      </c>
      <c r="B3187" s="5" t="s">
        <v>9429</v>
      </c>
      <c r="D3187" s="5" t="s">
        <v>46</v>
      </c>
      <c r="E3187" s="5" t="s">
        <v>42</v>
      </c>
      <c r="F3187" s="5" t="s">
        <v>535</v>
      </c>
      <c r="G3187" s="10" t="s">
        <v>72</v>
      </c>
    </row>
    <row r="3188" ht="12.75" customHeight="1">
      <c r="A3188" s="5" t="s">
        <v>9430</v>
      </c>
      <c r="B3188" s="5" t="s">
        <v>9431</v>
      </c>
      <c r="C3188" s="5" t="s">
        <v>8460</v>
      </c>
      <c r="D3188" s="5" t="s">
        <v>34</v>
      </c>
      <c r="E3188" s="5" t="s">
        <v>42</v>
      </c>
      <c r="F3188" s="5" t="s">
        <v>423</v>
      </c>
      <c r="H3188" s="5" t="s">
        <v>8458</v>
      </c>
      <c r="I3188" s="10" t="s">
        <v>72</v>
      </c>
    </row>
    <row r="3189" ht="12.75" customHeight="1">
      <c r="A3189" s="5" t="s">
        <v>9432</v>
      </c>
      <c r="B3189" s="5" t="s">
        <v>9433</v>
      </c>
      <c r="C3189" s="5" t="s">
        <v>8589</v>
      </c>
      <c r="D3189" s="5" t="s">
        <v>34</v>
      </c>
      <c r="E3189" s="5" t="s">
        <v>35</v>
      </c>
      <c r="F3189" s="5" t="s">
        <v>104</v>
      </c>
      <c r="H3189" s="5" t="s">
        <v>8587</v>
      </c>
      <c r="I3189" s="10" t="s">
        <v>72</v>
      </c>
    </row>
    <row r="3190" ht="12.75" customHeight="1">
      <c r="A3190" s="5" t="s">
        <v>9434</v>
      </c>
      <c r="B3190" s="5" t="s">
        <v>9435</v>
      </c>
      <c r="C3190" s="5" t="s">
        <v>8690</v>
      </c>
      <c r="D3190" s="5" t="s">
        <v>34</v>
      </c>
      <c r="E3190" s="5" t="s">
        <v>42</v>
      </c>
      <c r="F3190" s="5" t="s">
        <v>657</v>
      </c>
      <c r="H3190" s="5" t="s">
        <v>8688</v>
      </c>
      <c r="I3190" s="10" t="s">
        <v>72</v>
      </c>
    </row>
    <row r="3191" ht="12.75" customHeight="1">
      <c r="A3191" s="5" t="s">
        <v>4555</v>
      </c>
      <c r="B3191" s="5" t="s">
        <v>9436</v>
      </c>
      <c r="D3191" s="5" t="s">
        <v>38</v>
      </c>
      <c r="E3191" s="5" t="s">
        <v>42</v>
      </c>
      <c r="F3191" s="5" t="s">
        <v>572</v>
      </c>
      <c r="G3191" s="10" t="s">
        <v>72</v>
      </c>
      <c r="H3191" s="5" t="s">
        <v>4552</v>
      </c>
      <c r="I3191" s="10" t="s">
        <v>72</v>
      </c>
    </row>
    <row r="3192" ht="12.75" customHeight="1">
      <c r="A3192" s="5" t="s">
        <v>8524</v>
      </c>
      <c r="B3192" s="5" t="s">
        <v>9437</v>
      </c>
      <c r="D3192" s="5" t="s">
        <v>34</v>
      </c>
      <c r="E3192" s="5" t="s">
        <v>42</v>
      </c>
      <c r="F3192" s="5" t="s">
        <v>65</v>
      </c>
      <c r="G3192" s="10" t="s">
        <v>72</v>
      </c>
      <c r="H3192" s="5" t="s">
        <v>8522</v>
      </c>
      <c r="I3192" s="10" t="s">
        <v>72</v>
      </c>
    </row>
    <row r="3193" ht="12.75" customHeight="1">
      <c r="A3193" s="5" t="s">
        <v>9438</v>
      </c>
      <c r="B3193" s="5" t="s">
        <v>9439</v>
      </c>
      <c r="C3193" s="5" t="s">
        <v>9056</v>
      </c>
      <c r="D3193" s="5" t="s">
        <v>34</v>
      </c>
      <c r="E3193" s="5" t="s">
        <v>42</v>
      </c>
      <c r="F3193" s="5" t="s">
        <v>657</v>
      </c>
      <c r="G3193" s="10" t="s">
        <v>72</v>
      </c>
      <c r="H3193" s="5" t="s">
        <v>841</v>
      </c>
      <c r="I3193" s="10" t="s">
        <v>72</v>
      </c>
    </row>
    <row r="3194" ht="12.75" customHeight="1">
      <c r="A3194" s="5" t="s">
        <v>6932</v>
      </c>
      <c r="B3194" s="5" t="s">
        <v>9440</v>
      </c>
      <c r="D3194" s="5" t="s">
        <v>34</v>
      </c>
      <c r="E3194" s="5" t="s">
        <v>42</v>
      </c>
      <c r="F3194" s="5" t="s">
        <v>238</v>
      </c>
      <c r="G3194" s="10" t="s">
        <v>72</v>
      </c>
      <c r="H3194" s="5" t="s">
        <v>6929</v>
      </c>
    </row>
    <row r="3195" ht="12.75" customHeight="1">
      <c r="A3195" s="5" t="s">
        <v>6938</v>
      </c>
      <c r="B3195" s="5" t="s">
        <v>9441</v>
      </c>
      <c r="D3195" s="5" t="s">
        <v>34</v>
      </c>
      <c r="E3195" s="5" t="s">
        <v>42</v>
      </c>
      <c r="F3195" s="5" t="s">
        <v>720</v>
      </c>
      <c r="G3195" s="10" t="s">
        <v>72</v>
      </c>
      <c r="H3195" s="5" t="s">
        <v>6935</v>
      </c>
    </row>
    <row r="3196" ht="12.75" customHeight="1">
      <c r="A3196" s="5" t="s">
        <v>6967</v>
      </c>
      <c r="B3196" s="5" t="s">
        <v>9442</v>
      </c>
      <c r="D3196" s="5" t="s">
        <v>34</v>
      </c>
      <c r="E3196" s="5" t="s">
        <v>42</v>
      </c>
      <c r="F3196" s="5" t="s">
        <v>1753</v>
      </c>
      <c r="G3196" s="10" t="s">
        <v>72</v>
      </c>
      <c r="H3196" s="5" t="s">
        <v>6965</v>
      </c>
      <c r="I3196" s="10" t="s">
        <v>72</v>
      </c>
    </row>
    <row r="3197" ht="12.75" customHeight="1">
      <c r="A3197" s="5" t="s">
        <v>6959</v>
      </c>
      <c r="B3197" s="5" t="s">
        <v>9443</v>
      </c>
      <c r="D3197" s="5" t="s">
        <v>34</v>
      </c>
      <c r="E3197" s="5" t="s">
        <v>42</v>
      </c>
      <c r="F3197" s="5" t="s">
        <v>657</v>
      </c>
      <c r="G3197" s="10" t="s">
        <v>72</v>
      </c>
      <c r="H3197" s="5" t="s">
        <v>6957</v>
      </c>
      <c r="I3197" s="10" t="s">
        <v>72</v>
      </c>
    </row>
    <row r="3198" ht="12.75" customHeight="1">
      <c r="A3198" s="5" t="s">
        <v>6964</v>
      </c>
      <c r="B3198" s="5" t="s">
        <v>9444</v>
      </c>
      <c r="D3198" s="5" t="s">
        <v>34</v>
      </c>
      <c r="E3198" s="5" t="s">
        <v>42</v>
      </c>
      <c r="F3198" s="5" t="s">
        <v>572</v>
      </c>
      <c r="G3198" s="10" t="s">
        <v>72</v>
      </c>
      <c r="H3198" s="5" t="s">
        <v>6960</v>
      </c>
      <c r="I3198" s="10" t="s">
        <v>72</v>
      </c>
    </row>
    <row r="3199" ht="12.75" customHeight="1">
      <c r="A3199" s="5" t="s">
        <v>9445</v>
      </c>
      <c r="B3199" s="5" t="s">
        <v>9446</v>
      </c>
      <c r="D3199" s="5" t="s">
        <v>34</v>
      </c>
      <c r="E3199" s="5" t="s">
        <v>35</v>
      </c>
      <c r="F3199" s="5" t="s">
        <v>429</v>
      </c>
      <c r="G3199" s="10" t="s">
        <v>72</v>
      </c>
      <c r="H3199" s="5" t="s">
        <v>9447</v>
      </c>
      <c r="I3199" s="10" t="s">
        <v>72</v>
      </c>
    </row>
    <row r="3200" ht="12.75" customHeight="1">
      <c r="A3200" s="5" t="s">
        <v>9448</v>
      </c>
      <c r="B3200" s="5" t="s">
        <v>9449</v>
      </c>
      <c r="D3200" s="5" t="s">
        <v>34</v>
      </c>
      <c r="E3200" s="5" t="s">
        <v>42</v>
      </c>
      <c r="F3200" s="5" t="s">
        <v>634</v>
      </c>
      <c r="G3200" s="10" t="s">
        <v>72</v>
      </c>
      <c r="H3200" s="5" t="s">
        <v>9450</v>
      </c>
    </row>
    <row r="3201" ht="12.75" customHeight="1">
      <c r="A3201" s="5" t="s">
        <v>9451</v>
      </c>
      <c r="B3201" s="5" t="s">
        <v>9452</v>
      </c>
      <c r="C3201" s="5" t="s">
        <v>9453</v>
      </c>
      <c r="D3201" s="5" t="s">
        <v>34</v>
      </c>
      <c r="E3201" s="5" t="s">
        <v>42</v>
      </c>
      <c r="F3201" s="5" t="s">
        <v>1991</v>
      </c>
    </row>
    <row r="3202" ht="12.75" customHeight="1">
      <c r="A3202" s="5" t="s">
        <v>9454</v>
      </c>
      <c r="B3202" s="5" t="s">
        <v>9455</v>
      </c>
      <c r="D3202" s="5" t="s">
        <v>34</v>
      </c>
      <c r="E3202" s="5" t="s">
        <v>42</v>
      </c>
      <c r="F3202" s="5" t="s">
        <v>657</v>
      </c>
      <c r="G3202" s="10" t="s">
        <v>72</v>
      </c>
      <c r="H3202" s="5" t="s">
        <v>9456</v>
      </c>
      <c r="I3202" s="10" t="s">
        <v>72</v>
      </c>
    </row>
    <row r="3203" ht="12.75" customHeight="1">
      <c r="A3203" s="5" t="s">
        <v>9457</v>
      </c>
      <c r="B3203" s="5" t="s">
        <v>9458</v>
      </c>
      <c r="C3203" s="5" t="s">
        <v>9459</v>
      </c>
      <c r="D3203" s="5" t="s">
        <v>34</v>
      </c>
      <c r="E3203" s="5" t="s">
        <v>42</v>
      </c>
      <c r="F3203" s="5" t="s">
        <v>54</v>
      </c>
      <c r="H3203" s="5" t="s">
        <v>9460</v>
      </c>
    </row>
    <row r="3204" ht="12.75" customHeight="1">
      <c r="A3204" s="5" t="s">
        <v>9461</v>
      </c>
      <c r="B3204" s="5" t="s">
        <v>9462</v>
      </c>
      <c r="C3204" s="5" t="s">
        <v>9463</v>
      </c>
      <c r="D3204" s="5" t="s">
        <v>34</v>
      </c>
      <c r="E3204" s="5" t="s">
        <v>42</v>
      </c>
      <c r="F3204" s="5" t="s">
        <v>599</v>
      </c>
      <c r="H3204" s="5" t="s">
        <v>9460</v>
      </c>
    </row>
    <row r="3205" ht="12.75" customHeight="1">
      <c r="A3205" s="5" t="s">
        <v>9464</v>
      </c>
      <c r="B3205" s="5" t="s">
        <v>9465</v>
      </c>
      <c r="C3205" s="5" t="s">
        <v>9466</v>
      </c>
      <c r="D3205" s="5" t="s">
        <v>34</v>
      </c>
      <c r="E3205" s="5" t="s">
        <v>42</v>
      </c>
      <c r="F3205" s="5" t="s">
        <v>657</v>
      </c>
      <c r="H3205" s="5" t="s">
        <v>9460</v>
      </c>
    </row>
    <row r="3206" ht="12.75" customHeight="1">
      <c r="A3206" s="5" t="s">
        <v>9467</v>
      </c>
      <c r="B3206" s="5" t="s">
        <v>9468</v>
      </c>
      <c r="C3206" s="5" t="s">
        <v>3959</v>
      </c>
      <c r="D3206" s="5" t="s">
        <v>34</v>
      </c>
      <c r="E3206" s="5" t="s">
        <v>42</v>
      </c>
      <c r="F3206" s="5" t="s">
        <v>199</v>
      </c>
      <c r="H3206" s="5" t="s">
        <v>9460</v>
      </c>
    </row>
    <row r="3207" ht="12.75" customHeight="1">
      <c r="A3207" s="5" t="s">
        <v>9469</v>
      </c>
      <c r="B3207" s="5" t="s">
        <v>9470</v>
      </c>
      <c r="C3207" s="5" t="s">
        <v>9471</v>
      </c>
      <c r="D3207" s="5" t="s">
        <v>34</v>
      </c>
      <c r="E3207" s="5" t="s">
        <v>42</v>
      </c>
      <c r="F3207" s="5" t="s">
        <v>65</v>
      </c>
      <c r="H3207" s="5" t="s">
        <v>9460</v>
      </c>
    </row>
    <row r="3208" ht="12.75" customHeight="1">
      <c r="A3208" s="5" t="s">
        <v>9472</v>
      </c>
      <c r="B3208" s="10" t="s">
        <v>9473</v>
      </c>
      <c r="C3208" s="5" t="s">
        <v>9474</v>
      </c>
      <c r="D3208" s="5" t="s">
        <v>34</v>
      </c>
      <c r="E3208" s="5" t="s">
        <v>42</v>
      </c>
      <c r="F3208" s="5" t="s">
        <v>400</v>
      </c>
    </row>
    <row r="3209" ht="12.75" customHeight="1">
      <c r="A3209" s="5" t="s">
        <v>9475</v>
      </c>
      <c r="B3209" s="5" t="s">
        <v>9476</v>
      </c>
      <c r="C3209" s="5" t="s">
        <v>9474</v>
      </c>
      <c r="D3209" s="5" t="s">
        <v>34</v>
      </c>
      <c r="E3209" s="5" t="s">
        <v>42</v>
      </c>
      <c r="F3209" s="5" t="s">
        <v>637</v>
      </c>
    </row>
    <row r="3210" ht="12.75" customHeight="1">
      <c r="A3210" s="5" t="s">
        <v>9477</v>
      </c>
      <c r="B3210" s="5" t="s">
        <v>9478</v>
      </c>
      <c r="C3210" s="5" t="s">
        <v>9474</v>
      </c>
      <c r="D3210" s="5" t="s">
        <v>34</v>
      </c>
      <c r="E3210" s="5" t="s">
        <v>35</v>
      </c>
      <c r="F3210" s="5" t="s">
        <v>913</v>
      </c>
      <c r="K3210" s="5" t="s">
        <v>9479</v>
      </c>
    </row>
    <row r="3211" ht="12.75" customHeight="1">
      <c r="A3211" s="5" t="s">
        <v>9480</v>
      </c>
      <c r="B3211" s="5" t="s">
        <v>9481</v>
      </c>
      <c r="D3211" s="5" t="s">
        <v>34</v>
      </c>
      <c r="E3211" s="5" t="s">
        <v>35</v>
      </c>
      <c r="F3211" s="5" t="s">
        <v>278</v>
      </c>
      <c r="H3211" s="5" t="s">
        <v>9477</v>
      </c>
    </row>
    <row r="3212" ht="12.75" customHeight="1">
      <c r="A3212" s="5" t="s">
        <v>9482</v>
      </c>
      <c r="B3212" s="10" t="s">
        <v>9483</v>
      </c>
      <c r="C3212" s="5" t="s">
        <v>9474</v>
      </c>
      <c r="D3212" s="5" t="s">
        <v>34</v>
      </c>
      <c r="E3212" s="5" t="s">
        <v>35</v>
      </c>
      <c r="F3212" s="5" t="s">
        <v>172</v>
      </c>
    </row>
    <row r="3213" ht="12.75" customHeight="1">
      <c r="A3213" s="5" t="s">
        <v>9484</v>
      </c>
      <c r="B3213" s="10" t="s">
        <v>9485</v>
      </c>
      <c r="C3213" s="5" t="s">
        <v>9474</v>
      </c>
      <c r="D3213" s="5" t="s">
        <v>34</v>
      </c>
      <c r="E3213" s="5" t="s">
        <v>35</v>
      </c>
      <c r="F3213" s="5" t="s">
        <v>616</v>
      </c>
    </row>
    <row r="3214" ht="12.75" customHeight="1">
      <c r="A3214" s="5" t="s">
        <v>9486</v>
      </c>
      <c r="B3214" s="5" t="s">
        <v>9487</v>
      </c>
      <c r="D3214" s="5" t="s">
        <v>34</v>
      </c>
      <c r="E3214" s="5" t="s">
        <v>35</v>
      </c>
      <c r="F3214" s="5" t="s">
        <v>189</v>
      </c>
      <c r="H3214" s="5" t="s">
        <v>9477</v>
      </c>
    </row>
    <row r="3215" ht="12.75" customHeight="1">
      <c r="A3215" s="5" t="s">
        <v>9460</v>
      </c>
      <c r="B3215" s="5" t="s">
        <v>9488</v>
      </c>
      <c r="C3215" s="5" t="s">
        <v>9474</v>
      </c>
      <c r="D3215" s="5" t="s">
        <v>34</v>
      </c>
      <c r="E3215" s="5" t="s">
        <v>42</v>
      </c>
      <c r="F3215" s="5" t="s">
        <v>657</v>
      </c>
      <c r="K3215" s="5" t="s">
        <v>9489</v>
      </c>
    </row>
    <row r="3216" ht="12.75" customHeight="1">
      <c r="A3216" s="5" t="s">
        <v>9490</v>
      </c>
      <c r="B3216" s="5" t="s">
        <v>9491</v>
      </c>
      <c r="D3216" s="5" t="s">
        <v>34</v>
      </c>
      <c r="E3216" s="5" t="s">
        <v>42</v>
      </c>
      <c r="F3216" s="5" t="s">
        <v>556</v>
      </c>
      <c r="H3216" s="5" t="s">
        <v>9460</v>
      </c>
    </row>
    <row r="3217" ht="12.75" customHeight="1">
      <c r="A3217" s="5" t="s">
        <v>9492</v>
      </c>
      <c r="B3217" s="10" t="s">
        <v>9493</v>
      </c>
      <c r="C3217" s="5" t="s">
        <v>9474</v>
      </c>
      <c r="D3217" s="5" t="s">
        <v>34</v>
      </c>
      <c r="E3217" s="5" t="s">
        <v>42</v>
      </c>
      <c r="F3217" s="5" t="s">
        <v>572</v>
      </c>
    </row>
    <row r="3218" ht="12.75" customHeight="1">
      <c r="A3218" s="5" t="s">
        <v>9494</v>
      </c>
      <c r="B3218" s="10" t="s">
        <v>9495</v>
      </c>
      <c r="D3218" s="5" t="s">
        <v>34</v>
      </c>
      <c r="E3218" s="5" t="s">
        <v>42</v>
      </c>
      <c r="F3218" s="5" t="s">
        <v>657</v>
      </c>
      <c r="H3218" s="5" t="s">
        <v>9460</v>
      </c>
    </row>
    <row r="3219" ht="12.75" customHeight="1">
      <c r="A3219" s="5" t="s">
        <v>9496</v>
      </c>
      <c r="B3219" s="5" t="s">
        <v>9497</v>
      </c>
      <c r="D3219" s="5" t="s">
        <v>34</v>
      </c>
      <c r="E3219" s="5" t="s">
        <v>42</v>
      </c>
      <c r="F3219" s="5" t="s">
        <v>65</v>
      </c>
      <c r="H3219" s="5" t="s">
        <v>9460</v>
      </c>
    </row>
    <row r="3220" ht="12.75" customHeight="1">
      <c r="A3220" s="5" t="s">
        <v>9498</v>
      </c>
      <c r="B3220" s="5" t="s">
        <v>9499</v>
      </c>
      <c r="D3220" s="5" t="s">
        <v>34</v>
      </c>
      <c r="E3220" s="5" t="s">
        <v>42</v>
      </c>
      <c r="F3220" s="5" t="s">
        <v>199</v>
      </c>
      <c r="H3220" s="5" t="s">
        <v>9460</v>
      </c>
    </row>
    <row r="3221" ht="12.75" customHeight="1">
      <c r="A3221" s="5" t="s">
        <v>9500</v>
      </c>
      <c r="B3221" s="5" t="s">
        <v>9501</v>
      </c>
      <c r="C3221" s="5" t="s">
        <v>9502</v>
      </c>
      <c r="D3221" s="5" t="s">
        <v>34</v>
      </c>
      <c r="E3221" s="5" t="s">
        <v>42</v>
      </c>
      <c r="F3221" s="5" t="s">
        <v>1991</v>
      </c>
      <c r="H3221" s="5" t="s">
        <v>9460</v>
      </c>
    </row>
    <row r="3222" ht="12.75" customHeight="1">
      <c r="A3222" s="5" t="s">
        <v>9503</v>
      </c>
      <c r="B3222" s="5" t="s">
        <v>9504</v>
      </c>
      <c r="C3222" s="5" t="s">
        <v>9505</v>
      </c>
      <c r="D3222" s="5" t="s">
        <v>34</v>
      </c>
      <c r="E3222" s="5" t="s">
        <v>42</v>
      </c>
      <c r="F3222" s="5" t="s">
        <v>400</v>
      </c>
    </row>
    <row r="3223" ht="12.75" customHeight="1">
      <c r="A3223" s="5" t="s">
        <v>9506</v>
      </c>
      <c r="B3223" s="5" t="s">
        <v>9507</v>
      </c>
      <c r="C3223" s="5" t="s">
        <v>9506</v>
      </c>
      <c r="D3223" s="5" t="s">
        <v>34</v>
      </c>
      <c r="E3223" s="5" t="s">
        <v>42</v>
      </c>
      <c r="F3223" s="5" t="s">
        <v>610</v>
      </c>
    </row>
    <row r="3224" ht="12.75" customHeight="1">
      <c r="A3224" s="5" t="s">
        <v>9508</v>
      </c>
      <c r="B3224" s="5" t="s">
        <v>9509</v>
      </c>
      <c r="C3224" s="5" t="s">
        <v>9510</v>
      </c>
      <c r="D3224" s="5" t="s">
        <v>34</v>
      </c>
      <c r="E3224" s="5" t="s">
        <v>35</v>
      </c>
      <c r="F3224" s="5" t="s">
        <v>36</v>
      </c>
    </row>
    <row r="3225" ht="12.75" customHeight="1">
      <c r="A3225" s="5" t="s">
        <v>9511</v>
      </c>
      <c r="B3225" s="5" t="s">
        <v>9512</v>
      </c>
      <c r="C3225" s="5" t="s">
        <v>9513</v>
      </c>
      <c r="D3225" s="5" t="s">
        <v>22</v>
      </c>
      <c r="E3225" s="5" t="s">
        <v>42</v>
      </c>
      <c r="F3225" s="5" t="s">
        <v>720</v>
      </c>
    </row>
    <row r="3226" ht="12.75" customHeight="1">
      <c r="A3226" s="5" t="s">
        <v>9514</v>
      </c>
      <c r="B3226" s="10" t="s">
        <v>9515</v>
      </c>
      <c r="C3226" s="5" t="s">
        <v>9516</v>
      </c>
      <c r="D3226" s="5" t="s">
        <v>22</v>
      </c>
      <c r="E3226" s="5" t="s">
        <v>35</v>
      </c>
      <c r="F3226" s="5" t="s">
        <v>4630</v>
      </c>
      <c r="G3226" s="10" t="s">
        <v>72</v>
      </c>
    </row>
    <row r="3227" ht="12.75" customHeight="1">
      <c r="A3227" s="5" t="s">
        <v>9450</v>
      </c>
      <c r="B3227" s="5" t="s">
        <v>9517</v>
      </c>
      <c r="C3227" s="5" t="s">
        <v>9518</v>
      </c>
      <c r="D3227" s="5" t="s">
        <v>34</v>
      </c>
      <c r="E3227" s="5" t="s">
        <v>42</v>
      </c>
      <c r="F3227" s="5" t="s">
        <v>599</v>
      </c>
      <c r="G3227" s="10" t="s">
        <v>72</v>
      </c>
      <c r="H3227" s="5" t="s">
        <v>1153</v>
      </c>
      <c r="K3227" s="5" t="s">
        <v>9448</v>
      </c>
    </row>
    <row r="3228" ht="12.75" customHeight="1">
      <c r="A3228" s="5" t="s">
        <v>9519</v>
      </c>
      <c r="B3228" s="10" t="s">
        <v>9520</v>
      </c>
      <c r="C3228" s="5" t="s">
        <v>9521</v>
      </c>
      <c r="D3228" s="5" t="s">
        <v>34</v>
      </c>
      <c r="E3228" s="5" t="s">
        <v>42</v>
      </c>
      <c r="F3228" s="5" t="s">
        <v>162</v>
      </c>
      <c r="G3228" s="10" t="s">
        <v>72</v>
      </c>
      <c r="H3228" s="5" t="s">
        <v>4786</v>
      </c>
      <c r="K3228" s="5" t="s">
        <v>9522</v>
      </c>
    </row>
    <row r="3229" ht="12.75" customHeight="1">
      <c r="A3229" s="5" t="s">
        <v>9523</v>
      </c>
      <c r="B3229" s="10" t="s">
        <v>9524</v>
      </c>
      <c r="D3229" s="5" t="s">
        <v>34</v>
      </c>
      <c r="E3229" s="5" t="s">
        <v>35</v>
      </c>
      <c r="F3229" s="5" t="s">
        <v>189</v>
      </c>
      <c r="G3229" s="10" t="s">
        <v>72</v>
      </c>
      <c r="H3229" s="5" t="s">
        <v>9519</v>
      </c>
    </row>
    <row r="3230" ht="12.75" customHeight="1">
      <c r="A3230" s="5" t="s">
        <v>9525</v>
      </c>
      <c r="B3230" s="10" t="s">
        <v>9526</v>
      </c>
      <c r="D3230" s="5" t="s">
        <v>30</v>
      </c>
      <c r="E3230" s="5" t="s">
        <v>35</v>
      </c>
      <c r="F3230" s="5" t="s">
        <v>1334</v>
      </c>
      <c r="G3230" s="10" t="s">
        <v>72</v>
      </c>
      <c r="H3230" s="5" t="s">
        <v>9519</v>
      </c>
    </row>
    <row r="3231" ht="12.75" customHeight="1">
      <c r="A3231" s="5" t="s">
        <v>9527</v>
      </c>
      <c r="B3231" s="5" t="s">
        <v>9528</v>
      </c>
      <c r="D3231" s="5" t="s">
        <v>22</v>
      </c>
      <c r="E3231" s="5" t="s">
        <v>35</v>
      </c>
      <c r="F3231" s="5" t="s">
        <v>104</v>
      </c>
      <c r="G3231" s="10" t="s">
        <v>72</v>
      </c>
      <c r="H3231" s="5" t="s">
        <v>9519</v>
      </c>
    </row>
    <row r="3232" ht="12.75" customHeight="1">
      <c r="A3232" s="5" t="s">
        <v>9529</v>
      </c>
      <c r="B3232" s="5" t="s">
        <v>9530</v>
      </c>
      <c r="C3232" s="5" t="s">
        <v>9531</v>
      </c>
      <c r="D3232" s="5" t="s">
        <v>38</v>
      </c>
      <c r="E3232" s="5" t="s">
        <v>35</v>
      </c>
      <c r="F3232" s="5" t="s">
        <v>8710</v>
      </c>
      <c r="G3232" s="10" t="s">
        <v>72</v>
      </c>
    </row>
    <row r="3233" ht="12.75" customHeight="1">
      <c r="A3233" s="5" t="s">
        <v>9532</v>
      </c>
      <c r="B3233" s="10" t="s">
        <v>9533</v>
      </c>
      <c r="D3233" s="5" t="s">
        <v>34</v>
      </c>
      <c r="E3233" s="5" t="s">
        <v>42</v>
      </c>
      <c r="F3233" s="5" t="s">
        <v>599</v>
      </c>
      <c r="G3233" s="10" t="s">
        <v>72</v>
      </c>
      <c r="H3233" s="5" t="s">
        <v>9534</v>
      </c>
    </row>
    <row r="3234" ht="12.75" customHeight="1">
      <c r="A3234" s="5" t="s">
        <v>9535</v>
      </c>
      <c r="B3234" s="5" t="s">
        <v>9536</v>
      </c>
      <c r="C3234" s="5" t="s">
        <v>9537</v>
      </c>
      <c r="D3234" s="5" t="s">
        <v>34</v>
      </c>
      <c r="E3234" s="5" t="s">
        <v>42</v>
      </c>
      <c r="F3234" s="5" t="s">
        <v>575</v>
      </c>
    </row>
    <row r="3235" ht="12.75" customHeight="1">
      <c r="A3235" s="5" t="s">
        <v>4213</v>
      </c>
      <c r="B3235" s="5" t="s">
        <v>9538</v>
      </c>
      <c r="C3235" s="5" t="s">
        <v>9539</v>
      </c>
      <c r="D3235" s="5" t="s">
        <v>34</v>
      </c>
      <c r="E3235" s="5" t="s">
        <v>42</v>
      </c>
      <c r="F3235" s="5" t="s">
        <v>228</v>
      </c>
      <c r="G3235" s="10" t="s">
        <v>72</v>
      </c>
      <c r="H3235" s="5" t="s">
        <v>4125</v>
      </c>
      <c r="L3235" s="5" t="s">
        <v>9540</v>
      </c>
      <c r="M3235" s="5" t="s">
        <v>9540</v>
      </c>
    </row>
    <row r="3236" ht="12.75" customHeight="1">
      <c r="A3236" s="5" t="s">
        <v>9541</v>
      </c>
      <c r="B3236" s="5" t="s">
        <v>9542</v>
      </c>
      <c r="D3236" s="5" t="s">
        <v>34</v>
      </c>
      <c r="E3236" s="5" t="s">
        <v>42</v>
      </c>
      <c r="F3236" s="5" t="s">
        <v>228</v>
      </c>
      <c r="G3236" s="10" t="s">
        <v>72</v>
      </c>
      <c r="H3236" s="5" t="s">
        <v>4213</v>
      </c>
      <c r="I3236" s="10" t="s">
        <v>72</v>
      </c>
    </row>
    <row r="3237" ht="12.75" customHeight="1">
      <c r="A3237" s="5" t="s">
        <v>9543</v>
      </c>
      <c r="B3237" s="5" t="s">
        <v>9544</v>
      </c>
      <c r="C3237" s="5" t="s">
        <v>9539</v>
      </c>
      <c r="D3237" s="5" t="s">
        <v>34</v>
      </c>
      <c r="E3237" s="5" t="s">
        <v>42</v>
      </c>
      <c r="F3237" s="5" t="s">
        <v>228</v>
      </c>
      <c r="G3237" s="10" t="s">
        <v>72</v>
      </c>
      <c r="H3237" s="5" t="s">
        <v>4829</v>
      </c>
      <c r="L3237" s="5" t="s">
        <v>9545</v>
      </c>
    </row>
    <row r="3238" ht="12.75" customHeight="1">
      <c r="A3238" s="5" t="s">
        <v>9545</v>
      </c>
      <c r="B3238" s="5" t="s">
        <v>9546</v>
      </c>
      <c r="D3238" s="5" t="s">
        <v>34</v>
      </c>
      <c r="E3238" s="5" t="s">
        <v>42</v>
      </c>
      <c r="F3238" s="5" t="s">
        <v>228</v>
      </c>
      <c r="H3238" s="5" t="s">
        <v>9543</v>
      </c>
      <c r="I3238" s="10" t="s">
        <v>72</v>
      </c>
    </row>
    <row r="3239" ht="12.75" customHeight="1">
      <c r="A3239" s="5" t="s">
        <v>4217</v>
      </c>
      <c r="B3239" s="5" t="s">
        <v>9547</v>
      </c>
      <c r="C3239" s="5" t="s">
        <v>9539</v>
      </c>
      <c r="D3239" s="5" t="s">
        <v>34</v>
      </c>
      <c r="E3239" s="5" t="s">
        <v>42</v>
      </c>
      <c r="F3239" s="5" t="s">
        <v>228</v>
      </c>
      <c r="G3239" s="10" t="s">
        <v>72</v>
      </c>
      <c r="H3239" s="5" t="s">
        <v>2227</v>
      </c>
      <c r="L3239" s="5" t="s">
        <v>4215</v>
      </c>
      <c r="M3239" s="5" t="s">
        <v>4215</v>
      </c>
    </row>
    <row r="3240" ht="12.75" customHeight="1">
      <c r="A3240" s="5" t="s">
        <v>9548</v>
      </c>
      <c r="B3240" s="5" t="s">
        <v>9549</v>
      </c>
      <c r="C3240" s="5" t="s">
        <v>9539</v>
      </c>
      <c r="D3240" s="5" t="s">
        <v>34</v>
      </c>
      <c r="E3240" s="5" t="s">
        <v>42</v>
      </c>
      <c r="F3240" s="5" t="s">
        <v>228</v>
      </c>
      <c r="G3240" s="10" t="s">
        <v>72</v>
      </c>
      <c r="H3240" s="5" t="s">
        <v>1166</v>
      </c>
      <c r="K3240" s="5" t="s">
        <v>9550</v>
      </c>
      <c r="L3240" s="5" t="s">
        <v>9551</v>
      </c>
      <c r="M3240" s="5" t="s">
        <v>9551</v>
      </c>
    </row>
    <row r="3241" ht="12.75" customHeight="1">
      <c r="A3241" s="5" t="s">
        <v>9551</v>
      </c>
      <c r="B3241" s="5" t="s">
        <v>9552</v>
      </c>
      <c r="D3241" s="5" t="s">
        <v>34</v>
      </c>
      <c r="E3241" s="5" t="s">
        <v>42</v>
      </c>
      <c r="F3241" s="5" t="s">
        <v>228</v>
      </c>
      <c r="G3241" s="10" t="s">
        <v>72</v>
      </c>
      <c r="H3241" s="5" t="s">
        <v>9548</v>
      </c>
      <c r="I3241" s="10" t="s">
        <v>72</v>
      </c>
    </row>
    <row r="3242" ht="12.75" customHeight="1">
      <c r="A3242" s="5" t="s">
        <v>9550</v>
      </c>
      <c r="B3242" s="5" t="s">
        <v>9553</v>
      </c>
      <c r="C3242" s="5" t="s">
        <v>9539</v>
      </c>
      <c r="D3242" s="5" t="s">
        <v>34</v>
      </c>
      <c r="E3242" s="5" t="s">
        <v>42</v>
      </c>
      <c r="F3242" s="5" t="s">
        <v>228</v>
      </c>
      <c r="G3242" s="10" t="s">
        <v>72</v>
      </c>
      <c r="H3242" s="5" t="s">
        <v>9548</v>
      </c>
    </row>
    <row r="3243" ht="12.75" customHeight="1">
      <c r="A3243" s="5" t="s">
        <v>9554</v>
      </c>
      <c r="B3243" s="5" t="s">
        <v>9555</v>
      </c>
      <c r="C3243" s="5" t="s">
        <v>4934</v>
      </c>
      <c r="D3243" s="5" t="s">
        <v>74</v>
      </c>
      <c r="E3243" s="5" t="s">
        <v>42</v>
      </c>
      <c r="F3243" s="5" t="s">
        <v>572</v>
      </c>
      <c r="G3243" s="10" t="s">
        <v>72</v>
      </c>
    </row>
    <row r="3244" ht="12.75" customHeight="1">
      <c r="A3244" s="5" t="s">
        <v>9556</v>
      </c>
      <c r="B3244" s="5" t="s">
        <v>9557</v>
      </c>
      <c r="C3244" s="5" t="s">
        <v>4934</v>
      </c>
      <c r="D3244" s="5" t="s">
        <v>74</v>
      </c>
      <c r="E3244" s="5" t="s">
        <v>42</v>
      </c>
      <c r="F3244" s="5" t="s">
        <v>435</v>
      </c>
      <c r="G3244" s="10" t="s">
        <v>72</v>
      </c>
    </row>
    <row r="3245" ht="12.75" customHeight="1">
      <c r="A3245" s="5" t="s">
        <v>9558</v>
      </c>
      <c r="B3245" s="5" t="s">
        <v>9559</v>
      </c>
      <c r="C3245" s="5" t="s">
        <v>4934</v>
      </c>
      <c r="D3245" s="5" t="s">
        <v>74</v>
      </c>
      <c r="E3245" s="5" t="s">
        <v>42</v>
      </c>
      <c r="F3245" s="5" t="s">
        <v>1044</v>
      </c>
      <c r="G3245" s="10" t="s">
        <v>72</v>
      </c>
    </row>
    <row r="3246" ht="12.75" customHeight="1">
      <c r="A3246" s="5" t="s">
        <v>9560</v>
      </c>
      <c r="B3246" s="5" t="s">
        <v>9561</v>
      </c>
      <c r="C3246" s="5" t="s">
        <v>9562</v>
      </c>
      <c r="D3246" s="5" t="s">
        <v>74</v>
      </c>
      <c r="E3246" s="5" t="s">
        <v>42</v>
      </c>
      <c r="F3246" s="5" t="s">
        <v>445</v>
      </c>
    </row>
    <row r="3247" ht="12.75" customHeight="1">
      <c r="A3247" s="5" t="s">
        <v>9563</v>
      </c>
      <c r="B3247" s="10" t="s">
        <v>9564</v>
      </c>
      <c r="C3247" s="5" t="s">
        <v>4934</v>
      </c>
      <c r="D3247" s="5" t="s">
        <v>74</v>
      </c>
      <c r="E3247" s="5" t="s">
        <v>42</v>
      </c>
      <c r="F3247" s="5" t="s">
        <v>435</v>
      </c>
      <c r="L3247" s="5" t="s">
        <v>9565</v>
      </c>
    </row>
    <row r="3248" ht="12.75" customHeight="1">
      <c r="A3248" s="5" t="s">
        <v>9566</v>
      </c>
      <c r="B3248" s="5" t="s">
        <v>9567</v>
      </c>
      <c r="C3248" s="5" t="s">
        <v>4934</v>
      </c>
      <c r="D3248" s="5" t="s">
        <v>74</v>
      </c>
      <c r="E3248" s="5" t="s">
        <v>42</v>
      </c>
      <c r="F3248" s="5" t="s">
        <v>445</v>
      </c>
      <c r="G3248" s="10" t="s">
        <v>72</v>
      </c>
    </row>
    <row r="3249" ht="12.75" customHeight="1">
      <c r="A3249" s="5" t="s">
        <v>9568</v>
      </c>
      <c r="B3249" s="5" t="s">
        <v>9569</v>
      </c>
      <c r="C3249" s="5" t="s">
        <v>4934</v>
      </c>
      <c r="D3249" s="5" t="s">
        <v>74</v>
      </c>
      <c r="E3249" s="5" t="s">
        <v>42</v>
      </c>
      <c r="F3249" s="5" t="s">
        <v>445</v>
      </c>
      <c r="G3249" s="10" t="s">
        <v>72</v>
      </c>
    </row>
    <row r="3250" ht="12.75" customHeight="1">
      <c r="A3250" s="5" t="s">
        <v>9570</v>
      </c>
      <c r="B3250" s="10" t="s">
        <v>9571</v>
      </c>
      <c r="C3250" s="5" t="s">
        <v>9572</v>
      </c>
      <c r="D3250" s="5" t="s">
        <v>74</v>
      </c>
      <c r="E3250" s="5" t="s">
        <v>42</v>
      </c>
      <c r="F3250" s="5" t="s">
        <v>4728</v>
      </c>
      <c r="G3250" s="10" t="s">
        <v>72</v>
      </c>
    </row>
    <row r="3251" ht="12.75" customHeight="1">
      <c r="A3251" s="5" t="s">
        <v>9573</v>
      </c>
      <c r="B3251" s="5" t="s">
        <v>9574</v>
      </c>
      <c r="C3251" s="5" t="s">
        <v>4875</v>
      </c>
      <c r="D3251" s="5" t="s">
        <v>74</v>
      </c>
      <c r="E3251" s="5" t="s">
        <v>42</v>
      </c>
      <c r="F3251" s="5" t="s">
        <v>1044</v>
      </c>
    </row>
    <row r="3252" ht="12.75" customHeight="1">
      <c r="A3252" s="5" t="s">
        <v>9575</v>
      </c>
      <c r="B3252" s="5" t="s">
        <v>9576</v>
      </c>
      <c r="C3252" s="5" t="s">
        <v>9577</v>
      </c>
      <c r="D3252" s="5" t="s">
        <v>34</v>
      </c>
      <c r="E3252" s="5" t="s">
        <v>42</v>
      </c>
      <c r="F3252" s="5" t="s">
        <v>54</v>
      </c>
    </row>
    <row r="3253" ht="12.75" customHeight="1">
      <c r="A3253" s="5" t="s">
        <v>9578</v>
      </c>
      <c r="B3253" s="5" t="s">
        <v>9579</v>
      </c>
      <c r="C3253" s="5" t="s">
        <v>9580</v>
      </c>
      <c r="D3253" s="5" t="s">
        <v>46</v>
      </c>
      <c r="E3253" s="5" t="s">
        <v>42</v>
      </c>
      <c r="F3253" s="5" t="s">
        <v>2771</v>
      </c>
      <c r="G3253" s="10" t="s">
        <v>72</v>
      </c>
      <c r="H3253" s="5" t="s">
        <v>9581</v>
      </c>
    </row>
    <row r="3254" ht="12.75" customHeight="1">
      <c r="A3254" s="5" t="s">
        <v>9582</v>
      </c>
      <c r="B3254" s="5" t="s">
        <v>9583</v>
      </c>
      <c r="C3254" s="5" t="s">
        <v>9584</v>
      </c>
      <c r="D3254" s="5" t="s">
        <v>34</v>
      </c>
      <c r="E3254" s="5" t="s">
        <v>42</v>
      </c>
      <c r="F3254" s="5" t="s">
        <v>445</v>
      </c>
      <c r="G3254" s="10" t="s">
        <v>72</v>
      </c>
    </row>
    <row r="3255" ht="12.75" customHeight="1">
      <c r="A3255" s="5" t="s">
        <v>9585</v>
      </c>
      <c r="B3255" s="5" t="s">
        <v>9586</v>
      </c>
      <c r="C3255" s="5" t="s">
        <v>9587</v>
      </c>
      <c r="D3255" s="5" t="s">
        <v>74</v>
      </c>
      <c r="E3255" s="5" t="s">
        <v>42</v>
      </c>
      <c r="F3255" s="5" t="s">
        <v>146</v>
      </c>
      <c r="G3255" s="10" t="s">
        <v>72</v>
      </c>
      <c r="H3255" s="5" t="s">
        <v>9588</v>
      </c>
    </row>
    <row r="3256" ht="12.75" customHeight="1">
      <c r="A3256" s="5" t="s">
        <v>9589</v>
      </c>
      <c r="B3256" s="10" t="s">
        <v>9590</v>
      </c>
      <c r="C3256" s="5" t="s">
        <v>9591</v>
      </c>
      <c r="D3256" s="5" t="s">
        <v>34</v>
      </c>
      <c r="E3256" s="5" t="s">
        <v>42</v>
      </c>
      <c r="F3256" s="5" t="s">
        <v>3665</v>
      </c>
    </row>
    <row r="3257" ht="12.75" customHeight="1">
      <c r="A3257" s="5" t="s">
        <v>9592</v>
      </c>
      <c r="B3257" s="10" t="s">
        <v>9593</v>
      </c>
      <c r="C3257" s="5" t="s">
        <v>9594</v>
      </c>
      <c r="D3257" s="5" t="s">
        <v>34</v>
      </c>
      <c r="E3257" s="5" t="s">
        <v>42</v>
      </c>
      <c r="F3257" s="5" t="s">
        <v>1753</v>
      </c>
    </row>
    <row r="3258" ht="12.75" customHeight="1">
      <c r="A3258" s="5" t="s">
        <v>9595</v>
      </c>
      <c r="B3258" s="10" t="s">
        <v>9596</v>
      </c>
      <c r="C3258" s="5" t="s">
        <v>9597</v>
      </c>
      <c r="D3258" s="5" t="s">
        <v>34</v>
      </c>
      <c r="E3258" s="5" t="s">
        <v>42</v>
      </c>
      <c r="F3258" s="5" t="s">
        <v>445</v>
      </c>
    </row>
    <row r="3259" ht="12.75" customHeight="1">
      <c r="A3259" s="5" t="s">
        <v>9598</v>
      </c>
      <c r="B3259" s="5" t="s">
        <v>9599</v>
      </c>
      <c r="C3259" s="5" t="s">
        <v>9600</v>
      </c>
      <c r="D3259" s="5" t="s">
        <v>34</v>
      </c>
      <c r="E3259" s="5" t="s">
        <v>42</v>
      </c>
      <c r="F3259" s="5" t="s">
        <v>732</v>
      </c>
    </row>
    <row r="3260" ht="12.75" customHeight="1">
      <c r="A3260" s="5" t="s">
        <v>9601</v>
      </c>
      <c r="B3260" s="5" t="s">
        <v>9602</v>
      </c>
      <c r="D3260" s="5" t="s">
        <v>34</v>
      </c>
      <c r="E3260" s="5" t="s">
        <v>35</v>
      </c>
      <c r="F3260" s="5" t="s">
        <v>77</v>
      </c>
      <c r="H3260" s="5" t="s">
        <v>9603</v>
      </c>
      <c r="I3260" s="10" t="s">
        <v>72</v>
      </c>
    </row>
    <row r="3261" ht="12.75" customHeight="1">
      <c r="A3261" s="5" t="s">
        <v>9604</v>
      </c>
      <c r="B3261" s="5" t="s">
        <v>9605</v>
      </c>
      <c r="D3261" s="5" t="s">
        <v>34</v>
      </c>
      <c r="E3261" s="5" t="s">
        <v>35</v>
      </c>
      <c r="F3261" s="5" t="s">
        <v>77</v>
      </c>
      <c r="H3261" s="5" t="s">
        <v>9603</v>
      </c>
      <c r="I3261" s="10" t="s">
        <v>72</v>
      </c>
    </row>
    <row r="3262" ht="12.75" customHeight="1">
      <c r="A3262" s="5" t="s">
        <v>9606</v>
      </c>
      <c r="B3262" s="10" t="s">
        <v>9607</v>
      </c>
      <c r="C3262" s="5" t="s">
        <v>4861</v>
      </c>
      <c r="D3262" s="5" t="s">
        <v>30</v>
      </c>
      <c r="E3262" s="5" t="s">
        <v>42</v>
      </c>
      <c r="F3262" s="5" t="s">
        <v>967</v>
      </c>
    </row>
    <row r="3263" ht="12.75" customHeight="1">
      <c r="A3263" s="5" t="s">
        <v>9608</v>
      </c>
      <c r="B3263" s="5" t="s">
        <v>9609</v>
      </c>
      <c r="C3263" s="5" t="s">
        <v>9610</v>
      </c>
      <c r="D3263" s="5" t="s">
        <v>124</v>
      </c>
      <c r="E3263" s="5" t="s">
        <v>35</v>
      </c>
      <c r="F3263" s="5" t="s">
        <v>125</v>
      </c>
    </row>
    <row r="3264" ht="12.75" customHeight="1">
      <c r="A3264" s="5" t="s">
        <v>9611</v>
      </c>
      <c r="B3264" s="5" t="s">
        <v>9612</v>
      </c>
      <c r="C3264" s="5" t="s">
        <v>9613</v>
      </c>
      <c r="D3264" s="5" t="s">
        <v>94</v>
      </c>
      <c r="E3264" s="5" t="s">
        <v>35</v>
      </c>
      <c r="F3264" s="5" t="s">
        <v>605</v>
      </c>
      <c r="G3264" s="10" t="s">
        <v>72</v>
      </c>
      <c r="H3264" s="5" t="s">
        <v>2197</v>
      </c>
    </row>
    <row r="3265" ht="12.75" customHeight="1">
      <c r="A3265" s="5" t="s">
        <v>9614</v>
      </c>
      <c r="B3265" s="5" t="s">
        <v>9615</v>
      </c>
      <c r="C3265" s="5" t="s">
        <v>9614</v>
      </c>
      <c r="D3265" s="5" t="s">
        <v>22</v>
      </c>
      <c r="E3265" s="5" t="s">
        <v>35</v>
      </c>
      <c r="F3265" s="5" t="s">
        <v>110</v>
      </c>
    </row>
    <row r="3266" ht="12.75" customHeight="1">
      <c r="A3266" s="5" t="s">
        <v>9616</v>
      </c>
      <c r="B3266" s="5" t="s">
        <v>9617</v>
      </c>
      <c r="C3266" s="5" t="s">
        <v>9618</v>
      </c>
      <c r="D3266" s="5" t="s">
        <v>67</v>
      </c>
      <c r="E3266" s="5" t="s">
        <v>42</v>
      </c>
      <c r="F3266" s="5" t="s">
        <v>566</v>
      </c>
    </row>
    <row r="3267" ht="12.75" customHeight="1">
      <c r="A3267" s="5" t="s">
        <v>9619</v>
      </c>
      <c r="B3267" s="5" t="s">
        <v>9620</v>
      </c>
      <c r="C3267" s="5" t="s">
        <v>9621</v>
      </c>
      <c r="D3267" s="5" t="s">
        <v>67</v>
      </c>
      <c r="E3267" s="5" t="s">
        <v>42</v>
      </c>
      <c r="F3267" s="5" t="s">
        <v>1308</v>
      </c>
    </row>
    <row r="3268" ht="12.75" customHeight="1">
      <c r="A3268" s="5" t="s">
        <v>9622</v>
      </c>
      <c r="B3268" s="5" t="s">
        <v>9623</v>
      </c>
      <c r="C3268" s="5" t="s">
        <v>9622</v>
      </c>
      <c r="D3268" s="5" t="s">
        <v>67</v>
      </c>
      <c r="E3268" s="5" t="s">
        <v>35</v>
      </c>
      <c r="F3268" s="5" t="s">
        <v>561</v>
      </c>
    </row>
    <row r="3269" ht="12.75" customHeight="1">
      <c r="A3269" s="5" t="s">
        <v>9624</v>
      </c>
      <c r="B3269" s="5" t="s">
        <v>9625</v>
      </c>
      <c r="C3269" s="5" t="s">
        <v>9624</v>
      </c>
      <c r="D3269" s="5" t="s">
        <v>46</v>
      </c>
      <c r="E3269" s="5" t="s">
        <v>42</v>
      </c>
      <c r="F3269" s="5" t="s">
        <v>2196</v>
      </c>
    </row>
    <row r="3270" ht="12.75" customHeight="1">
      <c r="A3270" s="5" t="s">
        <v>9626</v>
      </c>
      <c r="B3270" s="5" t="s">
        <v>9627</v>
      </c>
      <c r="C3270" s="5" t="s">
        <v>9626</v>
      </c>
      <c r="D3270" s="5" t="s">
        <v>67</v>
      </c>
      <c r="E3270" s="5" t="s">
        <v>42</v>
      </c>
      <c r="F3270" s="5" t="s">
        <v>1714</v>
      </c>
    </row>
    <row r="3271" ht="12.75" customHeight="1">
      <c r="A3271" s="5" t="s">
        <v>9628</v>
      </c>
      <c r="B3271" s="5" t="s">
        <v>9629</v>
      </c>
      <c r="C3271" s="5" t="s">
        <v>9628</v>
      </c>
      <c r="D3271" s="5" t="s">
        <v>34</v>
      </c>
      <c r="E3271" s="5" t="s">
        <v>42</v>
      </c>
      <c r="F3271" s="5" t="s">
        <v>720</v>
      </c>
    </row>
    <row r="3272" ht="12.75" customHeight="1">
      <c r="A3272" s="5" t="s">
        <v>9630</v>
      </c>
      <c r="B3272" s="10" t="s">
        <v>9631</v>
      </c>
      <c r="C3272" s="5" t="s">
        <v>9630</v>
      </c>
      <c r="D3272" s="5" t="s">
        <v>34</v>
      </c>
      <c r="E3272" s="5" t="s">
        <v>35</v>
      </c>
      <c r="F3272" s="5" t="s">
        <v>605</v>
      </c>
    </row>
    <row r="3273" ht="12.75" customHeight="1">
      <c r="A3273" s="5" t="s">
        <v>9632</v>
      </c>
      <c r="B3273" s="5" t="s">
        <v>9633</v>
      </c>
      <c r="C3273" s="5" t="s">
        <v>9632</v>
      </c>
      <c r="D3273" s="5" t="s">
        <v>74</v>
      </c>
      <c r="E3273" s="5" t="s">
        <v>42</v>
      </c>
      <c r="F3273" s="5" t="s">
        <v>445</v>
      </c>
    </row>
    <row r="3274" ht="12.75" customHeight="1">
      <c r="A3274" s="5" t="s">
        <v>9634</v>
      </c>
      <c r="B3274" s="5" t="s">
        <v>9635</v>
      </c>
      <c r="C3274" s="5" t="s">
        <v>9634</v>
      </c>
      <c r="D3274" s="5" t="s">
        <v>74</v>
      </c>
      <c r="E3274" s="5" t="s">
        <v>42</v>
      </c>
      <c r="F3274" s="5" t="s">
        <v>435</v>
      </c>
      <c r="G3274" s="10" t="s">
        <v>72</v>
      </c>
    </row>
    <row r="3275" ht="12.75" customHeight="1">
      <c r="A3275" s="5" t="s">
        <v>9636</v>
      </c>
      <c r="B3275" s="5" t="s">
        <v>9637</v>
      </c>
      <c r="C3275" s="5" t="s">
        <v>9634</v>
      </c>
      <c r="D3275" s="5" t="s">
        <v>74</v>
      </c>
      <c r="E3275" s="5" t="s">
        <v>42</v>
      </c>
      <c r="F3275" s="5" t="s">
        <v>435</v>
      </c>
    </row>
    <row r="3276" ht="12.75" customHeight="1">
      <c r="A3276" s="5" t="s">
        <v>9638</v>
      </c>
      <c r="B3276" s="5" t="s">
        <v>9639</v>
      </c>
      <c r="C3276" s="5" t="s">
        <v>9638</v>
      </c>
      <c r="D3276" s="5" t="s">
        <v>12</v>
      </c>
      <c r="E3276" s="5" t="s">
        <v>42</v>
      </c>
      <c r="F3276" s="5" t="s">
        <v>371</v>
      </c>
    </row>
    <row r="3277" ht="12.75" customHeight="1">
      <c r="A3277" s="5" t="s">
        <v>9640</v>
      </c>
      <c r="B3277" s="5" t="s">
        <v>9641</v>
      </c>
      <c r="C3277" s="5" t="s">
        <v>9640</v>
      </c>
      <c r="D3277" s="5" t="s">
        <v>46</v>
      </c>
      <c r="E3277" s="5" t="s">
        <v>42</v>
      </c>
      <c r="F3277" s="5" t="s">
        <v>1933</v>
      </c>
    </row>
    <row r="3278" ht="12.75" customHeight="1">
      <c r="A3278" s="5" t="s">
        <v>9642</v>
      </c>
      <c r="B3278" s="5" t="s">
        <v>9643</v>
      </c>
      <c r="C3278" s="5" t="s">
        <v>9642</v>
      </c>
      <c r="D3278" s="5" t="s">
        <v>124</v>
      </c>
      <c r="E3278" s="5" t="s">
        <v>42</v>
      </c>
      <c r="F3278" s="5" t="s">
        <v>4550</v>
      </c>
    </row>
    <row r="3279" ht="12.75" customHeight="1">
      <c r="A3279" s="5" t="s">
        <v>9644</v>
      </c>
      <c r="B3279" s="10" t="s">
        <v>9645</v>
      </c>
      <c r="C3279" s="5" t="s">
        <v>9644</v>
      </c>
      <c r="D3279" s="5" t="s">
        <v>46</v>
      </c>
      <c r="E3279" s="5" t="s">
        <v>35</v>
      </c>
      <c r="F3279" s="5" t="s">
        <v>545</v>
      </c>
    </row>
    <row r="3280" ht="12.75" customHeight="1">
      <c r="A3280" s="5" t="s">
        <v>9646</v>
      </c>
      <c r="B3280" s="5" t="s">
        <v>9647</v>
      </c>
      <c r="C3280" s="5" t="s">
        <v>9648</v>
      </c>
      <c r="D3280" s="5" t="s">
        <v>38</v>
      </c>
      <c r="E3280" s="5" t="s">
        <v>42</v>
      </c>
      <c r="F3280" s="5" t="s">
        <v>445</v>
      </c>
      <c r="G3280" s="10" t="s">
        <v>72</v>
      </c>
    </row>
    <row r="3281" ht="12.75" customHeight="1">
      <c r="A3281" s="5" t="s">
        <v>9237</v>
      </c>
      <c r="B3281" s="5" t="s">
        <v>9649</v>
      </c>
      <c r="C3281" s="5" t="s">
        <v>9237</v>
      </c>
      <c r="D3281" s="5" t="s">
        <v>46</v>
      </c>
      <c r="E3281" s="5" t="s">
        <v>42</v>
      </c>
      <c r="F3281" s="5" t="s">
        <v>535</v>
      </c>
    </row>
    <row r="3282" ht="12.75" customHeight="1">
      <c r="A3282" s="5" t="s">
        <v>9650</v>
      </c>
      <c r="B3282" s="5" t="s">
        <v>9651</v>
      </c>
      <c r="C3282" s="5" t="s">
        <v>9650</v>
      </c>
      <c r="D3282" s="5" t="s">
        <v>38</v>
      </c>
      <c r="E3282" s="5" t="s">
        <v>42</v>
      </c>
      <c r="F3282" s="5" t="s">
        <v>454</v>
      </c>
    </row>
    <row r="3283" ht="12.75" customHeight="1">
      <c r="A3283" s="5" t="s">
        <v>9652</v>
      </c>
      <c r="B3283" s="5" t="s">
        <v>9653</v>
      </c>
      <c r="C3283" s="5" t="s">
        <v>9654</v>
      </c>
      <c r="D3283" s="5" t="s">
        <v>34</v>
      </c>
      <c r="E3283" s="5" t="s">
        <v>35</v>
      </c>
      <c r="F3283" s="5" t="s">
        <v>172</v>
      </c>
    </row>
    <row r="3284" ht="12.75" customHeight="1">
      <c r="A3284" s="5" t="s">
        <v>9655</v>
      </c>
      <c r="B3284" s="5" t="s">
        <v>9656</v>
      </c>
      <c r="C3284" s="5" t="s">
        <v>9657</v>
      </c>
      <c r="D3284" s="5" t="s">
        <v>30</v>
      </c>
      <c r="E3284" s="5" t="s">
        <v>35</v>
      </c>
      <c r="F3284" s="5" t="s">
        <v>1143</v>
      </c>
    </row>
    <row r="3285" ht="12.75" customHeight="1">
      <c r="A3285" s="5" t="s">
        <v>9658</v>
      </c>
      <c r="B3285" s="5" t="s">
        <v>9659</v>
      </c>
      <c r="C3285" s="5" t="s">
        <v>9658</v>
      </c>
      <c r="D3285" s="5" t="s">
        <v>80</v>
      </c>
      <c r="E3285" s="5" t="s">
        <v>35</v>
      </c>
      <c r="F3285" s="5" t="s">
        <v>1831</v>
      </c>
    </row>
    <row r="3286" ht="12.75" customHeight="1">
      <c r="A3286" s="5" t="s">
        <v>9660</v>
      </c>
      <c r="B3286" s="10" t="s">
        <v>9661</v>
      </c>
      <c r="C3286" s="5" t="s">
        <v>9660</v>
      </c>
      <c r="D3286" s="5" t="s">
        <v>46</v>
      </c>
      <c r="E3286" s="5" t="s">
        <v>35</v>
      </c>
      <c r="F3286" s="5" t="s">
        <v>3067</v>
      </c>
      <c r="G3286" s="10" t="s">
        <v>72</v>
      </c>
    </row>
    <row r="3287" ht="12.75" customHeight="1">
      <c r="A3287" s="5" t="s">
        <v>9662</v>
      </c>
      <c r="B3287" s="5" t="s">
        <v>9663</v>
      </c>
      <c r="C3287" s="5" t="s">
        <v>9662</v>
      </c>
      <c r="D3287" s="5" t="s">
        <v>80</v>
      </c>
      <c r="E3287" s="5" t="s">
        <v>42</v>
      </c>
      <c r="F3287" s="5" t="s">
        <v>2869</v>
      </c>
      <c r="G3287" s="10" t="s">
        <v>72</v>
      </c>
    </row>
    <row r="3288" ht="12.75" customHeight="1">
      <c r="A3288" s="5" t="s">
        <v>9664</v>
      </c>
      <c r="B3288" s="5" t="s">
        <v>9665</v>
      </c>
      <c r="C3288" s="5" t="s">
        <v>9664</v>
      </c>
      <c r="D3288" s="5" t="s">
        <v>46</v>
      </c>
      <c r="E3288" s="5" t="s">
        <v>35</v>
      </c>
      <c r="F3288" s="5" t="s">
        <v>96</v>
      </c>
    </row>
    <row r="3289" ht="12.75" customHeight="1">
      <c r="A3289" s="5" t="s">
        <v>9666</v>
      </c>
      <c r="B3289" s="5" t="s">
        <v>9667</v>
      </c>
      <c r="C3289" s="5" t="s">
        <v>9666</v>
      </c>
      <c r="D3289" s="5" t="s">
        <v>80</v>
      </c>
      <c r="E3289" s="5" t="s">
        <v>35</v>
      </c>
      <c r="F3289" s="5" t="s">
        <v>2390</v>
      </c>
    </row>
    <row r="3290" ht="12.75" customHeight="1">
      <c r="A3290" s="5" t="s">
        <v>9668</v>
      </c>
      <c r="B3290" s="5" t="s">
        <v>9669</v>
      </c>
      <c r="C3290" s="5" t="s">
        <v>9670</v>
      </c>
      <c r="D3290" s="5" t="s">
        <v>34</v>
      </c>
      <c r="E3290" s="5" t="s">
        <v>35</v>
      </c>
      <c r="F3290" s="5" t="s">
        <v>278</v>
      </c>
      <c r="G3290" s="10" t="s">
        <v>72</v>
      </c>
    </row>
    <row r="3291" ht="12.75" customHeight="1">
      <c r="A3291" s="5" t="s">
        <v>9671</v>
      </c>
      <c r="B3291" s="5" t="s">
        <v>9672</v>
      </c>
      <c r="C3291" s="5" t="s">
        <v>9671</v>
      </c>
      <c r="D3291" s="5" t="s">
        <v>74</v>
      </c>
      <c r="E3291" s="5" t="s">
        <v>35</v>
      </c>
      <c r="F3291" s="5" t="s">
        <v>619</v>
      </c>
    </row>
    <row r="3292" ht="12.75" customHeight="1">
      <c r="A3292" s="5" t="s">
        <v>9673</v>
      </c>
      <c r="B3292" s="5" t="s">
        <v>9674</v>
      </c>
      <c r="C3292" s="5" t="s">
        <v>691</v>
      </c>
      <c r="D3292" s="5" t="s">
        <v>34</v>
      </c>
      <c r="E3292" s="5" t="s">
        <v>35</v>
      </c>
      <c r="F3292" s="5" t="s">
        <v>77</v>
      </c>
    </row>
    <row r="3293" ht="12.75" customHeight="1">
      <c r="A3293" s="5" t="s">
        <v>9675</v>
      </c>
      <c r="B3293" s="5" t="s">
        <v>9676</v>
      </c>
      <c r="C3293" s="5" t="s">
        <v>691</v>
      </c>
      <c r="D3293" s="5" t="s">
        <v>34</v>
      </c>
      <c r="E3293" s="5" t="s">
        <v>35</v>
      </c>
      <c r="F3293" s="5" t="s">
        <v>36</v>
      </c>
    </row>
    <row r="3294" ht="12.75" customHeight="1">
      <c r="A3294" s="5" t="s">
        <v>9677</v>
      </c>
      <c r="B3294" s="5" t="s">
        <v>9678</v>
      </c>
      <c r="C3294" s="5" t="s">
        <v>691</v>
      </c>
      <c r="D3294" s="5" t="s">
        <v>34</v>
      </c>
      <c r="E3294" s="5" t="s">
        <v>35</v>
      </c>
      <c r="F3294" s="5" t="s">
        <v>90</v>
      </c>
    </row>
    <row r="3295" ht="12.75" customHeight="1">
      <c r="A3295" s="5" t="s">
        <v>9679</v>
      </c>
      <c r="B3295" s="5" t="s">
        <v>9680</v>
      </c>
      <c r="C3295" s="5" t="s">
        <v>691</v>
      </c>
      <c r="D3295" s="5" t="s">
        <v>34</v>
      </c>
      <c r="E3295" s="5" t="s">
        <v>35</v>
      </c>
      <c r="F3295" s="5" t="s">
        <v>77</v>
      </c>
    </row>
    <row r="3296" ht="12.75" customHeight="1">
      <c r="A3296" s="5" t="s">
        <v>9681</v>
      </c>
      <c r="B3296" s="5" t="s">
        <v>9682</v>
      </c>
      <c r="C3296" s="5" t="s">
        <v>691</v>
      </c>
      <c r="D3296" s="5" t="s">
        <v>34</v>
      </c>
      <c r="E3296" s="5" t="s">
        <v>35</v>
      </c>
      <c r="F3296" s="5" t="s">
        <v>868</v>
      </c>
    </row>
    <row r="3297" ht="12.75" customHeight="1">
      <c r="A3297" s="5" t="s">
        <v>9683</v>
      </c>
      <c r="B3297" s="5" t="s">
        <v>9684</v>
      </c>
      <c r="C3297" s="5" t="s">
        <v>691</v>
      </c>
      <c r="D3297" s="5" t="s">
        <v>34</v>
      </c>
      <c r="E3297" s="5" t="s">
        <v>35</v>
      </c>
      <c r="F3297" s="5" t="s">
        <v>104</v>
      </c>
    </row>
    <row r="3298" ht="12.75" customHeight="1">
      <c r="A3298" s="5" t="s">
        <v>9685</v>
      </c>
      <c r="B3298" s="5" t="s">
        <v>9686</v>
      </c>
      <c r="C3298" s="5" t="s">
        <v>691</v>
      </c>
      <c r="D3298" s="5" t="s">
        <v>34</v>
      </c>
      <c r="E3298" s="5" t="s">
        <v>35</v>
      </c>
      <c r="F3298" s="5" t="s">
        <v>813</v>
      </c>
    </row>
    <row r="3299" ht="12.75" customHeight="1">
      <c r="A3299" s="5" t="s">
        <v>9687</v>
      </c>
      <c r="B3299" s="5" t="s">
        <v>9688</v>
      </c>
      <c r="C3299" s="5" t="s">
        <v>691</v>
      </c>
      <c r="D3299" s="5" t="s">
        <v>34</v>
      </c>
      <c r="E3299" s="5" t="s">
        <v>35</v>
      </c>
      <c r="F3299" s="5" t="s">
        <v>90</v>
      </c>
    </row>
    <row r="3300" ht="12.75" customHeight="1">
      <c r="A3300" s="5" t="s">
        <v>9689</v>
      </c>
      <c r="B3300" s="5" t="s">
        <v>9690</v>
      </c>
      <c r="C3300" s="5" t="s">
        <v>691</v>
      </c>
      <c r="D3300" s="5" t="s">
        <v>34</v>
      </c>
      <c r="E3300" s="5" t="s">
        <v>35</v>
      </c>
      <c r="F3300" s="5" t="s">
        <v>104</v>
      </c>
    </row>
    <row r="3301" ht="12.75" customHeight="1">
      <c r="A3301" s="5" t="s">
        <v>9691</v>
      </c>
      <c r="B3301" s="5" t="s">
        <v>9692</v>
      </c>
      <c r="C3301" s="5" t="s">
        <v>691</v>
      </c>
      <c r="D3301" s="5" t="s">
        <v>34</v>
      </c>
      <c r="E3301" s="5" t="s">
        <v>35</v>
      </c>
      <c r="F3301" s="5" t="s">
        <v>713</v>
      </c>
    </row>
    <row r="3302" ht="12.75" customHeight="1">
      <c r="A3302" s="5" t="s">
        <v>9693</v>
      </c>
      <c r="B3302" s="5" t="s">
        <v>9694</v>
      </c>
      <c r="C3302" s="5" t="s">
        <v>691</v>
      </c>
      <c r="D3302" s="5" t="s">
        <v>34</v>
      </c>
      <c r="E3302" s="5" t="s">
        <v>42</v>
      </c>
      <c r="F3302" s="5" t="s">
        <v>556</v>
      </c>
    </row>
    <row r="3303" ht="12.75" customHeight="1">
      <c r="A3303" s="5" t="s">
        <v>9695</v>
      </c>
      <c r="B3303" s="5" t="s">
        <v>9696</v>
      </c>
      <c r="C3303" s="5" t="s">
        <v>691</v>
      </c>
      <c r="D3303" s="5" t="s">
        <v>34</v>
      </c>
      <c r="E3303" s="5" t="s">
        <v>42</v>
      </c>
      <c r="F3303" s="5" t="s">
        <v>228</v>
      </c>
    </row>
    <row r="3304" ht="12.75" customHeight="1">
      <c r="A3304" s="5" t="s">
        <v>9697</v>
      </c>
      <c r="B3304" s="5" t="s">
        <v>9698</v>
      </c>
      <c r="C3304" s="5" t="s">
        <v>691</v>
      </c>
      <c r="D3304" s="5" t="s">
        <v>34</v>
      </c>
      <c r="E3304" s="5" t="s">
        <v>42</v>
      </c>
      <c r="F3304" s="5" t="s">
        <v>400</v>
      </c>
    </row>
    <row r="3305" ht="12.75" customHeight="1">
      <c r="A3305" s="5" t="s">
        <v>9699</v>
      </c>
      <c r="B3305" s="5" t="s">
        <v>9700</v>
      </c>
      <c r="C3305" s="5" t="s">
        <v>691</v>
      </c>
      <c r="D3305" s="5" t="s">
        <v>34</v>
      </c>
      <c r="E3305" s="5" t="s">
        <v>42</v>
      </c>
      <c r="F3305" s="5" t="s">
        <v>756</v>
      </c>
    </row>
    <row r="3306" ht="12.75" customHeight="1">
      <c r="A3306" s="5" t="s">
        <v>9701</v>
      </c>
      <c r="B3306" s="5" t="s">
        <v>9702</v>
      </c>
      <c r="C3306" s="5" t="s">
        <v>691</v>
      </c>
      <c r="D3306" s="5" t="s">
        <v>34</v>
      </c>
      <c r="E3306" s="5" t="s">
        <v>42</v>
      </c>
      <c r="F3306" s="5" t="s">
        <v>657</v>
      </c>
    </row>
    <row r="3307" ht="12.75" customHeight="1">
      <c r="A3307" s="5" t="s">
        <v>9703</v>
      </c>
      <c r="B3307" s="5" t="s">
        <v>9704</v>
      </c>
      <c r="C3307" s="5" t="s">
        <v>691</v>
      </c>
      <c r="D3307" s="5" t="s">
        <v>34</v>
      </c>
      <c r="E3307" s="5" t="s">
        <v>42</v>
      </c>
      <c r="F3307" s="5" t="s">
        <v>228</v>
      </c>
    </row>
    <row r="3308" ht="12.75" customHeight="1">
      <c r="A3308" s="5" t="s">
        <v>9705</v>
      </c>
      <c r="B3308" s="5" t="s">
        <v>9706</v>
      </c>
      <c r="C3308" s="5" t="s">
        <v>691</v>
      </c>
      <c r="D3308" s="5" t="s">
        <v>34</v>
      </c>
      <c r="E3308" s="5" t="s">
        <v>42</v>
      </c>
      <c r="F3308" s="5" t="s">
        <v>575</v>
      </c>
    </row>
    <row r="3309" ht="12.75" customHeight="1">
      <c r="A3309" s="5" t="s">
        <v>9707</v>
      </c>
      <c r="B3309" s="5" t="s">
        <v>9708</v>
      </c>
      <c r="C3309" s="5" t="s">
        <v>691</v>
      </c>
      <c r="D3309" s="5" t="s">
        <v>34</v>
      </c>
      <c r="E3309" s="5" t="s">
        <v>42</v>
      </c>
      <c r="F3309" s="5" t="s">
        <v>637</v>
      </c>
    </row>
    <row r="3310" ht="12.75" customHeight="1">
      <c r="A3310" s="5" t="s">
        <v>9709</v>
      </c>
      <c r="B3310" s="5" t="s">
        <v>9710</v>
      </c>
      <c r="C3310" s="5" t="s">
        <v>691</v>
      </c>
      <c r="D3310" s="5" t="s">
        <v>34</v>
      </c>
      <c r="E3310" s="5" t="s">
        <v>42</v>
      </c>
      <c r="F3310" s="5" t="s">
        <v>1753</v>
      </c>
    </row>
    <row r="3311" ht="12.75" customHeight="1">
      <c r="A3311" s="5" t="s">
        <v>9711</v>
      </c>
      <c r="B3311" s="5" t="s">
        <v>9712</v>
      </c>
      <c r="C3311" s="5" t="s">
        <v>691</v>
      </c>
      <c r="D3311" s="5" t="s">
        <v>34</v>
      </c>
      <c r="E3311" s="5" t="s">
        <v>42</v>
      </c>
      <c r="F3311" s="5" t="s">
        <v>400</v>
      </c>
    </row>
    <row r="3312" ht="12.75" customHeight="1">
      <c r="A3312" s="5" t="s">
        <v>9713</v>
      </c>
      <c r="B3312" s="5" t="s">
        <v>9714</v>
      </c>
      <c r="C3312" s="5" t="s">
        <v>9715</v>
      </c>
      <c r="D3312" s="5" t="s">
        <v>50</v>
      </c>
      <c r="E3312" s="5" t="s">
        <v>42</v>
      </c>
      <c r="F3312" s="5" t="s">
        <v>610</v>
      </c>
    </row>
    <row r="3313" ht="12.75" customHeight="1">
      <c r="A3313" s="5" t="s">
        <v>9716</v>
      </c>
      <c r="B3313" s="10" t="s">
        <v>9717</v>
      </c>
      <c r="C3313" s="5" t="s">
        <v>9718</v>
      </c>
      <c r="D3313" s="5" t="s">
        <v>34</v>
      </c>
      <c r="E3313" s="5" t="s">
        <v>35</v>
      </c>
      <c r="F3313" s="5" t="s">
        <v>429</v>
      </c>
    </row>
    <row r="3314" ht="12.75" customHeight="1">
      <c r="A3314" s="5" t="s">
        <v>9719</v>
      </c>
      <c r="B3314" s="10" t="s">
        <v>9720</v>
      </c>
      <c r="C3314" s="5" t="s">
        <v>9719</v>
      </c>
      <c r="D3314" s="5" t="s">
        <v>46</v>
      </c>
      <c r="E3314" s="5" t="s">
        <v>42</v>
      </c>
      <c r="F3314" s="5" t="s">
        <v>2218</v>
      </c>
    </row>
    <row r="3315" ht="12.75" customHeight="1">
      <c r="A3315" s="5" t="s">
        <v>9721</v>
      </c>
      <c r="B3315" s="5" t="s">
        <v>9722</v>
      </c>
      <c r="C3315" s="5" t="s">
        <v>9723</v>
      </c>
      <c r="D3315" s="5" t="s">
        <v>22</v>
      </c>
      <c r="E3315" s="5" t="s">
        <v>42</v>
      </c>
      <c r="F3315" s="5" t="s">
        <v>83</v>
      </c>
    </row>
    <row r="3316" ht="12.75" customHeight="1">
      <c r="A3316" s="5" t="s">
        <v>9724</v>
      </c>
      <c r="B3316" s="5" t="s">
        <v>9725</v>
      </c>
      <c r="C3316" s="5" t="s">
        <v>9724</v>
      </c>
      <c r="D3316" s="5" t="s">
        <v>34</v>
      </c>
      <c r="E3316" s="5" t="s">
        <v>42</v>
      </c>
      <c r="F3316" s="5" t="s">
        <v>556</v>
      </c>
    </row>
    <row r="3317" ht="12.75" customHeight="1">
      <c r="A3317" s="5" t="s">
        <v>9726</v>
      </c>
      <c r="B3317" s="5" t="s">
        <v>9727</v>
      </c>
      <c r="C3317" s="5" t="s">
        <v>9726</v>
      </c>
      <c r="D3317" s="5" t="s">
        <v>34</v>
      </c>
      <c r="E3317" s="5" t="s">
        <v>42</v>
      </c>
      <c r="F3317" s="5" t="s">
        <v>445</v>
      </c>
    </row>
    <row r="3318" ht="12.75" customHeight="1">
      <c r="A3318" s="5" t="s">
        <v>9728</v>
      </c>
      <c r="B3318" s="5" t="s">
        <v>9729</v>
      </c>
      <c r="C3318" s="5" t="s">
        <v>9728</v>
      </c>
      <c r="D3318" s="5" t="s">
        <v>22</v>
      </c>
      <c r="E3318" s="5" t="s">
        <v>42</v>
      </c>
      <c r="F3318" s="5" t="s">
        <v>1753</v>
      </c>
      <c r="G3318" s="10" t="s">
        <v>72</v>
      </c>
    </row>
    <row r="3319" ht="12.75" customHeight="1">
      <c r="A3319" s="5" t="s">
        <v>9730</v>
      </c>
      <c r="B3319" s="10" t="s">
        <v>9731</v>
      </c>
      <c r="C3319" s="5" t="s">
        <v>9732</v>
      </c>
      <c r="D3319" s="5" t="s">
        <v>34</v>
      </c>
      <c r="E3319" s="5" t="s">
        <v>42</v>
      </c>
      <c r="F3319" s="5" t="s">
        <v>610</v>
      </c>
    </row>
    <row r="3320" ht="12.75" customHeight="1">
      <c r="A3320" s="5" t="s">
        <v>9733</v>
      </c>
      <c r="B3320" s="5" t="s">
        <v>9734</v>
      </c>
      <c r="C3320" s="5" t="s">
        <v>9733</v>
      </c>
      <c r="D3320" s="5" t="s">
        <v>67</v>
      </c>
      <c r="E3320" s="5" t="s">
        <v>42</v>
      </c>
      <c r="F3320" s="5" t="s">
        <v>566</v>
      </c>
    </row>
    <row r="3321" ht="12.75" customHeight="1">
      <c r="A3321" s="5" t="s">
        <v>9735</v>
      </c>
      <c r="B3321" s="5" t="s">
        <v>9736</v>
      </c>
      <c r="C3321" s="5" t="s">
        <v>9735</v>
      </c>
      <c r="D3321" s="5" t="s">
        <v>34</v>
      </c>
      <c r="E3321" s="5" t="s">
        <v>42</v>
      </c>
      <c r="F3321" s="5" t="s">
        <v>657</v>
      </c>
      <c r="G3321" s="10" t="s">
        <v>72</v>
      </c>
    </row>
    <row r="3322" ht="12.75" customHeight="1">
      <c r="A3322" s="5" t="s">
        <v>9737</v>
      </c>
      <c r="B3322" s="10" t="s">
        <v>9738</v>
      </c>
      <c r="C3322" s="5" t="s">
        <v>9737</v>
      </c>
      <c r="D3322" s="5" t="s">
        <v>67</v>
      </c>
      <c r="E3322" s="5" t="s">
        <v>42</v>
      </c>
      <c r="F3322" s="5" t="s">
        <v>1215</v>
      </c>
      <c r="G3322" s="10" t="s">
        <v>72</v>
      </c>
    </row>
    <row r="3323" ht="12.75" customHeight="1">
      <c r="A3323" s="5" t="s">
        <v>9739</v>
      </c>
      <c r="B3323" s="5" t="s">
        <v>9740</v>
      </c>
      <c r="C3323" s="5" t="s">
        <v>9741</v>
      </c>
      <c r="D3323" s="5" t="s">
        <v>38</v>
      </c>
      <c r="E3323" s="5" t="s">
        <v>35</v>
      </c>
      <c r="F3323" s="5" t="s">
        <v>619</v>
      </c>
    </row>
    <row r="3324" ht="12.75" customHeight="1">
      <c r="A3324" s="5" t="s">
        <v>9742</v>
      </c>
      <c r="B3324" s="5" t="s">
        <v>9743</v>
      </c>
      <c r="C3324" s="5" t="s">
        <v>9742</v>
      </c>
      <c r="D3324" s="5" t="s">
        <v>34</v>
      </c>
      <c r="E3324" s="5" t="s">
        <v>35</v>
      </c>
      <c r="F3324" s="5" t="s">
        <v>695</v>
      </c>
    </row>
    <row r="3325" ht="12.75" customHeight="1">
      <c r="A3325" s="5" t="s">
        <v>9744</v>
      </c>
      <c r="B3325" s="5" t="s">
        <v>9745</v>
      </c>
      <c r="C3325" s="5" t="s">
        <v>9746</v>
      </c>
      <c r="D3325" s="5" t="s">
        <v>34</v>
      </c>
      <c r="E3325" s="5" t="s">
        <v>35</v>
      </c>
      <c r="F3325" s="5" t="s">
        <v>90</v>
      </c>
    </row>
    <row r="3326" ht="12.75" customHeight="1">
      <c r="A3326" s="5" t="s">
        <v>9747</v>
      </c>
      <c r="B3326" s="5" t="s">
        <v>9748</v>
      </c>
      <c r="C3326" s="5" t="s">
        <v>9749</v>
      </c>
      <c r="D3326" s="5" t="s">
        <v>34</v>
      </c>
      <c r="E3326" s="5" t="s">
        <v>42</v>
      </c>
      <c r="F3326" s="5" t="s">
        <v>599</v>
      </c>
    </row>
    <row r="3327" ht="12.75" customHeight="1">
      <c r="A3327" s="5" t="s">
        <v>9750</v>
      </c>
      <c r="B3327" s="5" t="s">
        <v>9751</v>
      </c>
      <c r="C3327" s="5" t="s">
        <v>9750</v>
      </c>
      <c r="D3327" s="5" t="s">
        <v>67</v>
      </c>
      <c r="E3327" s="5" t="s">
        <v>42</v>
      </c>
      <c r="F3327" s="5" t="s">
        <v>1555</v>
      </c>
    </row>
    <row r="3328" ht="12.75" customHeight="1">
      <c r="A3328" s="5" t="s">
        <v>9752</v>
      </c>
      <c r="B3328" s="5" t="s">
        <v>9753</v>
      </c>
      <c r="C3328" s="5" t="s">
        <v>9752</v>
      </c>
      <c r="D3328" s="5" t="s">
        <v>22</v>
      </c>
      <c r="E3328" s="5" t="s">
        <v>42</v>
      </c>
      <c r="F3328" s="5" t="s">
        <v>599</v>
      </c>
    </row>
    <row r="3329" ht="12.75" customHeight="1">
      <c r="A3329" s="5" t="s">
        <v>9754</v>
      </c>
      <c r="B3329" s="5" t="s">
        <v>9755</v>
      </c>
      <c r="C3329" s="5" t="s">
        <v>9754</v>
      </c>
      <c r="D3329" s="5" t="s">
        <v>46</v>
      </c>
      <c r="E3329" s="5" t="s">
        <v>42</v>
      </c>
      <c r="F3329" s="5" t="s">
        <v>974</v>
      </c>
      <c r="G3329" s="10" t="s">
        <v>72</v>
      </c>
    </row>
    <row r="3330" ht="12.75" customHeight="1">
      <c r="A3330" s="5" t="s">
        <v>9756</v>
      </c>
      <c r="B3330" s="5" t="s">
        <v>9757</v>
      </c>
      <c r="C3330" s="5" t="s">
        <v>9756</v>
      </c>
      <c r="D3330" s="5" t="s">
        <v>34</v>
      </c>
      <c r="E3330" s="5" t="s">
        <v>42</v>
      </c>
      <c r="F3330" s="5" t="s">
        <v>599</v>
      </c>
      <c r="G3330" s="10" t="s">
        <v>72</v>
      </c>
    </row>
    <row r="3331" ht="12.75" customHeight="1">
      <c r="A3331" s="5" t="s">
        <v>9758</v>
      </c>
      <c r="B3331" s="5" t="s">
        <v>9759</v>
      </c>
      <c r="C3331" s="5" t="s">
        <v>691</v>
      </c>
      <c r="D3331" s="5" t="s">
        <v>67</v>
      </c>
      <c r="E3331" s="5" t="s">
        <v>35</v>
      </c>
      <c r="F3331" s="5" t="s">
        <v>1541</v>
      </c>
    </row>
    <row r="3332" ht="12.75" customHeight="1">
      <c r="A3332" s="5" t="s">
        <v>9760</v>
      </c>
      <c r="B3332" s="5" t="s">
        <v>9761</v>
      </c>
      <c r="C3332" s="5" t="s">
        <v>691</v>
      </c>
      <c r="D3332" s="5" t="s">
        <v>67</v>
      </c>
      <c r="E3332" s="5" t="s">
        <v>35</v>
      </c>
      <c r="F3332" s="5" t="s">
        <v>1535</v>
      </c>
    </row>
    <row r="3333" ht="12.75" customHeight="1">
      <c r="A3333" s="5" t="s">
        <v>9762</v>
      </c>
      <c r="B3333" s="5" t="s">
        <v>9763</v>
      </c>
      <c r="C3333" s="5" t="s">
        <v>691</v>
      </c>
      <c r="D3333" s="5" t="s">
        <v>67</v>
      </c>
      <c r="E3333" s="5" t="s">
        <v>35</v>
      </c>
      <c r="F3333" s="5" t="s">
        <v>642</v>
      </c>
    </row>
    <row r="3334" ht="12.75" customHeight="1">
      <c r="A3334" s="5" t="s">
        <v>9764</v>
      </c>
      <c r="B3334" s="5" t="s">
        <v>9765</v>
      </c>
      <c r="C3334" s="5" t="s">
        <v>691</v>
      </c>
      <c r="D3334" s="5" t="s">
        <v>67</v>
      </c>
      <c r="E3334" s="5" t="s">
        <v>35</v>
      </c>
      <c r="F3334" s="5" t="s">
        <v>624</v>
      </c>
    </row>
    <row r="3335" ht="12.75" customHeight="1">
      <c r="A3335" s="5" t="s">
        <v>9766</v>
      </c>
      <c r="B3335" s="5" t="s">
        <v>9767</v>
      </c>
      <c r="C3335" s="5" t="s">
        <v>691</v>
      </c>
      <c r="D3335" s="5" t="s">
        <v>67</v>
      </c>
      <c r="E3335" s="5" t="s">
        <v>35</v>
      </c>
      <c r="F3335" s="5" t="s">
        <v>561</v>
      </c>
    </row>
    <row r="3336" ht="12.75" customHeight="1">
      <c r="A3336" s="5" t="s">
        <v>9768</v>
      </c>
      <c r="B3336" s="5" t="s">
        <v>9769</v>
      </c>
      <c r="C3336" s="5" t="s">
        <v>691</v>
      </c>
      <c r="D3336" s="5" t="s">
        <v>67</v>
      </c>
      <c r="E3336" s="5" t="s">
        <v>35</v>
      </c>
      <c r="F3336" s="5" t="s">
        <v>642</v>
      </c>
    </row>
    <row r="3337" ht="12.75" customHeight="1">
      <c r="A3337" s="5" t="s">
        <v>9770</v>
      </c>
      <c r="B3337" s="5" t="s">
        <v>9771</v>
      </c>
      <c r="C3337" s="5" t="s">
        <v>691</v>
      </c>
      <c r="D3337" s="5" t="s">
        <v>67</v>
      </c>
      <c r="E3337" s="5" t="s">
        <v>35</v>
      </c>
      <c r="F3337" s="5" t="s">
        <v>9772</v>
      </c>
    </row>
    <row r="3338" ht="12.75" customHeight="1">
      <c r="A3338" s="5" t="s">
        <v>9773</v>
      </c>
      <c r="B3338" s="5" t="s">
        <v>9774</v>
      </c>
      <c r="C3338" s="5" t="s">
        <v>691</v>
      </c>
      <c r="D3338" s="5" t="s">
        <v>67</v>
      </c>
      <c r="E3338" s="5" t="s">
        <v>35</v>
      </c>
      <c r="F3338" s="5" t="s">
        <v>624</v>
      </c>
    </row>
    <row r="3339" ht="12.75" customHeight="1">
      <c r="A3339" s="5" t="s">
        <v>9775</v>
      </c>
      <c r="B3339" s="5" t="s">
        <v>9776</v>
      </c>
      <c r="C3339" s="5" t="s">
        <v>691</v>
      </c>
      <c r="D3339" s="5" t="s">
        <v>67</v>
      </c>
      <c r="E3339" s="5" t="s">
        <v>35</v>
      </c>
      <c r="F3339" s="5" t="s">
        <v>411</v>
      </c>
    </row>
    <row r="3340" ht="12.75" customHeight="1">
      <c r="A3340" s="5" t="s">
        <v>9777</v>
      </c>
      <c r="B3340" s="5" t="s">
        <v>9778</v>
      </c>
      <c r="C3340" s="5" t="s">
        <v>691</v>
      </c>
      <c r="D3340" s="5" t="s">
        <v>67</v>
      </c>
      <c r="E3340" s="5" t="s">
        <v>35</v>
      </c>
      <c r="F3340" s="5" t="s">
        <v>1666</v>
      </c>
    </row>
    <row r="3341" ht="12.75" customHeight="1">
      <c r="A3341" s="5" t="s">
        <v>9779</v>
      </c>
      <c r="B3341" s="5" t="s">
        <v>9780</v>
      </c>
      <c r="C3341" s="5" t="s">
        <v>691</v>
      </c>
      <c r="D3341" s="5" t="s">
        <v>67</v>
      </c>
      <c r="E3341" s="5" t="s">
        <v>42</v>
      </c>
      <c r="F3341" s="5" t="s">
        <v>1898</v>
      </c>
    </row>
    <row r="3342" ht="12.75" customHeight="1">
      <c r="A3342" s="5" t="s">
        <v>9781</v>
      </c>
      <c r="B3342" s="5" t="s">
        <v>9782</v>
      </c>
      <c r="C3342" s="5" t="s">
        <v>691</v>
      </c>
      <c r="D3342" s="5" t="s">
        <v>67</v>
      </c>
      <c r="E3342" s="5" t="s">
        <v>42</v>
      </c>
      <c r="F3342" s="5" t="s">
        <v>654</v>
      </c>
    </row>
    <row r="3343" ht="12.75" customHeight="1">
      <c r="A3343" s="5" t="s">
        <v>9783</v>
      </c>
      <c r="B3343" s="5" t="s">
        <v>9784</v>
      </c>
      <c r="C3343" s="5" t="s">
        <v>691</v>
      </c>
      <c r="D3343" s="5" t="s">
        <v>67</v>
      </c>
      <c r="E3343" s="5" t="s">
        <v>42</v>
      </c>
      <c r="F3343" s="5" t="s">
        <v>1260</v>
      </c>
    </row>
    <row r="3344" ht="12.75" customHeight="1">
      <c r="A3344" s="5" t="s">
        <v>9785</v>
      </c>
      <c r="B3344" s="5" t="s">
        <v>9786</v>
      </c>
      <c r="C3344" s="5" t="s">
        <v>691</v>
      </c>
      <c r="D3344" s="5" t="s">
        <v>67</v>
      </c>
      <c r="E3344" s="5" t="s">
        <v>42</v>
      </c>
      <c r="F3344" s="5" t="s">
        <v>1727</v>
      </c>
    </row>
    <row r="3345" ht="12.75" customHeight="1">
      <c r="A3345" s="5" t="s">
        <v>9787</v>
      </c>
      <c r="B3345" s="5" t="s">
        <v>9788</v>
      </c>
      <c r="C3345" s="5" t="s">
        <v>691</v>
      </c>
      <c r="D3345" s="5" t="s">
        <v>67</v>
      </c>
      <c r="E3345" s="5" t="s">
        <v>42</v>
      </c>
      <c r="F3345" s="5" t="s">
        <v>1577</v>
      </c>
    </row>
    <row r="3346" ht="12.75" customHeight="1">
      <c r="A3346" s="5" t="s">
        <v>9789</v>
      </c>
      <c r="B3346" s="5" t="s">
        <v>9790</v>
      </c>
      <c r="C3346" s="5" t="s">
        <v>691</v>
      </c>
      <c r="D3346" s="5" t="s">
        <v>67</v>
      </c>
      <c r="E3346" s="5" t="s">
        <v>42</v>
      </c>
      <c r="F3346" s="5" t="s">
        <v>1033</v>
      </c>
    </row>
    <row r="3347" ht="12.75" customHeight="1">
      <c r="A3347" s="5" t="s">
        <v>9791</v>
      </c>
      <c r="B3347" s="5" t="s">
        <v>9792</v>
      </c>
      <c r="C3347" s="5" t="s">
        <v>691</v>
      </c>
      <c r="D3347" s="5" t="s">
        <v>67</v>
      </c>
      <c r="E3347" s="5" t="s">
        <v>42</v>
      </c>
      <c r="F3347" s="5" t="s">
        <v>1033</v>
      </c>
    </row>
    <row r="3348" ht="12.75" customHeight="1">
      <c r="A3348" s="5" t="s">
        <v>9793</v>
      </c>
      <c r="B3348" s="5" t="s">
        <v>9794</v>
      </c>
      <c r="C3348" s="5" t="s">
        <v>691</v>
      </c>
      <c r="D3348" s="5" t="s">
        <v>67</v>
      </c>
      <c r="E3348" s="5" t="s">
        <v>42</v>
      </c>
      <c r="F3348" s="5" t="s">
        <v>654</v>
      </c>
    </row>
    <row r="3349" ht="12.75" customHeight="1">
      <c r="A3349" s="5" t="s">
        <v>9795</v>
      </c>
      <c r="B3349" s="5" t="s">
        <v>9796</v>
      </c>
      <c r="C3349" s="5" t="s">
        <v>691</v>
      </c>
      <c r="D3349" s="5" t="s">
        <v>67</v>
      </c>
      <c r="E3349" s="5" t="s">
        <v>42</v>
      </c>
      <c r="F3349" s="5" t="s">
        <v>1308</v>
      </c>
    </row>
    <row r="3350" ht="12.75" customHeight="1">
      <c r="A3350" s="5" t="s">
        <v>9797</v>
      </c>
      <c r="B3350" s="5" t="s">
        <v>9798</v>
      </c>
      <c r="C3350" s="5" t="s">
        <v>691</v>
      </c>
      <c r="D3350" s="5" t="s">
        <v>67</v>
      </c>
      <c r="E3350" s="5" t="s">
        <v>42</v>
      </c>
      <c r="F3350" s="5" t="s">
        <v>1714</v>
      </c>
    </row>
    <row r="3351" ht="12.75" customHeight="1">
      <c r="A3351" s="5" t="s">
        <v>9799</v>
      </c>
      <c r="B3351" s="10" t="s">
        <v>9800</v>
      </c>
      <c r="C3351" s="5" t="s">
        <v>9799</v>
      </c>
      <c r="D3351" s="5" t="s">
        <v>34</v>
      </c>
      <c r="E3351" s="5" t="s">
        <v>42</v>
      </c>
      <c r="F3351" s="5" t="s">
        <v>657</v>
      </c>
    </row>
    <row r="3352" ht="12.75" customHeight="1">
      <c r="A3352" s="5" t="s">
        <v>9801</v>
      </c>
      <c r="B3352" s="5" t="s">
        <v>9802</v>
      </c>
      <c r="C3352" s="5" t="s">
        <v>9803</v>
      </c>
      <c r="D3352" s="5" t="s">
        <v>30</v>
      </c>
      <c r="E3352" s="5" t="s">
        <v>42</v>
      </c>
      <c r="F3352" s="5" t="s">
        <v>974</v>
      </c>
      <c r="G3352" s="10" t="s">
        <v>72</v>
      </c>
      <c r="H3352" s="5" t="s">
        <v>1153</v>
      </c>
    </row>
    <row r="3353" ht="12.75" customHeight="1">
      <c r="A3353" s="5" t="s">
        <v>9804</v>
      </c>
      <c r="B3353" s="5" t="s">
        <v>9805</v>
      </c>
      <c r="C3353" s="5" t="s">
        <v>9804</v>
      </c>
      <c r="D3353" s="5" t="s">
        <v>34</v>
      </c>
      <c r="E3353" s="5" t="s">
        <v>35</v>
      </c>
      <c r="F3353" s="5" t="s">
        <v>189</v>
      </c>
    </row>
    <row r="3354" ht="12.75" customHeight="1">
      <c r="A3354" s="5" t="s">
        <v>9806</v>
      </c>
      <c r="B3354" s="5" t="s">
        <v>9807</v>
      </c>
      <c r="C3354" s="5" t="s">
        <v>9806</v>
      </c>
      <c r="D3354" s="5" t="s">
        <v>46</v>
      </c>
      <c r="E3354" s="5" t="s">
        <v>42</v>
      </c>
      <c r="F3354" s="5" t="s">
        <v>967</v>
      </c>
      <c r="G3354" s="10" t="s">
        <v>72</v>
      </c>
    </row>
    <row r="3355" ht="12.75" customHeight="1">
      <c r="A3355" s="5" t="s">
        <v>9808</v>
      </c>
      <c r="B3355" s="5" t="s">
        <v>9809</v>
      </c>
      <c r="C3355" s="5" t="s">
        <v>9810</v>
      </c>
      <c r="D3355" s="5" t="s">
        <v>50</v>
      </c>
      <c r="E3355" s="5" t="s">
        <v>42</v>
      </c>
      <c r="F3355" s="5" t="s">
        <v>720</v>
      </c>
    </row>
    <row r="3356" ht="12.75" customHeight="1">
      <c r="A3356" s="5" t="s">
        <v>9811</v>
      </c>
      <c r="B3356" s="10" t="s">
        <v>9812</v>
      </c>
      <c r="C3356" s="5" t="s">
        <v>9811</v>
      </c>
      <c r="D3356" s="5" t="s">
        <v>34</v>
      </c>
      <c r="E3356" s="5" t="s">
        <v>42</v>
      </c>
      <c r="F3356" s="5" t="s">
        <v>54</v>
      </c>
    </row>
    <row r="3357" ht="12.75" customHeight="1">
      <c r="A3357" s="5" t="s">
        <v>9813</v>
      </c>
      <c r="B3357" s="5" t="s">
        <v>9814</v>
      </c>
      <c r="C3357" s="5" t="s">
        <v>9815</v>
      </c>
      <c r="D3357" s="5" t="s">
        <v>50</v>
      </c>
      <c r="E3357" s="5" t="s">
        <v>35</v>
      </c>
      <c r="F3357" s="5" t="s">
        <v>616</v>
      </c>
    </row>
    <row r="3358" ht="12.75" customHeight="1">
      <c r="A3358" s="5" t="s">
        <v>9816</v>
      </c>
      <c r="B3358" s="5" t="s">
        <v>9817</v>
      </c>
      <c r="C3358" s="5" t="s">
        <v>9818</v>
      </c>
      <c r="D3358" s="5" t="s">
        <v>50</v>
      </c>
      <c r="E3358" s="5" t="s">
        <v>42</v>
      </c>
      <c r="F3358" s="5" t="s">
        <v>113</v>
      </c>
      <c r="G3358" s="10" t="s">
        <v>72</v>
      </c>
    </row>
    <row r="3359" ht="12.75" customHeight="1">
      <c r="A3359" s="5" t="s">
        <v>9819</v>
      </c>
      <c r="B3359" s="5" t="s">
        <v>9820</v>
      </c>
      <c r="C3359" s="5" t="s">
        <v>9821</v>
      </c>
      <c r="D3359" s="5" t="s">
        <v>50</v>
      </c>
      <c r="E3359" s="5" t="s">
        <v>42</v>
      </c>
      <c r="F3359" s="5" t="s">
        <v>756</v>
      </c>
    </row>
    <row r="3360" ht="12.75" customHeight="1">
      <c r="A3360" s="5" t="s">
        <v>9822</v>
      </c>
      <c r="B3360" s="5" t="s">
        <v>9823</v>
      </c>
      <c r="C3360" s="5" t="s">
        <v>9822</v>
      </c>
      <c r="D3360" s="5" t="s">
        <v>22</v>
      </c>
      <c r="E3360" s="5" t="s">
        <v>42</v>
      </c>
      <c r="F3360" s="5" t="s">
        <v>65</v>
      </c>
    </row>
    <row r="3361" ht="12.75" customHeight="1">
      <c r="A3361" s="5" t="s">
        <v>9824</v>
      </c>
      <c r="B3361" s="5" t="s">
        <v>9825</v>
      </c>
      <c r="C3361" s="5" t="s">
        <v>9826</v>
      </c>
      <c r="D3361" s="5" t="s">
        <v>22</v>
      </c>
      <c r="E3361" s="5" t="s">
        <v>42</v>
      </c>
      <c r="F3361" s="5" t="s">
        <v>83</v>
      </c>
      <c r="G3361" s="10" t="s">
        <v>72</v>
      </c>
    </row>
    <row r="3362" ht="12.75" customHeight="1">
      <c r="A3362" s="5" t="s">
        <v>9827</v>
      </c>
      <c r="B3362" s="5" t="s">
        <v>9828</v>
      </c>
      <c r="C3362" s="5" t="s">
        <v>4720</v>
      </c>
      <c r="D3362" s="5" t="s">
        <v>22</v>
      </c>
      <c r="E3362" s="5" t="s">
        <v>42</v>
      </c>
      <c r="F3362" s="5" t="s">
        <v>610</v>
      </c>
      <c r="H3362" s="5" t="s">
        <v>4422</v>
      </c>
      <c r="I3362" s="10" t="s">
        <v>72</v>
      </c>
    </row>
    <row r="3363" ht="12.75" customHeight="1">
      <c r="A3363" s="5" t="s">
        <v>9829</v>
      </c>
      <c r="B3363" s="10" t="s">
        <v>9830</v>
      </c>
      <c r="C3363" s="5" t="s">
        <v>691</v>
      </c>
      <c r="D3363" s="5" t="s">
        <v>34</v>
      </c>
      <c r="E3363" s="5" t="s">
        <v>42</v>
      </c>
      <c r="F3363" s="5" t="s">
        <v>556</v>
      </c>
    </row>
    <row r="3364" ht="12.75" customHeight="1">
      <c r="A3364" s="5" t="s">
        <v>9831</v>
      </c>
      <c r="B3364" s="5" t="s">
        <v>9832</v>
      </c>
      <c r="D3364" s="5" t="s">
        <v>822</v>
      </c>
      <c r="E3364" s="5" t="s">
        <v>42</v>
      </c>
      <c r="F3364" s="5" t="s">
        <v>454</v>
      </c>
    </row>
    <row r="3365" ht="12.75" customHeight="1">
      <c r="A3365" s="5" t="s">
        <v>9833</v>
      </c>
      <c r="B3365" s="5" t="s">
        <v>9834</v>
      </c>
      <c r="D3365" s="5" t="s">
        <v>822</v>
      </c>
      <c r="E3365" s="5" t="s">
        <v>42</v>
      </c>
      <c r="F3365" s="5" t="s">
        <v>454</v>
      </c>
    </row>
    <row r="3366" ht="12.75" customHeight="1">
      <c r="A3366" s="5" t="s">
        <v>9835</v>
      </c>
      <c r="B3366" s="5" t="s">
        <v>9836</v>
      </c>
      <c r="C3366" s="5" t="s">
        <v>691</v>
      </c>
      <c r="D3366" s="5" t="s">
        <v>55</v>
      </c>
      <c r="E3366" s="5" t="s">
        <v>42</v>
      </c>
      <c r="F3366" s="5" t="s">
        <v>454</v>
      </c>
    </row>
    <row r="3367" ht="12.75" customHeight="1">
      <c r="A3367" s="5" t="s">
        <v>9837</v>
      </c>
      <c r="B3367" s="5" t="s">
        <v>9838</v>
      </c>
      <c r="C3367" s="5" t="s">
        <v>9839</v>
      </c>
      <c r="D3367" s="5" t="s">
        <v>34</v>
      </c>
      <c r="E3367" s="5" t="s">
        <v>42</v>
      </c>
      <c r="F3367" s="5" t="s">
        <v>167</v>
      </c>
    </row>
    <row r="3368" ht="12.75" customHeight="1">
      <c r="A3368" s="5" t="s">
        <v>9840</v>
      </c>
      <c r="B3368" s="5" t="s">
        <v>9841</v>
      </c>
      <c r="C3368" s="5" t="s">
        <v>9842</v>
      </c>
      <c r="D3368" s="5" t="s">
        <v>12</v>
      </c>
      <c r="E3368" s="5" t="s">
        <v>42</v>
      </c>
      <c r="F3368" s="5" t="s">
        <v>356</v>
      </c>
    </row>
    <row r="3369" ht="12.75" customHeight="1">
      <c r="A3369" s="5" t="s">
        <v>9843</v>
      </c>
      <c r="B3369" s="5" t="s">
        <v>9844</v>
      </c>
      <c r="C3369" s="5" t="s">
        <v>9845</v>
      </c>
      <c r="D3369" s="5" t="s">
        <v>34</v>
      </c>
      <c r="E3369" s="5" t="s">
        <v>42</v>
      </c>
      <c r="F3369" s="5" t="s">
        <v>199</v>
      </c>
    </row>
    <row r="3370" ht="12.75" customHeight="1">
      <c r="A3370" s="5" t="s">
        <v>9846</v>
      </c>
      <c r="B3370" s="5" t="s">
        <v>9847</v>
      </c>
      <c r="C3370" s="5" t="s">
        <v>9848</v>
      </c>
      <c r="D3370" s="5" t="s">
        <v>74</v>
      </c>
      <c r="E3370" s="5" t="s">
        <v>35</v>
      </c>
      <c r="F3370" s="5" t="s">
        <v>267</v>
      </c>
    </row>
    <row r="3371" ht="12.75" customHeight="1">
      <c r="A3371" s="5" t="s">
        <v>6795</v>
      </c>
      <c r="B3371" s="5" t="s">
        <v>9849</v>
      </c>
      <c r="D3371" s="5" t="s">
        <v>50</v>
      </c>
      <c r="E3371" s="5" t="s">
        <v>35</v>
      </c>
      <c r="F3371" s="5" t="s">
        <v>1776</v>
      </c>
      <c r="G3371" s="10" t="s">
        <v>72</v>
      </c>
      <c r="H3371" s="5" t="s">
        <v>6793</v>
      </c>
    </row>
    <row r="3372" ht="12.75" customHeight="1">
      <c r="A3372" s="5" t="s">
        <v>9850</v>
      </c>
      <c r="B3372" s="5" t="s">
        <v>9851</v>
      </c>
      <c r="D3372" s="5" t="s">
        <v>34</v>
      </c>
      <c r="E3372" s="5" t="s">
        <v>42</v>
      </c>
      <c r="F3372" s="5" t="s">
        <v>167</v>
      </c>
      <c r="G3372" s="10" t="s">
        <v>72</v>
      </c>
      <c r="H3372" s="5" t="s">
        <v>2782</v>
      </c>
    </row>
    <row r="3373" ht="12.75" customHeight="1">
      <c r="A3373" s="5" t="s">
        <v>6809</v>
      </c>
      <c r="B3373" s="5" t="s">
        <v>9852</v>
      </c>
      <c r="D3373" s="5" t="s">
        <v>74</v>
      </c>
      <c r="E3373" s="5" t="s">
        <v>35</v>
      </c>
      <c r="F3373" s="5" t="s">
        <v>695</v>
      </c>
      <c r="G3373" s="10" t="s">
        <v>72</v>
      </c>
      <c r="H3373" s="5" t="s">
        <v>6806</v>
      </c>
    </row>
    <row r="3374" ht="12.75" customHeight="1">
      <c r="A3374" s="5" t="s">
        <v>9853</v>
      </c>
      <c r="B3374" s="5" t="s">
        <v>9854</v>
      </c>
      <c r="C3374" s="5" t="s">
        <v>9855</v>
      </c>
      <c r="D3374" s="5" t="s">
        <v>50</v>
      </c>
      <c r="E3374" s="5" t="s">
        <v>42</v>
      </c>
      <c r="F3374" s="5" t="s">
        <v>162</v>
      </c>
    </row>
    <row r="3375" ht="12.75" customHeight="1">
      <c r="A3375" s="5" t="s">
        <v>9856</v>
      </c>
      <c r="B3375" s="5" t="s">
        <v>9857</v>
      </c>
      <c r="C3375" s="5" t="s">
        <v>9856</v>
      </c>
      <c r="D3375" s="5" t="s">
        <v>46</v>
      </c>
      <c r="E3375" s="5" t="s">
        <v>42</v>
      </c>
      <c r="F3375" s="5" t="s">
        <v>157</v>
      </c>
    </row>
    <row r="3376" ht="12.75" customHeight="1">
      <c r="A3376" s="5" t="s">
        <v>9858</v>
      </c>
      <c r="B3376" s="5" t="s">
        <v>9859</v>
      </c>
      <c r="C3376" s="5" t="s">
        <v>9860</v>
      </c>
      <c r="D3376" s="5" t="s">
        <v>50</v>
      </c>
      <c r="E3376" s="5" t="s">
        <v>42</v>
      </c>
      <c r="F3376" s="5" t="s">
        <v>54</v>
      </c>
    </row>
    <row r="3377" ht="12.75" customHeight="1">
      <c r="A3377" s="5" t="s">
        <v>9861</v>
      </c>
      <c r="B3377" s="5" t="s">
        <v>9862</v>
      </c>
      <c r="C3377" s="5" t="s">
        <v>9861</v>
      </c>
      <c r="D3377" s="5" t="s">
        <v>38</v>
      </c>
      <c r="E3377" s="5" t="s">
        <v>42</v>
      </c>
      <c r="F3377" s="5" t="s">
        <v>572</v>
      </c>
    </row>
    <row r="3378" ht="12.75" customHeight="1">
      <c r="A3378" s="5" t="s">
        <v>9863</v>
      </c>
      <c r="B3378" s="5" t="s">
        <v>9864</v>
      </c>
      <c r="C3378" s="5" t="s">
        <v>9863</v>
      </c>
      <c r="D3378" s="5" t="s">
        <v>34</v>
      </c>
      <c r="E3378" s="5" t="s">
        <v>42</v>
      </c>
      <c r="F3378" s="5" t="s">
        <v>162</v>
      </c>
    </row>
    <row r="3379" ht="12.75" customHeight="1">
      <c r="A3379" s="5" t="s">
        <v>9865</v>
      </c>
      <c r="B3379" s="5" t="s">
        <v>9866</v>
      </c>
      <c r="C3379" s="5" t="s">
        <v>9865</v>
      </c>
      <c r="D3379" s="5" t="s">
        <v>22</v>
      </c>
      <c r="E3379" s="5" t="s">
        <v>42</v>
      </c>
      <c r="F3379" s="5" t="s">
        <v>610</v>
      </c>
      <c r="H3379" s="5" t="s">
        <v>4422</v>
      </c>
      <c r="I3379" s="10" t="s">
        <v>72</v>
      </c>
    </row>
    <row r="3380" ht="12.75" customHeight="1">
      <c r="A3380" s="5" t="s">
        <v>9867</v>
      </c>
      <c r="B3380" s="5" t="s">
        <v>9868</v>
      </c>
      <c r="C3380" s="5" t="s">
        <v>9867</v>
      </c>
      <c r="D3380" s="5" t="s">
        <v>34</v>
      </c>
      <c r="E3380" s="5" t="s">
        <v>42</v>
      </c>
      <c r="F3380" s="5" t="s">
        <v>634</v>
      </c>
      <c r="G3380" s="10" t="s">
        <v>72</v>
      </c>
    </row>
    <row r="3381" ht="12.75" customHeight="1">
      <c r="A3381" s="5" t="s">
        <v>9869</v>
      </c>
      <c r="B3381" s="5" t="s">
        <v>9870</v>
      </c>
      <c r="C3381" s="5" t="s">
        <v>9869</v>
      </c>
      <c r="D3381" s="5" t="s">
        <v>34</v>
      </c>
      <c r="E3381" s="5" t="s">
        <v>42</v>
      </c>
      <c r="F3381" s="5" t="s">
        <v>54</v>
      </c>
    </row>
    <row r="3382" ht="12.75" customHeight="1">
      <c r="A3382" s="5" t="s">
        <v>9871</v>
      </c>
      <c r="B3382" s="5" t="s">
        <v>9872</v>
      </c>
      <c r="C3382" s="5" t="s">
        <v>9873</v>
      </c>
      <c r="D3382" s="5" t="s">
        <v>30</v>
      </c>
      <c r="E3382" s="5" t="s">
        <v>42</v>
      </c>
      <c r="F3382" s="5" t="s">
        <v>157</v>
      </c>
    </row>
    <row r="3383" ht="12.75" customHeight="1">
      <c r="A3383" s="5" t="s">
        <v>9874</v>
      </c>
      <c r="B3383" s="5" t="s">
        <v>9875</v>
      </c>
      <c r="C3383" s="5" t="s">
        <v>9876</v>
      </c>
      <c r="D3383" s="5" t="s">
        <v>30</v>
      </c>
      <c r="E3383" s="5" t="s">
        <v>42</v>
      </c>
      <c r="F3383" s="5" t="s">
        <v>967</v>
      </c>
      <c r="G3383" s="10" t="s">
        <v>72</v>
      </c>
    </row>
    <row r="3384" ht="12.75" customHeight="1">
      <c r="A3384" s="5" t="s">
        <v>9877</v>
      </c>
      <c r="B3384" s="5" t="s">
        <v>9878</v>
      </c>
      <c r="C3384" s="5" t="s">
        <v>9877</v>
      </c>
      <c r="D3384" s="5" t="s">
        <v>74</v>
      </c>
      <c r="E3384" s="5" t="s">
        <v>42</v>
      </c>
      <c r="F3384" s="5" t="s">
        <v>1044</v>
      </c>
    </row>
    <row r="3385" ht="12.75" customHeight="1">
      <c r="A3385" s="5" t="s">
        <v>9879</v>
      </c>
      <c r="B3385" s="5" t="s">
        <v>9880</v>
      </c>
      <c r="C3385" s="5" t="s">
        <v>9881</v>
      </c>
      <c r="D3385" s="5" t="s">
        <v>55</v>
      </c>
      <c r="E3385" s="5" t="s">
        <v>35</v>
      </c>
      <c r="F3385" s="5" t="s">
        <v>1465</v>
      </c>
    </row>
    <row r="3386" ht="12.75" customHeight="1">
      <c r="A3386" s="5" t="s">
        <v>9882</v>
      </c>
      <c r="B3386" s="5" t="s">
        <v>9883</v>
      </c>
      <c r="C3386" s="5" t="s">
        <v>9884</v>
      </c>
      <c r="D3386" s="5" t="s">
        <v>50</v>
      </c>
      <c r="E3386" s="5" t="s">
        <v>42</v>
      </c>
      <c r="F3386" s="5" t="s">
        <v>575</v>
      </c>
    </row>
    <row r="3387" ht="12.75" customHeight="1">
      <c r="A3387" s="5" t="s">
        <v>9885</v>
      </c>
      <c r="B3387" s="5" t="s">
        <v>9886</v>
      </c>
      <c r="C3387" s="5" t="s">
        <v>691</v>
      </c>
      <c r="D3387" s="5" t="s">
        <v>74</v>
      </c>
      <c r="E3387" s="5" t="s">
        <v>35</v>
      </c>
      <c r="F3387" s="5" t="s">
        <v>713</v>
      </c>
    </row>
    <row r="3388" ht="12.75" customHeight="1">
      <c r="A3388" s="5" t="s">
        <v>9887</v>
      </c>
      <c r="B3388" s="5" t="s">
        <v>9888</v>
      </c>
      <c r="C3388" s="5" t="s">
        <v>691</v>
      </c>
      <c r="D3388" s="5" t="s">
        <v>74</v>
      </c>
      <c r="E3388" s="5" t="s">
        <v>35</v>
      </c>
      <c r="F3388" s="5" t="s">
        <v>813</v>
      </c>
    </row>
    <row r="3389" ht="12.75" customHeight="1">
      <c r="A3389" s="5" t="s">
        <v>9889</v>
      </c>
      <c r="B3389" s="5" t="s">
        <v>9890</v>
      </c>
      <c r="C3389" s="5" t="s">
        <v>691</v>
      </c>
      <c r="D3389" s="5" t="s">
        <v>74</v>
      </c>
      <c r="E3389" s="5" t="s">
        <v>35</v>
      </c>
      <c r="F3389" s="5" t="s">
        <v>1238</v>
      </c>
    </row>
    <row r="3390" ht="12.75" customHeight="1">
      <c r="A3390" s="5" t="s">
        <v>9891</v>
      </c>
      <c r="B3390" s="5" t="s">
        <v>9892</v>
      </c>
      <c r="C3390" s="5" t="s">
        <v>691</v>
      </c>
      <c r="D3390" s="5" t="s">
        <v>74</v>
      </c>
      <c r="E3390" s="5" t="s">
        <v>35</v>
      </c>
      <c r="F3390" s="5" t="s">
        <v>616</v>
      </c>
    </row>
    <row r="3391" ht="12.75" customHeight="1">
      <c r="A3391" s="5" t="s">
        <v>9893</v>
      </c>
      <c r="B3391" s="5" t="s">
        <v>9894</v>
      </c>
      <c r="C3391" s="5" t="s">
        <v>691</v>
      </c>
      <c r="D3391" s="5" t="s">
        <v>74</v>
      </c>
      <c r="E3391" s="5" t="s">
        <v>35</v>
      </c>
      <c r="F3391" s="5" t="s">
        <v>913</v>
      </c>
    </row>
    <row r="3392" ht="12.75" customHeight="1">
      <c r="A3392" s="5" t="s">
        <v>9895</v>
      </c>
      <c r="B3392" s="5" t="s">
        <v>9896</v>
      </c>
      <c r="C3392" s="5" t="s">
        <v>691</v>
      </c>
      <c r="D3392" s="5" t="s">
        <v>74</v>
      </c>
      <c r="E3392" s="5" t="s">
        <v>35</v>
      </c>
      <c r="F3392" s="5" t="s">
        <v>77</v>
      </c>
    </row>
    <row r="3393" ht="12.75" customHeight="1">
      <c r="A3393" s="5" t="s">
        <v>9897</v>
      </c>
      <c r="B3393" s="5" t="s">
        <v>9898</v>
      </c>
      <c r="C3393" s="5" t="s">
        <v>691</v>
      </c>
      <c r="D3393" s="5" t="s">
        <v>74</v>
      </c>
      <c r="E3393" s="5" t="s">
        <v>35</v>
      </c>
      <c r="F3393" s="5" t="s">
        <v>813</v>
      </c>
    </row>
    <row r="3394" ht="12.75" customHeight="1">
      <c r="A3394" s="5" t="s">
        <v>9899</v>
      </c>
      <c r="B3394" s="5" t="s">
        <v>9900</v>
      </c>
      <c r="C3394" s="5" t="s">
        <v>691</v>
      </c>
      <c r="D3394" s="5" t="s">
        <v>74</v>
      </c>
      <c r="E3394" s="5" t="s">
        <v>35</v>
      </c>
      <c r="F3394" s="5" t="s">
        <v>4630</v>
      </c>
    </row>
    <row r="3395" ht="12.75" customHeight="1">
      <c r="A3395" s="5" t="s">
        <v>9901</v>
      </c>
      <c r="B3395" s="5" t="s">
        <v>9902</v>
      </c>
      <c r="C3395" s="5" t="s">
        <v>691</v>
      </c>
      <c r="D3395" s="5" t="s">
        <v>74</v>
      </c>
      <c r="E3395" s="5" t="s">
        <v>35</v>
      </c>
      <c r="F3395" s="5" t="s">
        <v>605</v>
      </c>
    </row>
    <row r="3396" ht="12.75" customHeight="1">
      <c r="A3396" s="5" t="s">
        <v>9903</v>
      </c>
      <c r="B3396" s="5" t="s">
        <v>9904</v>
      </c>
      <c r="C3396" s="5" t="s">
        <v>691</v>
      </c>
      <c r="D3396" s="5" t="s">
        <v>74</v>
      </c>
      <c r="E3396" s="5" t="s">
        <v>35</v>
      </c>
      <c r="F3396" s="5" t="s">
        <v>90</v>
      </c>
    </row>
    <row r="3397" ht="12.75" customHeight="1">
      <c r="A3397" s="5" t="s">
        <v>9905</v>
      </c>
      <c r="B3397" s="5" t="s">
        <v>9906</v>
      </c>
      <c r="C3397" s="5" t="s">
        <v>691</v>
      </c>
      <c r="D3397" s="5" t="s">
        <v>74</v>
      </c>
      <c r="E3397" s="5" t="s">
        <v>42</v>
      </c>
      <c r="F3397" s="5" t="s">
        <v>686</v>
      </c>
    </row>
    <row r="3398" ht="12.75" customHeight="1">
      <c r="A3398" s="5" t="s">
        <v>9907</v>
      </c>
      <c r="B3398" s="10" t="s">
        <v>9908</v>
      </c>
      <c r="C3398" s="5" t="s">
        <v>691</v>
      </c>
      <c r="D3398" s="5" t="s">
        <v>74</v>
      </c>
      <c r="E3398" s="5" t="s">
        <v>42</v>
      </c>
      <c r="F3398" s="5" t="s">
        <v>219</v>
      </c>
    </row>
    <row r="3399" ht="12.75" customHeight="1">
      <c r="A3399" s="5" t="s">
        <v>9909</v>
      </c>
      <c r="B3399" s="5" t="s">
        <v>9910</v>
      </c>
      <c r="C3399" s="5" t="s">
        <v>691</v>
      </c>
      <c r="D3399" s="5" t="s">
        <v>74</v>
      </c>
      <c r="E3399" s="5" t="s">
        <v>42</v>
      </c>
      <c r="F3399" s="5" t="s">
        <v>445</v>
      </c>
    </row>
    <row r="3400" ht="12.75" customHeight="1">
      <c r="A3400" s="5" t="s">
        <v>9911</v>
      </c>
      <c r="B3400" s="10" t="s">
        <v>9912</v>
      </c>
      <c r="C3400" s="5" t="s">
        <v>691</v>
      </c>
      <c r="D3400" s="5" t="s">
        <v>74</v>
      </c>
      <c r="E3400" s="5" t="s">
        <v>42</v>
      </c>
      <c r="F3400" s="5" t="s">
        <v>1044</v>
      </c>
    </row>
    <row r="3401" ht="12.75" customHeight="1">
      <c r="A3401" s="5" t="s">
        <v>9913</v>
      </c>
      <c r="B3401" s="10" t="s">
        <v>9914</v>
      </c>
      <c r="C3401" s="5" t="s">
        <v>691</v>
      </c>
      <c r="D3401" s="5" t="s">
        <v>74</v>
      </c>
      <c r="E3401" s="5" t="s">
        <v>42</v>
      </c>
      <c r="F3401" s="5" t="s">
        <v>686</v>
      </c>
    </row>
    <row r="3402" ht="12.75" customHeight="1">
      <c r="A3402" s="5" t="s">
        <v>9915</v>
      </c>
      <c r="B3402" s="5" t="s">
        <v>9916</v>
      </c>
      <c r="C3402" s="5" t="s">
        <v>691</v>
      </c>
      <c r="D3402" s="5" t="s">
        <v>74</v>
      </c>
      <c r="E3402" s="5" t="s">
        <v>42</v>
      </c>
      <c r="F3402" s="5" t="s">
        <v>445</v>
      </c>
    </row>
    <row r="3403" ht="12.75" customHeight="1">
      <c r="A3403" s="5" t="s">
        <v>9917</v>
      </c>
      <c r="B3403" s="5" t="s">
        <v>9918</v>
      </c>
      <c r="C3403" s="5" t="s">
        <v>691</v>
      </c>
      <c r="D3403" s="5" t="s">
        <v>74</v>
      </c>
      <c r="E3403" s="5" t="s">
        <v>42</v>
      </c>
      <c r="F3403" s="5" t="s">
        <v>228</v>
      </c>
    </row>
    <row r="3404" ht="12.75" customHeight="1">
      <c r="A3404" s="5" t="s">
        <v>9919</v>
      </c>
      <c r="B3404" s="5" t="s">
        <v>9920</v>
      </c>
      <c r="C3404" s="5" t="s">
        <v>691</v>
      </c>
      <c r="D3404" s="5" t="s">
        <v>74</v>
      </c>
      <c r="E3404" s="5" t="s">
        <v>42</v>
      </c>
      <c r="F3404" s="5" t="s">
        <v>435</v>
      </c>
    </row>
    <row r="3405" ht="12.75" customHeight="1">
      <c r="A3405" s="5" t="s">
        <v>9921</v>
      </c>
      <c r="B3405" s="5" t="s">
        <v>9922</v>
      </c>
      <c r="C3405" s="5" t="s">
        <v>691</v>
      </c>
      <c r="D3405" s="5" t="s">
        <v>74</v>
      </c>
      <c r="E3405" s="5" t="s">
        <v>42</v>
      </c>
      <c r="F3405" s="5" t="s">
        <v>445</v>
      </c>
    </row>
    <row r="3406" ht="12.75" customHeight="1">
      <c r="A3406" s="5" t="s">
        <v>9923</v>
      </c>
      <c r="B3406" s="5" t="s">
        <v>9924</v>
      </c>
      <c r="C3406" s="5" t="s">
        <v>691</v>
      </c>
      <c r="D3406" s="5" t="s">
        <v>74</v>
      </c>
      <c r="E3406" s="5" t="s">
        <v>42</v>
      </c>
      <c r="F3406" s="5" t="s">
        <v>445</v>
      </c>
    </row>
    <row r="3407" ht="12.75" customHeight="1">
      <c r="A3407" s="5" t="s">
        <v>9925</v>
      </c>
      <c r="B3407" s="5" t="s">
        <v>9926</v>
      </c>
      <c r="C3407" s="5" t="s">
        <v>9925</v>
      </c>
      <c r="D3407" s="5" t="s">
        <v>46</v>
      </c>
      <c r="E3407" s="5" t="s">
        <v>35</v>
      </c>
      <c r="F3407" s="5" t="s">
        <v>263</v>
      </c>
    </row>
    <row r="3408" ht="12.75" customHeight="1">
      <c r="A3408" s="5" t="s">
        <v>9927</v>
      </c>
      <c r="B3408" s="5" t="s">
        <v>9928</v>
      </c>
      <c r="C3408" s="5" t="s">
        <v>9929</v>
      </c>
      <c r="D3408" s="5" t="s">
        <v>30</v>
      </c>
      <c r="E3408" s="5" t="s">
        <v>42</v>
      </c>
      <c r="F3408" s="5" t="s">
        <v>2638</v>
      </c>
    </row>
    <row r="3409" ht="12.75" customHeight="1">
      <c r="A3409" s="5" t="s">
        <v>9930</v>
      </c>
      <c r="B3409" s="5" t="s">
        <v>9931</v>
      </c>
      <c r="C3409" s="5" t="s">
        <v>9930</v>
      </c>
      <c r="D3409" s="5" t="s">
        <v>50</v>
      </c>
      <c r="E3409" s="5" t="s">
        <v>42</v>
      </c>
      <c r="F3409" s="5" t="s">
        <v>83</v>
      </c>
    </row>
    <row r="3410" ht="12.75" customHeight="1">
      <c r="A3410" s="5" t="s">
        <v>9932</v>
      </c>
      <c r="B3410" s="5" t="s">
        <v>9933</v>
      </c>
      <c r="C3410" s="5" t="s">
        <v>9932</v>
      </c>
      <c r="D3410" s="5" t="s">
        <v>22</v>
      </c>
      <c r="E3410" s="5" t="s">
        <v>35</v>
      </c>
      <c r="F3410" s="5" t="s">
        <v>36</v>
      </c>
    </row>
    <row r="3411" ht="12.75" customHeight="1">
      <c r="A3411" s="5" t="s">
        <v>9934</v>
      </c>
      <c r="B3411" s="10" t="s">
        <v>9935</v>
      </c>
      <c r="C3411" s="5" t="s">
        <v>9934</v>
      </c>
      <c r="D3411" s="5" t="s">
        <v>34</v>
      </c>
      <c r="E3411" s="5" t="s">
        <v>42</v>
      </c>
      <c r="F3411" s="5" t="s">
        <v>228</v>
      </c>
      <c r="H3411" s="5" t="s">
        <v>916</v>
      </c>
    </row>
    <row r="3412" ht="12.75" customHeight="1">
      <c r="A3412" s="5" t="s">
        <v>9936</v>
      </c>
      <c r="B3412" s="5" t="s">
        <v>9937</v>
      </c>
      <c r="C3412" s="5" t="s">
        <v>9936</v>
      </c>
      <c r="D3412" s="5" t="s">
        <v>50</v>
      </c>
      <c r="E3412" s="5" t="s">
        <v>35</v>
      </c>
      <c r="F3412" s="5" t="s">
        <v>605</v>
      </c>
      <c r="G3412" s="10" t="s">
        <v>72</v>
      </c>
    </row>
    <row r="3413" ht="12.75" customHeight="1">
      <c r="A3413" s="5" t="s">
        <v>9447</v>
      </c>
      <c r="B3413" s="5" t="s">
        <v>9938</v>
      </c>
      <c r="C3413" s="5" t="s">
        <v>934</v>
      </c>
      <c r="D3413" s="5" t="s">
        <v>34</v>
      </c>
      <c r="E3413" s="5" t="s">
        <v>35</v>
      </c>
      <c r="F3413" s="5" t="s">
        <v>429</v>
      </c>
      <c r="G3413" s="10" t="s">
        <v>72</v>
      </c>
      <c r="L3413" s="5" t="s">
        <v>9445</v>
      </c>
      <c r="M3413" s="5" t="s">
        <v>9445</v>
      </c>
    </row>
    <row r="3414" ht="12.75" customHeight="1">
      <c r="A3414" s="5" t="s">
        <v>9939</v>
      </c>
      <c r="B3414" s="5" t="s">
        <v>9940</v>
      </c>
      <c r="C3414" s="5" t="s">
        <v>9941</v>
      </c>
      <c r="D3414" s="5" t="s">
        <v>55</v>
      </c>
      <c r="E3414" s="5" t="s">
        <v>42</v>
      </c>
      <c r="F3414" s="5" t="s">
        <v>9942</v>
      </c>
    </row>
    <row r="3415" ht="12.75" customHeight="1">
      <c r="A3415" s="5" t="s">
        <v>9943</v>
      </c>
      <c r="B3415" s="5" t="s">
        <v>9944</v>
      </c>
      <c r="C3415" s="5" t="s">
        <v>9945</v>
      </c>
      <c r="D3415" s="5" t="s">
        <v>38</v>
      </c>
      <c r="E3415" s="5" t="s">
        <v>42</v>
      </c>
      <c r="F3415" s="5" t="s">
        <v>454</v>
      </c>
    </row>
    <row r="3416" ht="12.75" customHeight="1">
      <c r="A3416" s="5" t="s">
        <v>9946</v>
      </c>
      <c r="B3416" s="5" t="s">
        <v>9947</v>
      </c>
      <c r="C3416" s="5" t="s">
        <v>9948</v>
      </c>
      <c r="D3416" s="5" t="s">
        <v>34</v>
      </c>
      <c r="E3416" s="5" t="s">
        <v>42</v>
      </c>
      <c r="F3416" s="5" t="s">
        <v>199</v>
      </c>
      <c r="G3416" s="10" t="s">
        <v>72</v>
      </c>
    </row>
    <row r="3417" ht="12.75" customHeight="1">
      <c r="A3417" s="5" t="s">
        <v>9949</v>
      </c>
      <c r="B3417" s="5" t="s">
        <v>9950</v>
      </c>
      <c r="C3417" s="5" t="s">
        <v>9949</v>
      </c>
      <c r="D3417" s="5" t="s">
        <v>34</v>
      </c>
      <c r="E3417" s="5" t="s">
        <v>42</v>
      </c>
      <c r="F3417" s="5" t="s">
        <v>720</v>
      </c>
    </row>
    <row r="3418" ht="12.75" customHeight="1">
      <c r="A3418" s="5" t="s">
        <v>9951</v>
      </c>
      <c r="B3418" s="5" t="s">
        <v>9952</v>
      </c>
      <c r="C3418" s="5" t="s">
        <v>9953</v>
      </c>
      <c r="D3418" s="5" t="s">
        <v>34</v>
      </c>
      <c r="E3418" s="5" t="s">
        <v>42</v>
      </c>
      <c r="F3418" s="5" t="s">
        <v>575</v>
      </c>
    </row>
    <row r="3419" ht="12.75" customHeight="1">
      <c r="A3419" s="5" t="s">
        <v>9954</v>
      </c>
      <c r="B3419" s="10" t="s">
        <v>9955</v>
      </c>
      <c r="C3419" s="5" t="s">
        <v>9956</v>
      </c>
      <c r="D3419" s="5" t="s">
        <v>30</v>
      </c>
      <c r="E3419" s="5" t="s">
        <v>42</v>
      </c>
      <c r="F3419" s="5" t="s">
        <v>157</v>
      </c>
    </row>
    <row r="3420" ht="12.75" customHeight="1">
      <c r="A3420" s="5" t="s">
        <v>9957</v>
      </c>
      <c r="B3420" s="5" t="s">
        <v>9958</v>
      </c>
      <c r="C3420" s="5" t="s">
        <v>9957</v>
      </c>
      <c r="D3420" s="5" t="s">
        <v>22</v>
      </c>
      <c r="E3420" s="5" t="s">
        <v>42</v>
      </c>
      <c r="F3420" s="5" t="s">
        <v>54</v>
      </c>
    </row>
    <row r="3421" ht="12.75" customHeight="1">
      <c r="A3421" s="5" t="s">
        <v>9959</v>
      </c>
      <c r="B3421" s="5" t="s">
        <v>9960</v>
      </c>
      <c r="C3421" s="5" t="s">
        <v>9959</v>
      </c>
      <c r="D3421" s="5" t="s">
        <v>34</v>
      </c>
      <c r="E3421" s="5" t="s">
        <v>42</v>
      </c>
      <c r="F3421" s="5" t="s">
        <v>162</v>
      </c>
    </row>
    <row r="3422" ht="12.75" customHeight="1">
      <c r="A3422" s="5" t="s">
        <v>9961</v>
      </c>
      <c r="B3422" s="5" t="s">
        <v>9962</v>
      </c>
      <c r="C3422" s="5" t="s">
        <v>9961</v>
      </c>
      <c r="D3422" s="5" t="s">
        <v>34</v>
      </c>
      <c r="E3422" s="5" t="s">
        <v>42</v>
      </c>
      <c r="F3422" s="5" t="s">
        <v>672</v>
      </c>
    </row>
    <row r="3423" ht="12.75" customHeight="1">
      <c r="A3423" s="5" t="s">
        <v>9963</v>
      </c>
      <c r="B3423" s="5" t="s">
        <v>9964</v>
      </c>
      <c r="C3423" s="5" t="s">
        <v>9963</v>
      </c>
      <c r="D3423" s="5" t="s">
        <v>46</v>
      </c>
      <c r="E3423" s="5" t="s">
        <v>42</v>
      </c>
      <c r="F3423" s="5" t="s">
        <v>535</v>
      </c>
      <c r="G3423" s="10" t="s">
        <v>72</v>
      </c>
    </row>
    <row r="3424" ht="12.75" customHeight="1">
      <c r="A3424" s="5" t="s">
        <v>9965</v>
      </c>
      <c r="B3424" s="10" t="s">
        <v>9966</v>
      </c>
      <c r="C3424" s="5" t="s">
        <v>9967</v>
      </c>
      <c r="D3424" s="5" t="s">
        <v>124</v>
      </c>
      <c r="E3424" s="5" t="s">
        <v>35</v>
      </c>
      <c r="F3424" s="5" t="s">
        <v>763</v>
      </c>
    </row>
    <row r="3425" ht="12.75" customHeight="1">
      <c r="A3425" s="5" t="s">
        <v>9968</v>
      </c>
      <c r="B3425" s="5" t="s">
        <v>9969</v>
      </c>
      <c r="C3425" s="5" t="s">
        <v>9968</v>
      </c>
      <c r="D3425" s="5" t="s">
        <v>50</v>
      </c>
      <c r="E3425" s="5" t="s">
        <v>42</v>
      </c>
      <c r="F3425" s="5" t="s">
        <v>556</v>
      </c>
      <c r="G3425" s="10" t="s">
        <v>72</v>
      </c>
    </row>
    <row r="3426" ht="12.75" customHeight="1">
      <c r="A3426" s="5" t="s">
        <v>9970</v>
      </c>
      <c r="B3426" s="5" t="s">
        <v>9971</v>
      </c>
      <c r="C3426" s="5" t="s">
        <v>9970</v>
      </c>
      <c r="D3426" s="5" t="s">
        <v>46</v>
      </c>
      <c r="E3426" s="5" t="s">
        <v>42</v>
      </c>
      <c r="F3426" s="5" t="s">
        <v>157</v>
      </c>
    </row>
    <row r="3427" ht="12.75" customHeight="1">
      <c r="A3427" s="5" t="s">
        <v>9972</v>
      </c>
      <c r="B3427" s="5" t="s">
        <v>9973</v>
      </c>
      <c r="C3427" s="5" t="s">
        <v>9972</v>
      </c>
      <c r="D3427" s="5" t="s">
        <v>34</v>
      </c>
      <c r="E3427" s="5" t="s">
        <v>42</v>
      </c>
      <c r="F3427" s="5" t="s">
        <v>556</v>
      </c>
    </row>
    <row r="3428" ht="12.75" customHeight="1">
      <c r="A3428" s="5" t="s">
        <v>9974</v>
      </c>
      <c r="B3428" s="5" t="s">
        <v>9975</v>
      </c>
      <c r="C3428" s="5" t="s">
        <v>9974</v>
      </c>
      <c r="D3428" s="5" t="s">
        <v>74</v>
      </c>
      <c r="E3428" s="5" t="s">
        <v>35</v>
      </c>
      <c r="F3428" s="5" t="s">
        <v>713</v>
      </c>
    </row>
    <row r="3429" ht="12.75" customHeight="1">
      <c r="A3429" s="5" t="s">
        <v>9976</v>
      </c>
      <c r="B3429" s="5" t="s">
        <v>9977</v>
      </c>
      <c r="C3429" s="5" t="s">
        <v>9978</v>
      </c>
      <c r="D3429" s="5" t="s">
        <v>22</v>
      </c>
      <c r="E3429" s="5" t="s">
        <v>35</v>
      </c>
      <c r="F3429" s="5" t="s">
        <v>4630</v>
      </c>
      <c r="G3429" s="10" t="s">
        <v>72</v>
      </c>
    </row>
    <row r="3430" ht="12.75" customHeight="1">
      <c r="A3430" s="5" t="s">
        <v>9979</v>
      </c>
      <c r="B3430" s="5" t="s">
        <v>9980</v>
      </c>
      <c r="C3430" s="5" t="s">
        <v>9979</v>
      </c>
      <c r="D3430" s="5" t="s">
        <v>34</v>
      </c>
      <c r="E3430" s="5" t="s">
        <v>42</v>
      </c>
      <c r="F3430" s="5" t="s">
        <v>162</v>
      </c>
    </row>
    <row r="3431" ht="12.75" customHeight="1">
      <c r="A3431" s="5" t="s">
        <v>9981</v>
      </c>
      <c r="B3431" s="10" t="s">
        <v>9982</v>
      </c>
      <c r="C3431" s="5" t="s">
        <v>9981</v>
      </c>
      <c r="D3431" s="5" t="s">
        <v>34</v>
      </c>
      <c r="E3431" s="5" t="s">
        <v>42</v>
      </c>
      <c r="F3431" s="5" t="s">
        <v>720</v>
      </c>
    </row>
    <row r="3432" ht="12.75" customHeight="1">
      <c r="A3432" s="5" t="s">
        <v>9983</v>
      </c>
      <c r="B3432" s="5" t="s">
        <v>9984</v>
      </c>
      <c r="C3432" s="5" t="s">
        <v>9983</v>
      </c>
      <c r="D3432" s="5" t="s">
        <v>74</v>
      </c>
      <c r="E3432" s="5" t="s">
        <v>35</v>
      </c>
      <c r="F3432" s="5" t="s">
        <v>267</v>
      </c>
    </row>
    <row r="3433" ht="12.75" customHeight="1">
      <c r="A3433" s="5" t="s">
        <v>9985</v>
      </c>
      <c r="B3433" s="10" t="s">
        <v>9986</v>
      </c>
      <c r="C3433" s="5" t="s">
        <v>9985</v>
      </c>
      <c r="D3433" s="5" t="s">
        <v>50</v>
      </c>
      <c r="E3433" s="5" t="s">
        <v>35</v>
      </c>
      <c r="F3433" s="5" t="s">
        <v>4630</v>
      </c>
      <c r="G3433" s="10" t="s">
        <v>72</v>
      </c>
    </row>
    <row r="3434" ht="12.75" customHeight="1">
      <c r="A3434" s="5" t="s">
        <v>9987</v>
      </c>
      <c r="B3434" s="5" t="s">
        <v>9988</v>
      </c>
      <c r="C3434" s="5" t="s">
        <v>9989</v>
      </c>
      <c r="D3434" s="5" t="s">
        <v>22</v>
      </c>
      <c r="E3434" s="5" t="s">
        <v>42</v>
      </c>
      <c r="F3434" s="5" t="s">
        <v>54</v>
      </c>
      <c r="G3434" s="10" t="s">
        <v>72</v>
      </c>
    </row>
    <row r="3435" ht="12.75" customHeight="1">
      <c r="A3435" s="5" t="s">
        <v>9990</v>
      </c>
      <c r="B3435" s="5" t="s">
        <v>9991</v>
      </c>
      <c r="C3435" s="5" t="s">
        <v>9992</v>
      </c>
      <c r="D3435" s="5" t="s">
        <v>34</v>
      </c>
      <c r="E3435" s="5" t="s">
        <v>35</v>
      </c>
      <c r="F3435" s="5" t="s">
        <v>172</v>
      </c>
      <c r="G3435" s="10" t="s">
        <v>72</v>
      </c>
    </row>
    <row r="3436" ht="12.75" customHeight="1">
      <c r="A3436" s="5" t="s">
        <v>9993</v>
      </c>
      <c r="B3436" s="5" t="s">
        <v>9994</v>
      </c>
      <c r="C3436" s="5" t="s">
        <v>9995</v>
      </c>
      <c r="D3436" s="5" t="s">
        <v>50</v>
      </c>
      <c r="E3436" s="5" t="s">
        <v>42</v>
      </c>
      <c r="F3436" s="5" t="s">
        <v>113</v>
      </c>
      <c r="G3436" s="10" t="s">
        <v>72</v>
      </c>
    </row>
    <row r="3437" ht="12.75" customHeight="1">
      <c r="A3437" s="5" t="s">
        <v>9996</v>
      </c>
      <c r="B3437" s="10" t="s">
        <v>9997</v>
      </c>
      <c r="C3437" s="5" t="s">
        <v>9996</v>
      </c>
      <c r="D3437" s="5" t="s">
        <v>50</v>
      </c>
      <c r="E3437" s="5" t="s">
        <v>42</v>
      </c>
      <c r="F3437" s="5" t="s">
        <v>720</v>
      </c>
      <c r="G3437" s="10" t="s">
        <v>72</v>
      </c>
    </row>
    <row r="3438" ht="12.75" customHeight="1">
      <c r="A3438" s="5" t="s">
        <v>9998</v>
      </c>
      <c r="B3438" s="5" t="s">
        <v>9999</v>
      </c>
      <c r="C3438" s="5" t="s">
        <v>9998</v>
      </c>
      <c r="D3438" s="5" t="s">
        <v>168</v>
      </c>
      <c r="E3438" s="5" t="s">
        <v>42</v>
      </c>
      <c r="F3438" s="5" t="s">
        <v>426</v>
      </c>
    </row>
    <row r="3439" ht="12.75" customHeight="1">
      <c r="A3439" s="5" t="s">
        <v>10000</v>
      </c>
      <c r="B3439" s="5" t="s">
        <v>10001</v>
      </c>
      <c r="C3439" s="5" t="s">
        <v>10000</v>
      </c>
      <c r="D3439" s="5" t="s">
        <v>34</v>
      </c>
      <c r="E3439" s="5" t="s">
        <v>35</v>
      </c>
      <c r="F3439" s="5" t="s">
        <v>913</v>
      </c>
      <c r="G3439" s="10" t="s">
        <v>72</v>
      </c>
    </row>
    <row r="3440" ht="12.75" customHeight="1">
      <c r="A3440" s="5" t="s">
        <v>10002</v>
      </c>
      <c r="B3440" s="5" t="s">
        <v>10003</v>
      </c>
      <c r="C3440" s="5" t="s">
        <v>10004</v>
      </c>
      <c r="D3440" s="5" t="s">
        <v>30</v>
      </c>
      <c r="E3440" s="5" t="s">
        <v>42</v>
      </c>
      <c r="F3440" s="5" t="s">
        <v>967</v>
      </c>
      <c r="G3440" s="10" t="s">
        <v>72</v>
      </c>
      <c r="H3440" s="5" t="s">
        <v>4801</v>
      </c>
    </row>
    <row r="3441" ht="12.75" customHeight="1">
      <c r="A3441" s="5" t="s">
        <v>10005</v>
      </c>
      <c r="B3441" s="5" t="s">
        <v>10006</v>
      </c>
      <c r="C3441" s="5" t="s">
        <v>10007</v>
      </c>
      <c r="D3441" s="5" t="s">
        <v>30</v>
      </c>
      <c r="E3441" s="5" t="s">
        <v>42</v>
      </c>
      <c r="F3441" s="5" t="s">
        <v>157</v>
      </c>
      <c r="G3441" s="10" t="s">
        <v>72</v>
      </c>
    </row>
    <row r="3442" ht="12.75" customHeight="1">
      <c r="A3442" s="5" t="s">
        <v>10008</v>
      </c>
      <c r="B3442" s="5" t="s">
        <v>10009</v>
      </c>
      <c r="C3442" s="5" t="s">
        <v>10007</v>
      </c>
      <c r="D3442" s="5" t="s">
        <v>30</v>
      </c>
      <c r="E3442" s="5" t="s">
        <v>42</v>
      </c>
      <c r="F3442" s="5" t="s">
        <v>1933</v>
      </c>
    </row>
    <row r="3443" ht="12.75" customHeight="1">
      <c r="A3443" s="5" t="s">
        <v>10010</v>
      </c>
      <c r="B3443" s="5" t="s">
        <v>10011</v>
      </c>
      <c r="C3443" s="5" t="s">
        <v>10010</v>
      </c>
      <c r="D3443" s="5" t="s">
        <v>74</v>
      </c>
      <c r="E3443" s="5" t="s">
        <v>35</v>
      </c>
      <c r="F3443" s="5" t="s">
        <v>267</v>
      </c>
    </row>
    <row r="3444" ht="12.75" customHeight="1">
      <c r="A3444" s="5" t="s">
        <v>10012</v>
      </c>
      <c r="B3444" s="5" t="s">
        <v>10013</v>
      </c>
      <c r="C3444" s="5" t="s">
        <v>10014</v>
      </c>
      <c r="D3444" s="5" t="s">
        <v>12</v>
      </c>
      <c r="E3444" s="5" t="s">
        <v>42</v>
      </c>
      <c r="F3444" s="5" t="s">
        <v>379</v>
      </c>
    </row>
    <row r="3445" ht="12.75" customHeight="1">
      <c r="A3445" s="5" t="s">
        <v>10015</v>
      </c>
      <c r="B3445" s="5" t="s">
        <v>10016</v>
      </c>
      <c r="C3445" s="5" t="s">
        <v>10015</v>
      </c>
      <c r="D3445" s="5" t="s">
        <v>22</v>
      </c>
      <c r="E3445" s="5" t="s">
        <v>35</v>
      </c>
      <c r="F3445" s="5" t="s">
        <v>90</v>
      </c>
    </row>
    <row r="3446" ht="12.75" customHeight="1">
      <c r="A3446" s="5" t="s">
        <v>10017</v>
      </c>
      <c r="B3446" s="5" t="s">
        <v>10018</v>
      </c>
      <c r="C3446" s="5" t="s">
        <v>10017</v>
      </c>
      <c r="D3446" s="5" t="s">
        <v>74</v>
      </c>
      <c r="E3446" s="5" t="s">
        <v>35</v>
      </c>
      <c r="F3446" s="5" t="s">
        <v>267</v>
      </c>
    </row>
    <row r="3447" ht="12.75" customHeight="1">
      <c r="A3447" s="5" t="s">
        <v>10019</v>
      </c>
      <c r="B3447" s="5" t="s">
        <v>10020</v>
      </c>
      <c r="C3447" s="5" t="s">
        <v>10021</v>
      </c>
      <c r="D3447" s="5" t="s">
        <v>50</v>
      </c>
      <c r="E3447" s="5" t="s">
        <v>42</v>
      </c>
      <c r="F3447" s="5" t="s">
        <v>162</v>
      </c>
    </row>
    <row r="3448" ht="12.75" customHeight="1">
      <c r="A3448" s="5" t="s">
        <v>10022</v>
      </c>
      <c r="B3448" s="5" t="s">
        <v>10023</v>
      </c>
      <c r="C3448" s="5" t="s">
        <v>10024</v>
      </c>
      <c r="D3448" s="5" t="s">
        <v>50</v>
      </c>
      <c r="E3448" s="5" t="s">
        <v>42</v>
      </c>
      <c r="F3448" s="5" t="s">
        <v>199</v>
      </c>
    </row>
    <row r="3449" ht="12.75" customHeight="1">
      <c r="A3449" s="5" t="s">
        <v>10025</v>
      </c>
      <c r="B3449" s="10" t="s">
        <v>10026</v>
      </c>
      <c r="C3449" s="5" t="s">
        <v>10025</v>
      </c>
      <c r="D3449" s="5" t="s">
        <v>74</v>
      </c>
      <c r="E3449" s="5" t="s">
        <v>42</v>
      </c>
      <c r="F3449" s="5" t="s">
        <v>445</v>
      </c>
    </row>
    <row r="3450" ht="12.75" customHeight="1">
      <c r="A3450" s="5" t="s">
        <v>10027</v>
      </c>
      <c r="B3450" s="5" t="s">
        <v>10028</v>
      </c>
      <c r="C3450" s="5" t="s">
        <v>10027</v>
      </c>
      <c r="D3450" s="5" t="s">
        <v>12</v>
      </c>
      <c r="E3450" s="5" t="s">
        <v>35</v>
      </c>
      <c r="F3450" s="5" t="s">
        <v>297</v>
      </c>
    </row>
    <row r="3451" ht="12.75" customHeight="1">
      <c r="A3451" s="5" t="s">
        <v>10029</v>
      </c>
      <c r="B3451" s="10" t="s">
        <v>10030</v>
      </c>
      <c r="C3451" s="5" t="s">
        <v>10029</v>
      </c>
      <c r="D3451" s="5" t="s">
        <v>67</v>
      </c>
      <c r="E3451" s="5" t="s">
        <v>35</v>
      </c>
      <c r="F3451" s="5" t="s">
        <v>9772</v>
      </c>
    </row>
    <row r="3452" ht="12.75" customHeight="1">
      <c r="A3452" s="5" t="s">
        <v>10031</v>
      </c>
      <c r="B3452" s="5" t="s">
        <v>10032</v>
      </c>
      <c r="C3452" s="5" t="s">
        <v>10031</v>
      </c>
      <c r="D3452" s="5" t="s">
        <v>55</v>
      </c>
      <c r="E3452" s="5" t="s">
        <v>35</v>
      </c>
      <c r="F3452" s="5" t="s">
        <v>439</v>
      </c>
      <c r="G3452" s="10" t="s">
        <v>72</v>
      </c>
    </row>
    <row r="3453" ht="12.75" customHeight="1">
      <c r="A3453" s="5" t="s">
        <v>10033</v>
      </c>
      <c r="B3453" s="5" t="s">
        <v>10034</v>
      </c>
      <c r="C3453" s="5" t="s">
        <v>10033</v>
      </c>
      <c r="D3453" s="5" t="s">
        <v>67</v>
      </c>
      <c r="E3453" s="5" t="s">
        <v>35</v>
      </c>
      <c r="F3453" s="5" t="s">
        <v>9772</v>
      </c>
    </row>
    <row r="3454" ht="12.75" customHeight="1">
      <c r="A3454" s="5" t="s">
        <v>10035</v>
      </c>
      <c r="B3454" s="10" t="s">
        <v>10036</v>
      </c>
      <c r="C3454" s="5" t="s">
        <v>10035</v>
      </c>
      <c r="D3454" s="5" t="s">
        <v>67</v>
      </c>
      <c r="E3454" s="5" t="s">
        <v>35</v>
      </c>
      <c r="F3454" s="5" t="s">
        <v>1666</v>
      </c>
    </row>
    <row r="3455" ht="12.75" customHeight="1">
      <c r="A3455" s="5" t="s">
        <v>10037</v>
      </c>
      <c r="B3455" s="5" t="s">
        <v>10038</v>
      </c>
      <c r="C3455" s="5" t="s">
        <v>10039</v>
      </c>
      <c r="D3455" s="5" t="s">
        <v>34</v>
      </c>
      <c r="E3455" s="5" t="s">
        <v>42</v>
      </c>
      <c r="F3455" s="5" t="s">
        <v>445</v>
      </c>
    </row>
    <row r="3456" ht="12.75" customHeight="1">
      <c r="A3456" s="5" t="s">
        <v>10040</v>
      </c>
      <c r="B3456" s="10" t="s">
        <v>10041</v>
      </c>
      <c r="C3456" s="5" t="s">
        <v>10040</v>
      </c>
      <c r="D3456" s="5" t="s">
        <v>34</v>
      </c>
      <c r="E3456" s="5" t="s">
        <v>42</v>
      </c>
      <c r="F3456" s="5" t="s">
        <v>199</v>
      </c>
    </row>
    <row r="3457" ht="12.75" customHeight="1">
      <c r="A3457" s="5" t="s">
        <v>10042</v>
      </c>
      <c r="B3457" s="5" t="s">
        <v>10043</v>
      </c>
      <c r="C3457" s="5" t="s">
        <v>10044</v>
      </c>
      <c r="D3457" s="5" t="s">
        <v>38</v>
      </c>
      <c r="E3457" s="5" t="s">
        <v>42</v>
      </c>
      <c r="F3457" s="5" t="s">
        <v>572</v>
      </c>
      <c r="G3457" s="10" t="s">
        <v>72</v>
      </c>
    </row>
    <row r="3458" ht="12.75" customHeight="1">
      <c r="A3458" s="5" t="s">
        <v>10045</v>
      </c>
      <c r="B3458" s="10" t="s">
        <v>10046</v>
      </c>
      <c r="C3458" s="5" t="s">
        <v>10045</v>
      </c>
      <c r="D3458" s="5" t="s">
        <v>34</v>
      </c>
      <c r="E3458" s="5" t="s">
        <v>35</v>
      </c>
      <c r="F3458" s="5" t="s">
        <v>90</v>
      </c>
    </row>
    <row r="3459" ht="12.75" customHeight="1">
      <c r="A3459" s="5" t="s">
        <v>10047</v>
      </c>
      <c r="B3459" s="5" t="s">
        <v>10048</v>
      </c>
      <c r="C3459" s="5" t="s">
        <v>10047</v>
      </c>
      <c r="D3459" s="5" t="s">
        <v>34</v>
      </c>
      <c r="E3459" s="5" t="s">
        <v>42</v>
      </c>
      <c r="F3459" s="5" t="s">
        <v>445</v>
      </c>
    </row>
    <row r="3460" ht="12.75" customHeight="1">
      <c r="A3460" s="5" t="s">
        <v>10049</v>
      </c>
      <c r="B3460" s="5" t="s">
        <v>10050</v>
      </c>
      <c r="C3460" s="5" t="s">
        <v>10051</v>
      </c>
      <c r="D3460" s="5" t="s">
        <v>50</v>
      </c>
      <c r="E3460" s="5" t="s">
        <v>35</v>
      </c>
      <c r="F3460" s="5" t="s">
        <v>90</v>
      </c>
    </row>
    <row r="3461" ht="12.75" customHeight="1">
      <c r="A3461" s="5" t="s">
        <v>10052</v>
      </c>
      <c r="B3461" s="10" t="s">
        <v>10053</v>
      </c>
      <c r="C3461" s="5" t="s">
        <v>10054</v>
      </c>
      <c r="D3461" s="5" t="s">
        <v>34</v>
      </c>
      <c r="E3461" s="5" t="s">
        <v>35</v>
      </c>
      <c r="F3461" s="5" t="s">
        <v>104</v>
      </c>
    </row>
    <row r="3462" ht="12.75" customHeight="1">
      <c r="A3462" s="5" t="s">
        <v>10055</v>
      </c>
      <c r="B3462" s="5" t="s">
        <v>10056</v>
      </c>
      <c r="C3462" s="5" t="s">
        <v>10057</v>
      </c>
      <c r="D3462" s="5" t="s">
        <v>50</v>
      </c>
      <c r="E3462" s="5" t="s">
        <v>42</v>
      </c>
      <c r="F3462" s="5" t="s">
        <v>575</v>
      </c>
      <c r="G3462" s="10" t="s">
        <v>72</v>
      </c>
    </row>
    <row r="3463" ht="12.75" customHeight="1">
      <c r="A3463" s="5" t="s">
        <v>10058</v>
      </c>
      <c r="B3463" s="5" t="s">
        <v>10059</v>
      </c>
      <c r="C3463" s="5" t="s">
        <v>10058</v>
      </c>
      <c r="D3463" s="5" t="s">
        <v>34</v>
      </c>
      <c r="E3463" s="5" t="s">
        <v>42</v>
      </c>
      <c r="F3463" s="5" t="s">
        <v>756</v>
      </c>
    </row>
    <row r="3464" ht="12.75" customHeight="1">
      <c r="A3464" s="5" t="s">
        <v>10060</v>
      </c>
      <c r="B3464" s="10" t="s">
        <v>10061</v>
      </c>
      <c r="C3464" s="5" t="s">
        <v>10060</v>
      </c>
      <c r="D3464" s="5" t="s">
        <v>34</v>
      </c>
      <c r="E3464" s="5" t="s">
        <v>42</v>
      </c>
      <c r="F3464" s="5" t="s">
        <v>599</v>
      </c>
    </row>
    <row r="3465" ht="12.75" customHeight="1">
      <c r="A3465" s="5" t="s">
        <v>10062</v>
      </c>
      <c r="B3465" s="5" t="s">
        <v>10063</v>
      </c>
      <c r="C3465" s="5" t="s">
        <v>10062</v>
      </c>
      <c r="D3465" s="5" t="s">
        <v>124</v>
      </c>
      <c r="E3465" s="5" t="s">
        <v>35</v>
      </c>
      <c r="F3465" s="5" t="s">
        <v>125</v>
      </c>
    </row>
    <row r="3466" ht="12.75" customHeight="1">
      <c r="A3466" s="5" t="s">
        <v>10064</v>
      </c>
      <c r="B3466" s="5" t="s">
        <v>10065</v>
      </c>
      <c r="C3466" s="5" t="s">
        <v>10066</v>
      </c>
      <c r="D3466" s="5" t="s">
        <v>34</v>
      </c>
      <c r="E3466" s="5" t="s">
        <v>42</v>
      </c>
      <c r="F3466" s="5" t="s">
        <v>672</v>
      </c>
    </row>
    <row r="3467" ht="12.75" customHeight="1">
      <c r="A3467" s="5" t="s">
        <v>10067</v>
      </c>
      <c r="B3467" s="10" t="s">
        <v>10068</v>
      </c>
      <c r="C3467" s="5" t="s">
        <v>10069</v>
      </c>
      <c r="D3467" s="5" t="s">
        <v>38</v>
      </c>
      <c r="E3467" s="5" t="s">
        <v>42</v>
      </c>
      <c r="F3467" s="5" t="s">
        <v>445</v>
      </c>
      <c r="G3467" s="10" t="s">
        <v>72</v>
      </c>
    </row>
    <row r="3468" ht="12.75" customHeight="1">
      <c r="A3468" s="5" t="s">
        <v>10070</v>
      </c>
      <c r="B3468" s="5" t="s">
        <v>10071</v>
      </c>
      <c r="C3468" s="5" t="s">
        <v>10070</v>
      </c>
      <c r="D3468" s="5" t="s">
        <v>34</v>
      </c>
      <c r="E3468" s="5" t="s">
        <v>42</v>
      </c>
      <c r="F3468" s="5" t="s">
        <v>756</v>
      </c>
      <c r="G3468" s="10" t="s">
        <v>72</v>
      </c>
    </row>
    <row r="3469" ht="12.75" customHeight="1">
      <c r="A3469" s="5" t="s">
        <v>10072</v>
      </c>
      <c r="B3469" s="5" t="s">
        <v>10073</v>
      </c>
      <c r="C3469" s="5" t="s">
        <v>10072</v>
      </c>
      <c r="D3469" s="5" t="s">
        <v>124</v>
      </c>
      <c r="E3469" s="5" t="s">
        <v>42</v>
      </c>
      <c r="F3469" s="5" t="s">
        <v>4550</v>
      </c>
    </row>
    <row r="3470" ht="12.75" customHeight="1">
      <c r="A3470" s="5" t="s">
        <v>10074</v>
      </c>
      <c r="B3470" s="5" t="s">
        <v>10075</v>
      </c>
      <c r="C3470" s="5" t="s">
        <v>10076</v>
      </c>
      <c r="D3470" s="5" t="s">
        <v>34</v>
      </c>
      <c r="E3470" s="5" t="s">
        <v>42</v>
      </c>
      <c r="F3470" s="5" t="s">
        <v>556</v>
      </c>
    </row>
    <row r="3471" ht="12.75" customHeight="1">
      <c r="A3471" s="5" t="s">
        <v>10077</v>
      </c>
      <c r="B3471" s="5" t="s">
        <v>10078</v>
      </c>
      <c r="C3471" s="5" t="s">
        <v>10077</v>
      </c>
      <c r="D3471" s="5" t="s">
        <v>34</v>
      </c>
      <c r="E3471" s="5" t="s">
        <v>42</v>
      </c>
      <c r="F3471" s="5" t="s">
        <v>672</v>
      </c>
    </row>
    <row r="3472" ht="12.75" customHeight="1">
      <c r="A3472" s="5" t="s">
        <v>10079</v>
      </c>
      <c r="B3472" s="5" t="s">
        <v>10080</v>
      </c>
      <c r="C3472" s="5" t="s">
        <v>10079</v>
      </c>
      <c r="D3472" s="5" t="s">
        <v>34</v>
      </c>
      <c r="E3472" s="5" t="s">
        <v>42</v>
      </c>
      <c r="F3472" s="5" t="s">
        <v>756</v>
      </c>
    </row>
    <row r="3473" ht="12.75" customHeight="1">
      <c r="A3473" s="5" t="s">
        <v>10081</v>
      </c>
      <c r="B3473" s="5" t="s">
        <v>10082</v>
      </c>
      <c r="C3473" s="5" t="s">
        <v>10081</v>
      </c>
      <c r="D3473" s="5" t="s">
        <v>34</v>
      </c>
      <c r="E3473" s="5" t="s">
        <v>42</v>
      </c>
      <c r="F3473" s="5" t="s">
        <v>445</v>
      </c>
    </row>
    <row r="3474" ht="12.75" customHeight="1">
      <c r="A3474" s="5" t="s">
        <v>10083</v>
      </c>
      <c r="B3474" s="10" t="s">
        <v>10084</v>
      </c>
      <c r="C3474" s="5" t="s">
        <v>10083</v>
      </c>
      <c r="D3474" s="5" t="s">
        <v>34</v>
      </c>
      <c r="E3474" s="5" t="s">
        <v>42</v>
      </c>
      <c r="F3474" s="5" t="s">
        <v>637</v>
      </c>
    </row>
    <row r="3475" ht="12.75" customHeight="1">
      <c r="A3475" s="5" t="s">
        <v>10085</v>
      </c>
      <c r="B3475" s="5" t="s">
        <v>10086</v>
      </c>
      <c r="C3475" s="5" t="s">
        <v>10087</v>
      </c>
      <c r="D3475" s="5" t="s">
        <v>30</v>
      </c>
      <c r="E3475" s="5" t="s">
        <v>42</v>
      </c>
      <c r="F3475" s="5" t="s">
        <v>2196</v>
      </c>
    </row>
    <row r="3476" ht="12.75" customHeight="1">
      <c r="A3476" s="5" t="s">
        <v>10088</v>
      </c>
      <c r="B3476" s="5" t="s">
        <v>10089</v>
      </c>
      <c r="C3476" s="5" t="s">
        <v>10090</v>
      </c>
      <c r="D3476" s="5" t="s">
        <v>50</v>
      </c>
      <c r="E3476" s="5" t="s">
        <v>42</v>
      </c>
      <c r="F3476" s="5" t="s">
        <v>167</v>
      </c>
    </row>
    <row r="3477" ht="12.75" customHeight="1">
      <c r="A3477" s="5" t="s">
        <v>10091</v>
      </c>
      <c r="B3477" s="10" t="s">
        <v>10092</v>
      </c>
      <c r="C3477" s="5" t="s">
        <v>10093</v>
      </c>
      <c r="D3477" s="5" t="s">
        <v>34</v>
      </c>
      <c r="E3477" s="5" t="s">
        <v>35</v>
      </c>
      <c r="F3477" s="5" t="s">
        <v>118</v>
      </c>
    </row>
    <row r="3478" ht="12.75" customHeight="1">
      <c r="A3478" s="5" t="s">
        <v>10094</v>
      </c>
      <c r="B3478" s="5" t="s">
        <v>10095</v>
      </c>
      <c r="C3478" s="5" t="s">
        <v>10096</v>
      </c>
      <c r="D3478" s="5" t="s">
        <v>50</v>
      </c>
      <c r="E3478" s="5" t="s">
        <v>35</v>
      </c>
      <c r="F3478" s="5" t="s">
        <v>710</v>
      </c>
    </row>
    <row r="3479" ht="12.75" customHeight="1">
      <c r="A3479" s="5" t="s">
        <v>10097</v>
      </c>
      <c r="B3479" s="10" t="s">
        <v>10098</v>
      </c>
      <c r="C3479" s="5" t="s">
        <v>10099</v>
      </c>
      <c r="D3479" s="5" t="s">
        <v>12</v>
      </c>
      <c r="E3479" s="5" t="s">
        <v>42</v>
      </c>
      <c r="F3479" s="5" t="s">
        <v>351</v>
      </c>
    </row>
    <row r="3480" ht="12.75" customHeight="1">
      <c r="A3480" s="5" t="s">
        <v>10100</v>
      </c>
      <c r="B3480" s="5" t="s">
        <v>10101</v>
      </c>
      <c r="C3480" s="5" t="s">
        <v>10100</v>
      </c>
      <c r="D3480" s="5" t="s">
        <v>34</v>
      </c>
      <c r="E3480" s="5" t="s">
        <v>42</v>
      </c>
      <c r="F3480" s="5" t="s">
        <v>445</v>
      </c>
    </row>
    <row r="3481" ht="12.75" customHeight="1">
      <c r="A3481" s="5" t="s">
        <v>10102</v>
      </c>
      <c r="B3481" s="5" t="s">
        <v>10103</v>
      </c>
      <c r="C3481" s="5" t="s">
        <v>10102</v>
      </c>
      <c r="D3481" s="5" t="s">
        <v>38</v>
      </c>
      <c r="E3481" s="5" t="s">
        <v>42</v>
      </c>
      <c r="F3481" s="5" t="s">
        <v>228</v>
      </c>
    </row>
    <row r="3482" ht="12.75" customHeight="1">
      <c r="A3482" s="5" t="s">
        <v>10104</v>
      </c>
      <c r="B3482" s="10" t="s">
        <v>10105</v>
      </c>
      <c r="C3482" s="5" t="s">
        <v>10106</v>
      </c>
      <c r="D3482" s="5" t="s">
        <v>38</v>
      </c>
      <c r="E3482" s="5" t="s">
        <v>42</v>
      </c>
      <c r="F3482" s="5" t="s">
        <v>454</v>
      </c>
    </row>
    <row r="3483" ht="12.75" customHeight="1">
      <c r="A3483" s="5" t="s">
        <v>6178</v>
      </c>
      <c r="B3483" s="5" t="s">
        <v>10107</v>
      </c>
      <c r="C3483" s="5" t="s">
        <v>10108</v>
      </c>
      <c r="D3483" s="5" t="s">
        <v>1314</v>
      </c>
      <c r="E3483" s="5" t="s">
        <v>42</v>
      </c>
      <c r="F3483" s="5" t="s">
        <v>6160</v>
      </c>
      <c r="H3483" s="5" t="s">
        <v>6175</v>
      </c>
      <c r="I3483" s="10" t="s">
        <v>72</v>
      </c>
    </row>
    <row r="3484" ht="12.75" customHeight="1">
      <c r="A3484" s="5" t="s">
        <v>10109</v>
      </c>
      <c r="B3484" s="5" t="s">
        <v>10110</v>
      </c>
      <c r="C3484" s="5" t="s">
        <v>8460</v>
      </c>
      <c r="D3484" s="5" t="s">
        <v>34</v>
      </c>
      <c r="E3484" s="5" t="s">
        <v>42</v>
      </c>
      <c r="F3484" s="5" t="s">
        <v>423</v>
      </c>
      <c r="H3484" s="5" t="s">
        <v>8458</v>
      </c>
      <c r="I3484" s="10" t="s">
        <v>72</v>
      </c>
    </row>
    <row r="3485" ht="12.75" customHeight="1">
      <c r="A3485" s="5" t="s">
        <v>10111</v>
      </c>
      <c r="B3485" s="5" t="s">
        <v>10112</v>
      </c>
      <c r="C3485" s="5" t="s">
        <v>8589</v>
      </c>
      <c r="D3485" s="5" t="s">
        <v>34</v>
      </c>
      <c r="E3485" s="5" t="s">
        <v>35</v>
      </c>
      <c r="F3485" s="5" t="s">
        <v>104</v>
      </c>
      <c r="H3485" s="5" t="s">
        <v>8587</v>
      </c>
      <c r="I3485" s="10" t="s">
        <v>72</v>
      </c>
    </row>
    <row r="3486" ht="12.75" customHeight="1">
      <c r="A3486" s="5" t="s">
        <v>10113</v>
      </c>
      <c r="B3486" s="5" t="s">
        <v>10114</v>
      </c>
      <c r="C3486" s="5" t="s">
        <v>8690</v>
      </c>
      <c r="D3486" s="5" t="s">
        <v>34</v>
      </c>
      <c r="E3486" s="5" t="s">
        <v>42</v>
      </c>
      <c r="F3486" s="5" t="s">
        <v>657</v>
      </c>
      <c r="H3486" s="5" t="s">
        <v>8688</v>
      </c>
      <c r="I3486" s="10" t="s">
        <v>72</v>
      </c>
    </row>
    <row r="3487" ht="12.75" customHeight="1">
      <c r="A3487" s="5" t="s">
        <v>10115</v>
      </c>
      <c r="B3487" s="10" t="s">
        <v>10116</v>
      </c>
      <c r="C3487" s="5" t="s">
        <v>10117</v>
      </c>
      <c r="D3487" s="5" t="s">
        <v>34</v>
      </c>
      <c r="E3487" s="5" t="s">
        <v>42</v>
      </c>
      <c r="F3487" s="5" t="s">
        <v>228</v>
      </c>
    </row>
    <row r="3488" ht="12.75" customHeight="1">
      <c r="A3488" s="5" t="s">
        <v>9603</v>
      </c>
      <c r="B3488" s="5" t="s">
        <v>10118</v>
      </c>
      <c r="C3488" s="5" t="s">
        <v>10119</v>
      </c>
      <c r="D3488" s="5" t="s">
        <v>34</v>
      </c>
      <c r="E3488" s="5" t="s">
        <v>35</v>
      </c>
      <c r="F3488" s="5" t="s">
        <v>77</v>
      </c>
      <c r="L3488" s="5" t="s">
        <v>10120</v>
      </c>
    </row>
    <row r="3489" ht="12.75" customHeight="1">
      <c r="A3489" s="5" t="s">
        <v>10121</v>
      </c>
      <c r="B3489" s="10" t="s">
        <v>10122</v>
      </c>
      <c r="C3489" s="5" t="s">
        <v>10123</v>
      </c>
      <c r="D3489" s="5" t="s">
        <v>30</v>
      </c>
      <c r="E3489" s="5" t="s">
        <v>35</v>
      </c>
      <c r="F3489" s="5" t="s">
        <v>1334</v>
      </c>
    </row>
    <row r="3490" ht="12.75" customHeight="1">
      <c r="A3490" s="5" t="s">
        <v>10124</v>
      </c>
      <c r="B3490" s="5" t="s">
        <v>10125</v>
      </c>
      <c r="C3490" s="5" t="s">
        <v>10126</v>
      </c>
      <c r="D3490" s="5" t="s">
        <v>34</v>
      </c>
      <c r="E3490" s="5" t="s">
        <v>35</v>
      </c>
      <c r="F3490" s="5" t="s">
        <v>118</v>
      </c>
    </row>
    <row r="3491" ht="12.75" customHeight="1">
      <c r="A3491" s="5" t="s">
        <v>10127</v>
      </c>
      <c r="B3491" s="5" t="s">
        <v>10128</v>
      </c>
      <c r="C3491" s="5" t="s">
        <v>10127</v>
      </c>
      <c r="D3491" s="5" t="s">
        <v>124</v>
      </c>
      <c r="E3491" s="5" t="s">
        <v>35</v>
      </c>
      <c r="F3491" s="5" t="s">
        <v>49</v>
      </c>
    </row>
    <row r="3492" ht="12.75" customHeight="1">
      <c r="A3492" s="5" t="s">
        <v>10129</v>
      </c>
      <c r="B3492" s="5" t="s">
        <v>10130</v>
      </c>
      <c r="C3492" s="5" t="s">
        <v>10129</v>
      </c>
      <c r="D3492" s="5" t="s">
        <v>34</v>
      </c>
      <c r="E3492" s="5" t="s">
        <v>42</v>
      </c>
      <c r="F3492" s="5" t="s">
        <v>423</v>
      </c>
      <c r="G3492" s="10" t="s">
        <v>72</v>
      </c>
    </row>
    <row r="3493" ht="12.75" customHeight="1">
      <c r="A3493" s="5" t="s">
        <v>10131</v>
      </c>
      <c r="B3493" s="10" t="s">
        <v>10132</v>
      </c>
      <c r="C3493" s="5" t="s">
        <v>10131</v>
      </c>
      <c r="D3493" s="5" t="s">
        <v>34</v>
      </c>
      <c r="E3493" s="5" t="s">
        <v>35</v>
      </c>
      <c r="F3493" s="5" t="s">
        <v>71</v>
      </c>
    </row>
    <row r="3494" ht="12.75" customHeight="1">
      <c r="A3494" s="5" t="s">
        <v>10133</v>
      </c>
      <c r="B3494" s="5" t="s">
        <v>10134</v>
      </c>
      <c r="C3494" s="5" t="s">
        <v>10135</v>
      </c>
      <c r="D3494" s="5" t="s">
        <v>94</v>
      </c>
      <c r="E3494" s="5" t="s">
        <v>35</v>
      </c>
      <c r="F3494" s="5" t="s">
        <v>1776</v>
      </c>
    </row>
    <row r="3495" ht="12.75" customHeight="1">
      <c r="A3495" s="5" t="s">
        <v>10136</v>
      </c>
      <c r="B3495" s="5" t="s">
        <v>10137</v>
      </c>
      <c r="C3495" s="5" t="s">
        <v>10136</v>
      </c>
      <c r="D3495" s="5" t="s">
        <v>34</v>
      </c>
      <c r="E3495" s="5" t="s">
        <v>35</v>
      </c>
      <c r="F3495" s="5" t="s">
        <v>110</v>
      </c>
    </row>
    <row r="3496" ht="12.75" customHeight="1">
      <c r="A3496" s="5" t="s">
        <v>10138</v>
      </c>
      <c r="B3496" s="5" t="s">
        <v>10139</v>
      </c>
      <c r="C3496" s="5" t="s">
        <v>10140</v>
      </c>
      <c r="D3496" s="5" t="s">
        <v>30</v>
      </c>
      <c r="E3496" s="5" t="s">
        <v>35</v>
      </c>
      <c r="F3496" s="5" t="s">
        <v>680</v>
      </c>
    </row>
    <row r="3497" ht="12.75" customHeight="1">
      <c r="A3497" s="5" t="s">
        <v>10141</v>
      </c>
      <c r="B3497" s="5" t="s">
        <v>10142</v>
      </c>
      <c r="C3497" s="5" t="s">
        <v>10141</v>
      </c>
      <c r="D3497" s="5" t="s">
        <v>80</v>
      </c>
      <c r="E3497" s="5" t="s">
        <v>42</v>
      </c>
      <c r="F3497" s="5" t="s">
        <v>1911</v>
      </c>
    </row>
    <row r="3498" ht="12.75" customHeight="1">
      <c r="A3498" s="5" t="s">
        <v>10143</v>
      </c>
      <c r="B3498" s="10" t="s">
        <v>10144</v>
      </c>
      <c r="C3498" s="5" t="s">
        <v>10145</v>
      </c>
      <c r="D3498" s="5" t="s">
        <v>34</v>
      </c>
      <c r="E3498" s="5" t="s">
        <v>42</v>
      </c>
      <c r="F3498" s="5" t="s">
        <v>610</v>
      </c>
    </row>
    <row r="3499" ht="12.75" customHeight="1">
      <c r="A3499" s="5" t="s">
        <v>10146</v>
      </c>
      <c r="B3499" s="10" t="s">
        <v>10147</v>
      </c>
      <c r="C3499" s="5" t="s">
        <v>10148</v>
      </c>
      <c r="D3499" s="5" t="s">
        <v>34</v>
      </c>
      <c r="E3499" s="5" t="s">
        <v>35</v>
      </c>
      <c r="F3499" s="5" t="s">
        <v>619</v>
      </c>
    </row>
    <row r="3500" ht="12.75" customHeight="1">
      <c r="A3500" s="5" t="s">
        <v>10149</v>
      </c>
      <c r="B3500" s="5" t="s">
        <v>10150</v>
      </c>
      <c r="C3500" s="5" t="s">
        <v>10151</v>
      </c>
      <c r="D3500" s="5" t="s">
        <v>22</v>
      </c>
      <c r="E3500" s="5" t="s">
        <v>42</v>
      </c>
      <c r="F3500" s="5" t="s">
        <v>1991</v>
      </c>
      <c r="G3500" s="10" t="s">
        <v>72</v>
      </c>
    </row>
    <row r="3501" ht="12.75" customHeight="1">
      <c r="A3501" s="5" t="s">
        <v>10152</v>
      </c>
      <c r="B3501" s="5" t="s">
        <v>10153</v>
      </c>
      <c r="C3501" s="5" t="s">
        <v>10152</v>
      </c>
      <c r="D3501" s="5" t="s">
        <v>46</v>
      </c>
      <c r="E3501" s="5" t="s">
        <v>35</v>
      </c>
      <c r="F3501" s="5" t="s">
        <v>1344</v>
      </c>
    </row>
    <row r="3502" ht="12.75" customHeight="1">
      <c r="A3502" s="5" t="s">
        <v>10154</v>
      </c>
      <c r="B3502" s="5" t="s">
        <v>10155</v>
      </c>
      <c r="C3502" s="5" t="s">
        <v>10156</v>
      </c>
      <c r="D3502" s="5" t="s">
        <v>50</v>
      </c>
      <c r="E3502" s="5" t="s">
        <v>42</v>
      </c>
      <c r="F3502" s="5" t="s">
        <v>54</v>
      </c>
    </row>
    <row r="3503" ht="12.75" customHeight="1">
      <c r="A3503" s="5" t="s">
        <v>10157</v>
      </c>
      <c r="B3503" s="10" t="s">
        <v>10158</v>
      </c>
      <c r="C3503" s="5" t="s">
        <v>10159</v>
      </c>
      <c r="D3503" s="5" t="s">
        <v>12</v>
      </c>
      <c r="E3503" s="5" t="s">
        <v>42</v>
      </c>
      <c r="F3503" s="5" t="s">
        <v>9167</v>
      </c>
    </row>
    <row r="3504" ht="12.75" customHeight="1">
      <c r="A3504" s="5" t="s">
        <v>10160</v>
      </c>
      <c r="B3504" s="10" t="s">
        <v>10161</v>
      </c>
      <c r="C3504" s="5" t="s">
        <v>10160</v>
      </c>
      <c r="D3504" s="5" t="s">
        <v>74</v>
      </c>
      <c r="E3504" s="5" t="s">
        <v>42</v>
      </c>
      <c r="F3504" s="5" t="s">
        <v>445</v>
      </c>
    </row>
    <row r="3505" ht="12.75" customHeight="1">
      <c r="A3505" s="5" t="s">
        <v>10162</v>
      </c>
      <c r="B3505" s="5" t="s">
        <v>10163</v>
      </c>
      <c r="C3505" s="5" t="s">
        <v>10164</v>
      </c>
      <c r="D3505" s="5" t="s">
        <v>34</v>
      </c>
      <c r="E3505" s="5" t="s">
        <v>42</v>
      </c>
      <c r="F3505" s="5" t="s">
        <v>54</v>
      </c>
    </row>
    <row r="3506" ht="12.75" customHeight="1">
      <c r="A3506" s="5" t="s">
        <v>10165</v>
      </c>
      <c r="B3506" s="10" t="s">
        <v>10166</v>
      </c>
      <c r="C3506" s="5" t="s">
        <v>10165</v>
      </c>
      <c r="D3506" s="5" t="s">
        <v>46</v>
      </c>
      <c r="E3506" s="5" t="s">
        <v>42</v>
      </c>
      <c r="F3506" s="5" t="s">
        <v>3107</v>
      </c>
    </row>
    <row r="3507" ht="12.75" customHeight="1">
      <c r="A3507" s="5" t="s">
        <v>10167</v>
      </c>
      <c r="B3507" s="5" t="s">
        <v>10168</v>
      </c>
      <c r="C3507" s="5" t="s">
        <v>10169</v>
      </c>
      <c r="D3507" s="5" t="s">
        <v>50</v>
      </c>
      <c r="E3507" s="5" t="s">
        <v>42</v>
      </c>
      <c r="F3507" s="5" t="s">
        <v>720</v>
      </c>
    </row>
    <row r="3508" ht="12.75" customHeight="1">
      <c r="A3508" s="5" t="s">
        <v>10170</v>
      </c>
      <c r="B3508" s="5" t="s">
        <v>10171</v>
      </c>
      <c r="C3508" s="5" t="s">
        <v>10172</v>
      </c>
      <c r="D3508" s="5" t="s">
        <v>12</v>
      </c>
      <c r="E3508" s="5" t="s">
        <v>42</v>
      </c>
      <c r="F3508" s="5" t="s">
        <v>375</v>
      </c>
    </row>
    <row r="3509" ht="12.75" customHeight="1">
      <c r="A3509" s="5" t="s">
        <v>10173</v>
      </c>
      <c r="B3509" s="10" t="s">
        <v>10174</v>
      </c>
      <c r="C3509" s="5" t="s">
        <v>10173</v>
      </c>
      <c r="D3509" s="5" t="s">
        <v>34</v>
      </c>
      <c r="E3509" s="5" t="s">
        <v>35</v>
      </c>
      <c r="F3509" s="5" t="s">
        <v>110</v>
      </c>
    </row>
    <row r="3510" ht="12.75" customHeight="1">
      <c r="A3510" s="5" t="s">
        <v>10175</v>
      </c>
      <c r="B3510" s="5" t="s">
        <v>10176</v>
      </c>
      <c r="C3510" s="5" t="s">
        <v>10177</v>
      </c>
      <c r="D3510" s="5" t="s">
        <v>34</v>
      </c>
      <c r="E3510" s="5" t="s">
        <v>35</v>
      </c>
      <c r="F3510" s="5" t="s">
        <v>36</v>
      </c>
    </row>
    <row r="3511" ht="12.75" customHeight="1">
      <c r="A3511" s="5" t="s">
        <v>10178</v>
      </c>
      <c r="B3511" s="5" t="s">
        <v>10179</v>
      </c>
      <c r="C3511" s="5" t="s">
        <v>10178</v>
      </c>
      <c r="D3511" s="5" t="s">
        <v>50</v>
      </c>
      <c r="E3511" s="5" t="s">
        <v>42</v>
      </c>
      <c r="F3511" s="5" t="s">
        <v>610</v>
      </c>
    </row>
    <row r="3512" ht="12.75" customHeight="1">
      <c r="A3512" s="5" t="s">
        <v>10180</v>
      </c>
      <c r="B3512" s="5" t="s">
        <v>10181</v>
      </c>
      <c r="C3512" s="5" t="s">
        <v>10180</v>
      </c>
      <c r="D3512" s="5" t="s">
        <v>34</v>
      </c>
      <c r="E3512" s="5" t="s">
        <v>42</v>
      </c>
      <c r="F3512" s="5" t="s">
        <v>599</v>
      </c>
    </row>
    <row r="3513" ht="12.75" customHeight="1">
      <c r="A3513" s="5" t="s">
        <v>10182</v>
      </c>
      <c r="B3513" s="5" t="s">
        <v>10183</v>
      </c>
      <c r="C3513" s="5" t="s">
        <v>10182</v>
      </c>
      <c r="D3513" s="5" t="s">
        <v>34</v>
      </c>
      <c r="E3513" s="5" t="s">
        <v>42</v>
      </c>
      <c r="F3513" s="5" t="s">
        <v>599</v>
      </c>
    </row>
    <row r="3514" ht="12.75" customHeight="1">
      <c r="A3514" s="5" t="s">
        <v>10184</v>
      </c>
      <c r="B3514" s="5" t="s">
        <v>10185</v>
      </c>
      <c r="C3514" s="5" t="s">
        <v>10184</v>
      </c>
      <c r="D3514" s="5" t="s">
        <v>74</v>
      </c>
      <c r="E3514" s="5" t="s">
        <v>42</v>
      </c>
      <c r="F3514" s="5" t="s">
        <v>445</v>
      </c>
    </row>
    <row r="3515" ht="12.75" customHeight="1">
      <c r="A3515" s="5" t="s">
        <v>10186</v>
      </c>
      <c r="B3515" s="5" t="s">
        <v>10187</v>
      </c>
      <c r="C3515" s="5" t="s">
        <v>10188</v>
      </c>
      <c r="D3515" s="5" t="s">
        <v>48</v>
      </c>
      <c r="E3515" s="5" t="s">
        <v>35</v>
      </c>
      <c r="F3515" s="5" t="s">
        <v>49</v>
      </c>
    </row>
    <row r="3516" ht="12.75" customHeight="1">
      <c r="A3516" s="5" t="s">
        <v>10189</v>
      </c>
      <c r="B3516" s="5" t="s">
        <v>10190</v>
      </c>
      <c r="C3516" s="5" t="s">
        <v>10189</v>
      </c>
      <c r="D3516" s="5" t="s">
        <v>34</v>
      </c>
      <c r="E3516" s="5" t="s">
        <v>42</v>
      </c>
      <c r="F3516" s="5" t="s">
        <v>599</v>
      </c>
    </row>
    <row r="3517" ht="12.75" customHeight="1">
      <c r="A3517" s="5" t="s">
        <v>10191</v>
      </c>
      <c r="B3517" s="5" t="s">
        <v>10192</v>
      </c>
      <c r="C3517" s="5" t="s">
        <v>10193</v>
      </c>
      <c r="D3517" s="5" t="s">
        <v>12</v>
      </c>
      <c r="E3517" s="5" t="s">
        <v>42</v>
      </c>
      <c r="F3517" s="5" t="s">
        <v>454</v>
      </c>
    </row>
    <row r="3518" ht="12.75" customHeight="1">
      <c r="A3518" s="5" t="s">
        <v>10194</v>
      </c>
      <c r="B3518" s="10" t="s">
        <v>10195</v>
      </c>
      <c r="C3518" s="5" t="s">
        <v>10194</v>
      </c>
      <c r="D3518" s="5" t="s">
        <v>34</v>
      </c>
      <c r="E3518" s="5" t="s">
        <v>42</v>
      </c>
      <c r="F3518" s="5" t="s">
        <v>599</v>
      </c>
    </row>
    <row r="3519" ht="12.75" customHeight="1">
      <c r="A3519" s="5" t="s">
        <v>10196</v>
      </c>
      <c r="B3519" s="5" t="s">
        <v>10197</v>
      </c>
      <c r="C3519" s="5" t="s">
        <v>2222</v>
      </c>
      <c r="D3519" s="5" t="s">
        <v>34</v>
      </c>
      <c r="E3519" s="5" t="s">
        <v>42</v>
      </c>
      <c r="F3519" s="5" t="s">
        <v>445</v>
      </c>
      <c r="G3519" s="10" t="s">
        <v>72</v>
      </c>
      <c r="K3519" s="5" t="s">
        <v>10198</v>
      </c>
      <c r="L3519" s="5" t="s">
        <v>10199</v>
      </c>
      <c r="M3519" s="5" t="s">
        <v>10199</v>
      </c>
    </row>
    <row r="3520" ht="12.75" customHeight="1">
      <c r="A3520" s="5" t="s">
        <v>10200</v>
      </c>
      <c r="B3520" s="5" t="s">
        <v>10201</v>
      </c>
      <c r="D3520" s="5" t="s">
        <v>34</v>
      </c>
      <c r="E3520" s="5" t="s">
        <v>42</v>
      </c>
      <c r="F3520" s="5" t="s">
        <v>445</v>
      </c>
      <c r="G3520" s="10" t="s">
        <v>72</v>
      </c>
      <c r="H3520" s="5" t="s">
        <v>10196</v>
      </c>
      <c r="I3520" s="10" t="s">
        <v>72</v>
      </c>
    </row>
    <row r="3521" ht="12.75" customHeight="1">
      <c r="A3521" s="5" t="s">
        <v>10202</v>
      </c>
      <c r="B3521" s="5" t="s">
        <v>10203</v>
      </c>
      <c r="D3521" s="5" t="s">
        <v>34</v>
      </c>
      <c r="E3521" s="5" t="s">
        <v>42</v>
      </c>
      <c r="F3521" s="5" t="s">
        <v>445</v>
      </c>
      <c r="G3521" s="10" t="s">
        <v>72</v>
      </c>
      <c r="H3521" s="5" t="s">
        <v>10196</v>
      </c>
      <c r="I3521" s="10" t="s">
        <v>72</v>
      </c>
      <c r="L3521" s="5" t="s">
        <v>10204</v>
      </c>
      <c r="M3521" s="5" t="s">
        <v>10204</v>
      </c>
    </row>
    <row r="3522" ht="12.75" customHeight="1">
      <c r="A3522" s="5" t="s">
        <v>10205</v>
      </c>
      <c r="B3522" s="5" t="s">
        <v>10206</v>
      </c>
      <c r="D3522" s="5" t="s">
        <v>34</v>
      </c>
      <c r="E3522" s="5" t="s">
        <v>42</v>
      </c>
      <c r="F3522" s="5" t="s">
        <v>445</v>
      </c>
      <c r="G3522" s="10" t="s">
        <v>72</v>
      </c>
      <c r="H3522" s="5" t="s">
        <v>10196</v>
      </c>
      <c r="I3522" s="10" t="s">
        <v>72</v>
      </c>
    </row>
    <row r="3523" ht="12.75" customHeight="1">
      <c r="A3523" s="5" t="s">
        <v>10207</v>
      </c>
      <c r="B3523" s="5" t="s">
        <v>10208</v>
      </c>
      <c r="D3523" s="5" t="s">
        <v>34</v>
      </c>
      <c r="E3523" s="5" t="s">
        <v>42</v>
      </c>
      <c r="F3523" s="5" t="s">
        <v>445</v>
      </c>
      <c r="G3523" s="10" t="s">
        <v>72</v>
      </c>
      <c r="H3523" s="5" t="s">
        <v>10196</v>
      </c>
      <c r="I3523" s="10" t="s">
        <v>72</v>
      </c>
    </row>
    <row r="3524" ht="12.75" customHeight="1">
      <c r="A3524" s="5" t="s">
        <v>10209</v>
      </c>
      <c r="B3524" s="5" t="s">
        <v>10210</v>
      </c>
      <c r="D3524" s="5" t="s">
        <v>34</v>
      </c>
      <c r="E3524" s="5" t="s">
        <v>42</v>
      </c>
      <c r="F3524" s="5" t="s">
        <v>445</v>
      </c>
      <c r="G3524" s="10" t="s">
        <v>72</v>
      </c>
      <c r="H3524" s="5" t="s">
        <v>10196</v>
      </c>
      <c r="I3524" s="10" t="s">
        <v>72</v>
      </c>
    </row>
    <row r="3525" ht="12.75" customHeight="1">
      <c r="A3525" s="5" t="s">
        <v>10211</v>
      </c>
      <c r="B3525" s="5" t="s">
        <v>10212</v>
      </c>
      <c r="D3525" s="5" t="s">
        <v>34</v>
      </c>
      <c r="E3525" s="5" t="s">
        <v>42</v>
      </c>
      <c r="F3525" s="5" t="s">
        <v>113</v>
      </c>
      <c r="G3525" s="10" t="s">
        <v>72</v>
      </c>
      <c r="H3525" s="5" t="s">
        <v>10196</v>
      </c>
      <c r="K3525" s="5" t="s">
        <v>10213</v>
      </c>
    </row>
    <row r="3526" ht="12.75" customHeight="1">
      <c r="A3526" s="5" t="s">
        <v>10214</v>
      </c>
      <c r="B3526" s="5" t="s">
        <v>10215</v>
      </c>
      <c r="D3526" s="5" t="s">
        <v>34</v>
      </c>
      <c r="E3526" s="5" t="s">
        <v>42</v>
      </c>
      <c r="F3526" s="5" t="s">
        <v>228</v>
      </c>
      <c r="G3526" s="10" t="s">
        <v>72</v>
      </c>
      <c r="H3526" s="5" t="s">
        <v>10196</v>
      </c>
    </row>
    <row r="3527" ht="12.75" customHeight="1">
      <c r="A3527" s="5" t="s">
        <v>10216</v>
      </c>
      <c r="B3527" s="5" t="s">
        <v>10217</v>
      </c>
      <c r="D3527" s="5" t="s">
        <v>34</v>
      </c>
      <c r="E3527" s="5" t="s">
        <v>42</v>
      </c>
      <c r="F3527" s="5" t="s">
        <v>1753</v>
      </c>
      <c r="G3527" s="10" t="s">
        <v>72</v>
      </c>
      <c r="H3527" s="5" t="s">
        <v>10196</v>
      </c>
    </row>
    <row r="3528" ht="12.75" customHeight="1">
      <c r="A3528" s="5" t="s">
        <v>10218</v>
      </c>
      <c r="B3528" s="5" t="s">
        <v>10219</v>
      </c>
      <c r="D3528" s="5" t="s">
        <v>34</v>
      </c>
      <c r="E3528" s="5" t="s">
        <v>42</v>
      </c>
      <c r="F3528" s="5" t="s">
        <v>113</v>
      </c>
      <c r="G3528" s="10" t="s">
        <v>72</v>
      </c>
      <c r="H3528" s="5" t="s">
        <v>10196</v>
      </c>
    </row>
    <row r="3529" ht="12.75" customHeight="1">
      <c r="A3529" s="5" t="s">
        <v>10204</v>
      </c>
      <c r="B3529" s="5" t="s">
        <v>10220</v>
      </c>
      <c r="D3529" s="5" t="s">
        <v>34</v>
      </c>
      <c r="E3529" s="5" t="s">
        <v>42</v>
      </c>
      <c r="F3529" s="5" t="s">
        <v>445</v>
      </c>
      <c r="G3529" s="10" t="s">
        <v>72</v>
      </c>
      <c r="H3529" s="5" t="s">
        <v>10202</v>
      </c>
      <c r="I3529" s="10" t="s">
        <v>72</v>
      </c>
    </row>
    <row r="3530" ht="12.75" customHeight="1">
      <c r="A3530" s="5" t="s">
        <v>10213</v>
      </c>
      <c r="B3530" s="5" t="s">
        <v>10221</v>
      </c>
      <c r="D3530" s="5" t="s">
        <v>34</v>
      </c>
      <c r="E3530" s="5" t="s">
        <v>42</v>
      </c>
      <c r="F3530" s="5" t="s">
        <v>228</v>
      </c>
      <c r="G3530" s="10" t="s">
        <v>72</v>
      </c>
      <c r="H3530" s="5" t="s">
        <v>10211</v>
      </c>
    </row>
    <row r="3531" ht="12.75" customHeight="1">
      <c r="A3531" s="5" t="s">
        <v>10222</v>
      </c>
      <c r="B3531" s="5" t="s">
        <v>10223</v>
      </c>
      <c r="D3531" s="5" t="s">
        <v>34</v>
      </c>
      <c r="E3531" s="5" t="s">
        <v>42</v>
      </c>
      <c r="F3531" s="5" t="s">
        <v>445</v>
      </c>
      <c r="G3531" s="10" t="s">
        <v>72</v>
      </c>
      <c r="H3531" s="5" t="s">
        <v>10196</v>
      </c>
      <c r="I3531" s="10" t="s">
        <v>72</v>
      </c>
    </row>
    <row r="3532" ht="12.75" customHeight="1">
      <c r="A3532" s="5" t="s">
        <v>10224</v>
      </c>
      <c r="B3532" s="5" t="s">
        <v>10225</v>
      </c>
      <c r="D3532" s="5" t="s">
        <v>34</v>
      </c>
      <c r="E3532" s="5" t="s">
        <v>42</v>
      </c>
      <c r="F3532" s="5" t="s">
        <v>445</v>
      </c>
      <c r="G3532" s="10" t="s">
        <v>72</v>
      </c>
      <c r="H3532" s="5" t="s">
        <v>10196</v>
      </c>
      <c r="I3532" s="10" t="s">
        <v>72</v>
      </c>
    </row>
    <row r="3533" ht="12.75" customHeight="1">
      <c r="A3533" s="5" t="s">
        <v>10226</v>
      </c>
      <c r="B3533" s="5" t="s">
        <v>10227</v>
      </c>
      <c r="D3533" s="5" t="s">
        <v>34</v>
      </c>
      <c r="E3533" s="5" t="s">
        <v>42</v>
      </c>
      <c r="F3533" s="5" t="s">
        <v>228</v>
      </c>
      <c r="G3533" s="10" t="s">
        <v>72</v>
      </c>
      <c r="H3533" s="5" t="s">
        <v>10196</v>
      </c>
    </row>
    <row r="3534" ht="12.75" customHeight="1">
      <c r="A3534" s="5" t="s">
        <v>10228</v>
      </c>
      <c r="B3534" s="5" t="s">
        <v>10229</v>
      </c>
      <c r="D3534" s="5" t="s">
        <v>34</v>
      </c>
      <c r="E3534" s="5" t="s">
        <v>42</v>
      </c>
      <c r="F3534" s="5" t="s">
        <v>599</v>
      </c>
      <c r="G3534" s="10" t="s">
        <v>72</v>
      </c>
      <c r="H3534" s="5" t="s">
        <v>8637</v>
      </c>
    </row>
    <row r="3535" ht="12.75" customHeight="1">
      <c r="A3535" s="5" t="s">
        <v>10230</v>
      </c>
      <c r="B3535" s="5" t="s">
        <v>10231</v>
      </c>
      <c r="D3535" s="5" t="s">
        <v>34</v>
      </c>
      <c r="E3535" s="5" t="s">
        <v>42</v>
      </c>
      <c r="F3535" s="5" t="s">
        <v>599</v>
      </c>
      <c r="G3535" s="10" t="s">
        <v>72</v>
      </c>
      <c r="H3535" s="5" t="s">
        <v>8645</v>
      </c>
    </row>
    <row r="3536" ht="12.75" customHeight="1">
      <c r="A3536" s="5" t="s">
        <v>10232</v>
      </c>
      <c r="B3536" s="5" t="s">
        <v>10233</v>
      </c>
      <c r="C3536" s="5" t="s">
        <v>10234</v>
      </c>
      <c r="D3536" s="5" t="s">
        <v>50</v>
      </c>
      <c r="E3536" s="5" t="s">
        <v>42</v>
      </c>
      <c r="F3536" s="5" t="s">
        <v>83</v>
      </c>
    </row>
    <row r="3537" ht="12.75" customHeight="1">
      <c r="A3537" s="5" t="s">
        <v>10235</v>
      </c>
      <c r="B3537" s="5" t="s">
        <v>10236</v>
      </c>
      <c r="C3537" s="5" t="s">
        <v>10237</v>
      </c>
      <c r="D3537" s="5" t="s">
        <v>34</v>
      </c>
      <c r="E3537" s="5" t="s">
        <v>42</v>
      </c>
      <c r="F3537" s="5" t="s">
        <v>228</v>
      </c>
    </row>
    <row r="3538" ht="12.75" customHeight="1">
      <c r="A3538" s="5" t="s">
        <v>10238</v>
      </c>
      <c r="B3538" s="5" t="s">
        <v>10239</v>
      </c>
      <c r="C3538" s="5" t="s">
        <v>10237</v>
      </c>
      <c r="D3538" s="5" t="s">
        <v>22</v>
      </c>
      <c r="E3538" s="5" t="s">
        <v>42</v>
      </c>
      <c r="F3538" s="5" t="s">
        <v>162</v>
      </c>
    </row>
    <row r="3539" ht="12.75" customHeight="1">
      <c r="A3539" s="5" t="s">
        <v>10240</v>
      </c>
      <c r="B3539" s="5" t="s">
        <v>10241</v>
      </c>
      <c r="C3539" s="5" t="s">
        <v>10242</v>
      </c>
      <c r="D3539" s="5" t="s">
        <v>34</v>
      </c>
      <c r="E3539" s="5" t="s">
        <v>42</v>
      </c>
      <c r="F3539" s="5" t="s">
        <v>599</v>
      </c>
    </row>
    <row r="3540" ht="12.75" customHeight="1">
      <c r="A3540" s="5" t="s">
        <v>10243</v>
      </c>
      <c r="B3540" s="5" t="s">
        <v>10244</v>
      </c>
      <c r="C3540" s="5" t="s">
        <v>10245</v>
      </c>
      <c r="D3540" s="5" t="s">
        <v>34</v>
      </c>
      <c r="E3540" s="5" t="s">
        <v>42</v>
      </c>
      <c r="F3540" s="5" t="s">
        <v>599</v>
      </c>
    </row>
    <row r="3541" ht="12.75" customHeight="1">
      <c r="A3541" s="5" t="s">
        <v>10246</v>
      </c>
      <c r="B3541" s="5" t="s">
        <v>10247</v>
      </c>
      <c r="C3541" s="5" t="s">
        <v>10248</v>
      </c>
      <c r="D3541" s="5" t="s">
        <v>34</v>
      </c>
      <c r="E3541" s="5" t="s">
        <v>42</v>
      </c>
      <c r="F3541" s="5" t="s">
        <v>599</v>
      </c>
    </row>
    <row r="3542" ht="12.75" customHeight="1">
      <c r="A3542" s="5" t="s">
        <v>10249</v>
      </c>
      <c r="B3542" s="5" t="s">
        <v>10250</v>
      </c>
      <c r="C3542" s="5" t="s">
        <v>4883</v>
      </c>
      <c r="D3542" s="5" t="s">
        <v>38</v>
      </c>
      <c r="E3542" s="5" t="s">
        <v>42</v>
      </c>
      <c r="F3542" s="5" t="s">
        <v>572</v>
      </c>
      <c r="H3542" s="5" t="s">
        <v>2306</v>
      </c>
    </row>
    <row r="3543" ht="12.75" customHeight="1">
      <c r="A3543" s="5" t="s">
        <v>10251</v>
      </c>
      <c r="B3543" s="5" t="s">
        <v>10252</v>
      </c>
      <c r="D3543" s="5" t="s">
        <v>30</v>
      </c>
      <c r="E3543" s="5" t="s">
        <v>42</v>
      </c>
      <c r="F3543" s="5" t="s">
        <v>535</v>
      </c>
      <c r="H3543" s="5" t="s">
        <v>10253</v>
      </c>
    </row>
    <row r="3544" ht="12.75" customHeight="1">
      <c r="A3544" s="5" t="s">
        <v>10254</v>
      </c>
      <c r="B3544" s="5" t="s">
        <v>10255</v>
      </c>
      <c r="D3544" s="5" t="s">
        <v>30</v>
      </c>
      <c r="E3544" s="5" t="s">
        <v>35</v>
      </c>
      <c r="F3544" s="5" t="s">
        <v>263</v>
      </c>
      <c r="H3544" s="5" t="s">
        <v>10253</v>
      </c>
    </row>
    <row r="3545" ht="12.75" customHeight="1">
      <c r="A3545" s="5" t="s">
        <v>10256</v>
      </c>
      <c r="B3545" s="5" t="s">
        <v>10257</v>
      </c>
      <c r="D3545" s="5" t="s">
        <v>30</v>
      </c>
      <c r="E3545" s="5" t="s">
        <v>42</v>
      </c>
      <c r="F3545" s="5" t="s">
        <v>211</v>
      </c>
      <c r="H3545" s="5" t="s">
        <v>10253</v>
      </c>
    </row>
    <row r="3546" ht="12.75" customHeight="1">
      <c r="A3546" s="5" t="s">
        <v>10253</v>
      </c>
      <c r="B3546" s="5" t="s">
        <v>10258</v>
      </c>
      <c r="C3546" s="5" t="s">
        <v>10259</v>
      </c>
      <c r="D3546" s="5" t="s">
        <v>30</v>
      </c>
      <c r="E3546" s="5" t="s">
        <v>42</v>
      </c>
      <c r="F3546" s="5" t="s">
        <v>157</v>
      </c>
      <c r="K3546" s="5" t="s">
        <v>10260</v>
      </c>
    </row>
    <row r="3547" ht="12.75" customHeight="1">
      <c r="A3547" s="5" t="s">
        <v>10261</v>
      </c>
      <c r="B3547" s="5" t="s">
        <v>10262</v>
      </c>
      <c r="C3547" s="5" t="s">
        <v>10261</v>
      </c>
      <c r="D3547" s="5" t="s">
        <v>34</v>
      </c>
      <c r="E3547" s="5" t="s">
        <v>42</v>
      </c>
      <c r="F3547" s="5" t="s">
        <v>637</v>
      </c>
    </row>
    <row r="3548" ht="12.75" customHeight="1">
      <c r="A3548" s="5" t="s">
        <v>10263</v>
      </c>
      <c r="B3548" s="5" t="s">
        <v>10264</v>
      </c>
      <c r="C3548" s="5" t="s">
        <v>10263</v>
      </c>
      <c r="D3548" s="5" t="s">
        <v>34</v>
      </c>
      <c r="E3548" s="5" t="s">
        <v>35</v>
      </c>
      <c r="F3548" s="5" t="s">
        <v>619</v>
      </c>
    </row>
    <row r="3549" ht="12.75" customHeight="1">
      <c r="A3549" s="5" t="s">
        <v>10265</v>
      </c>
      <c r="B3549" s="5" t="s">
        <v>10266</v>
      </c>
      <c r="C3549" s="5" t="s">
        <v>10267</v>
      </c>
      <c r="D3549" s="5" t="s">
        <v>34</v>
      </c>
      <c r="E3549" s="5" t="s">
        <v>42</v>
      </c>
      <c r="F3549" s="5" t="s">
        <v>878</v>
      </c>
    </row>
    <row r="3550" ht="12.75" customHeight="1">
      <c r="A3550" s="5" t="s">
        <v>10268</v>
      </c>
      <c r="B3550" s="5" t="s">
        <v>10269</v>
      </c>
      <c r="C3550" s="5" t="s">
        <v>10270</v>
      </c>
      <c r="D3550" s="5" t="s">
        <v>34</v>
      </c>
      <c r="E3550" s="5" t="s">
        <v>42</v>
      </c>
      <c r="F3550" s="5" t="s">
        <v>162</v>
      </c>
      <c r="G3550" s="10" t="s">
        <v>72</v>
      </c>
    </row>
    <row r="3551" ht="12.75" customHeight="1">
      <c r="A3551" s="5" t="s">
        <v>10271</v>
      </c>
      <c r="B3551" s="5" t="s">
        <v>10272</v>
      </c>
      <c r="C3551" s="5" t="s">
        <v>10271</v>
      </c>
      <c r="D3551" s="5" t="s">
        <v>34</v>
      </c>
      <c r="E3551" s="5" t="s">
        <v>42</v>
      </c>
      <c r="F3551" s="5" t="s">
        <v>756</v>
      </c>
    </row>
    <row r="3552" ht="12.75" customHeight="1">
      <c r="A3552" s="5" t="s">
        <v>10273</v>
      </c>
      <c r="B3552" s="5" t="s">
        <v>10274</v>
      </c>
      <c r="C3552" s="5" t="s">
        <v>10273</v>
      </c>
      <c r="D3552" s="5" t="s">
        <v>34</v>
      </c>
      <c r="E3552" s="5" t="s">
        <v>42</v>
      </c>
      <c r="F3552" s="5" t="s">
        <v>199</v>
      </c>
    </row>
    <row r="3553" ht="12.75" customHeight="1">
      <c r="A3553" s="5" t="s">
        <v>10275</v>
      </c>
      <c r="B3553" s="5" t="s">
        <v>10276</v>
      </c>
      <c r="C3553" s="5" t="s">
        <v>10277</v>
      </c>
      <c r="D3553" s="5" t="s">
        <v>34</v>
      </c>
      <c r="E3553" s="5" t="s">
        <v>42</v>
      </c>
      <c r="F3553" s="5" t="s">
        <v>1991</v>
      </c>
      <c r="G3553" s="10" t="s">
        <v>72</v>
      </c>
    </row>
    <row r="3554" ht="12.75" customHeight="1">
      <c r="A3554" s="5" t="s">
        <v>10278</v>
      </c>
      <c r="B3554" s="10" t="s">
        <v>10279</v>
      </c>
      <c r="C3554" s="5" t="s">
        <v>10278</v>
      </c>
      <c r="D3554" s="5" t="s">
        <v>34</v>
      </c>
      <c r="E3554" s="5" t="s">
        <v>42</v>
      </c>
      <c r="F3554" s="5" t="s">
        <v>228</v>
      </c>
    </row>
    <row r="3555" ht="12.75" customHeight="1">
      <c r="A3555" s="5" t="s">
        <v>10280</v>
      </c>
      <c r="B3555" s="5" t="s">
        <v>10281</v>
      </c>
      <c r="C3555" s="5" t="s">
        <v>10278</v>
      </c>
      <c r="D3555" s="5" t="s">
        <v>34</v>
      </c>
      <c r="E3555" s="5" t="s">
        <v>42</v>
      </c>
      <c r="F3555" s="5" t="s">
        <v>228</v>
      </c>
      <c r="G3555" s="10" t="s">
        <v>72</v>
      </c>
    </row>
    <row r="3556" ht="12.75" customHeight="1">
      <c r="A3556" s="5" t="s">
        <v>10282</v>
      </c>
      <c r="B3556" s="5" t="s">
        <v>10283</v>
      </c>
      <c r="C3556" s="5" t="s">
        <v>10282</v>
      </c>
      <c r="D3556" s="5" t="s">
        <v>34</v>
      </c>
      <c r="E3556" s="5" t="s">
        <v>42</v>
      </c>
      <c r="F3556" s="5" t="s">
        <v>610</v>
      </c>
    </row>
    <row r="3557" ht="12.75" customHeight="1">
      <c r="A3557" s="5" t="s">
        <v>10284</v>
      </c>
      <c r="B3557" s="10" t="s">
        <v>10285</v>
      </c>
      <c r="C3557" s="5" t="s">
        <v>10284</v>
      </c>
      <c r="D3557" s="5" t="s">
        <v>34</v>
      </c>
      <c r="E3557" s="5" t="s">
        <v>42</v>
      </c>
      <c r="F3557" s="5" t="s">
        <v>65</v>
      </c>
    </row>
    <row r="3558" ht="12.75" customHeight="1">
      <c r="A3558" s="5" t="s">
        <v>10286</v>
      </c>
      <c r="B3558" s="10" t="s">
        <v>10287</v>
      </c>
      <c r="C3558" s="5" t="s">
        <v>10288</v>
      </c>
      <c r="D3558" s="5" t="s">
        <v>34</v>
      </c>
      <c r="E3558" s="5" t="s">
        <v>35</v>
      </c>
      <c r="F3558" s="5" t="s">
        <v>619</v>
      </c>
    </row>
    <row r="3559" ht="12.75" customHeight="1">
      <c r="A3559" s="5" t="s">
        <v>10289</v>
      </c>
      <c r="B3559" s="5" t="s">
        <v>10290</v>
      </c>
      <c r="C3559" s="5" t="s">
        <v>10289</v>
      </c>
      <c r="D3559" s="5" t="s">
        <v>34</v>
      </c>
      <c r="E3559" s="5" t="s">
        <v>42</v>
      </c>
      <c r="F3559" s="5" t="s">
        <v>43</v>
      </c>
      <c r="G3559" s="10" t="s">
        <v>72</v>
      </c>
    </row>
    <row r="3560" ht="12.75" customHeight="1">
      <c r="A3560" s="5" t="s">
        <v>10291</v>
      </c>
      <c r="B3560" s="5" t="s">
        <v>10292</v>
      </c>
      <c r="C3560" s="5" t="s">
        <v>10293</v>
      </c>
      <c r="D3560" s="5" t="s">
        <v>38</v>
      </c>
      <c r="E3560" s="5" t="s">
        <v>35</v>
      </c>
      <c r="F3560" s="5" t="s">
        <v>1776</v>
      </c>
    </row>
    <row r="3561" ht="12.75" customHeight="1">
      <c r="A3561" s="5" t="s">
        <v>10294</v>
      </c>
      <c r="B3561" s="5" t="s">
        <v>10295</v>
      </c>
      <c r="C3561" s="5" t="s">
        <v>10296</v>
      </c>
      <c r="D3561" s="5" t="s">
        <v>50</v>
      </c>
      <c r="E3561" s="5" t="s">
        <v>42</v>
      </c>
      <c r="F3561" s="5" t="s">
        <v>756</v>
      </c>
    </row>
    <row r="3562" ht="12.75" customHeight="1">
      <c r="A3562" s="5" t="s">
        <v>10297</v>
      </c>
      <c r="B3562" s="5" t="s">
        <v>10298</v>
      </c>
      <c r="C3562" s="5" t="s">
        <v>10296</v>
      </c>
      <c r="D3562" s="5" t="s">
        <v>50</v>
      </c>
      <c r="E3562" s="5" t="s">
        <v>42</v>
      </c>
      <c r="F3562" s="5" t="s">
        <v>756</v>
      </c>
    </row>
    <row r="3563" ht="12.75" customHeight="1">
      <c r="A3563" s="5" t="s">
        <v>10299</v>
      </c>
      <c r="B3563" s="5" t="s">
        <v>10300</v>
      </c>
      <c r="C3563" s="5" t="s">
        <v>10299</v>
      </c>
      <c r="D3563" s="5" t="s">
        <v>38</v>
      </c>
      <c r="E3563" s="5" t="s">
        <v>42</v>
      </c>
      <c r="F3563" s="5" t="s">
        <v>572</v>
      </c>
      <c r="G3563" s="10" t="s">
        <v>72</v>
      </c>
    </row>
    <row r="3564" ht="12.75" customHeight="1">
      <c r="A3564" s="5" t="s">
        <v>10301</v>
      </c>
      <c r="B3564" s="5" t="s">
        <v>10302</v>
      </c>
      <c r="C3564" s="5" t="s">
        <v>10301</v>
      </c>
      <c r="D3564" s="5" t="s">
        <v>74</v>
      </c>
      <c r="E3564" s="5" t="s">
        <v>35</v>
      </c>
      <c r="F3564" s="5" t="s">
        <v>267</v>
      </c>
      <c r="G3564" s="10" t="s">
        <v>72</v>
      </c>
    </row>
    <row r="3565" ht="12.75" customHeight="1">
      <c r="A3565" s="5" t="s">
        <v>10303</v>
      </c>
      <c r="B3565" s="5" t="s">
        <v>10304</v>
      </c>
      <c r="C3565" s="5" t="s">
        <v>10305</v>
      </c>
      <c r="D3565" s="5" t="s">
        <v>34</v>
      </c>
      <c r="E3565" s="5" t="s">
        <v>42</v>
      </c>
      <c r="F3565" s="5" t="s">
        <v>878</v>
      </c>
    </row>
    <row r="3566" ht="12.75" customHeight="1">
      <c r="A3566" s="5" t="s">
        <v>10306</v>
      </c>
      <c r="B3566" s="5" t="s">
        <v>10307</v>
      </c>
      <c r="C3566" s="5" t="s">
        <v>10306</v>
      </c>
      <c r="D3566" s="5" t="s">
        <v>34</v>
      </c>
      <c r="E3566" s="5" t="s">
        <v>35</v>
      </c>
      <c r="F3566" s="5" t="s">
        <v>868</v>
      </c>
    </row>
    <row r="3567" ht="12.75" customHeight="1">
      <c r="A3567" s="5" t="s">
        <v>10308</v>
      </c>
      <c r="B3567" s="10" t="s">
        <v>10309</v>
      </c>
      <c r="C3567" s="5" t="s">
        <v>10308</v>
      </c>
      <c r="D3567" s="5" t="s">
        <v>34</v>
      </c>
      <c r="E3567" s="5" t="s">
        <v>42</v>
      </c>
      <c r="F3567" s="5" t="s">
        <v>556</v>
      </c>
    </row>
    <row r="3568" ht="12.75" customHeight="1">
      <c r="A3568" s="5" t="s">
        <v>10310</v>
      </c>
      <c r="B3568" s="10" t="s">
        <v>10311</v>
      </c>
      <c r="C3568" s="5" t="s">
        <v>10312</v>
      </c>
      <c r="D3568" s="5" t="s">
        <v>34</v>
      </c>
      <c r="E3568" s="5" t="s">
        <v>42</v>
      </c>
      <c r="F3568" s="5" t="s">
        <v>167</v>
      </c>
    </row>
    <row r="3569" ht="12.75" customHeight="1">
      <c r="A3569" s="5" t="s">
        <v>10313</v>
      </c>
      <c r="B3569" s="5" t="s">
        <v>10314</v>
      </c>
      <c r="C3569" s="5" t="s">
        <v>10313</v>
      </c>
      <c r="D3569" s="5" t="s">
        <v>34</v>
      </c>
      <c r="E3569" s="5" t="s">
        <v>42</v>
      </c>
      <c r="F3569" s="5" t="s">
        <v>167</v>
      </c>
      <c r="G3569" s="10" t="s">
        <v>72</v>
      </c>
    </row>
    <row r="3570" ht="12.75" customHeight="1">
      <c r="A3570" s="5" t="s">
        <v>10315</v>
      </c>
      <c r="B3570" s="10" t="s">
        <v>10316</v>
      </c>
      <c r="C3570" s="5" t="s">
        <v>10317</v>
      </c>
      <c r="D3570" s="5" t="s">
        <v>34</v>
      </c>
      <c r="E3570" s="5" t="s">
        <v>35</v>
      </c>
      <c r="F3570" s="5" t="s">
        <v>710</v>
      </c>
    </row>
    <row r="3571" ht="12.75" customHeight="1">
      <c r="A3571" s="5" t="s">
        <v>10318</v>
      </c>
      <c r="B3571" s="5" t="s">
        <v>10319</v>
      </c>
      <c r="C3571" s="5" t="s">
        <v>10317</v>
      </c>
      <c r="D3571" s="5" t="s">
        <v>34</v>
      </c>
      <c r="E3571" s="5" t="s">
        <v>35</v>
      </c>
      <c r="F3571" s="5" t="s">
        <v>710</v>
      </c>
    </row>
    <row r="3572" ht="12.75" customHeight="1">
      <c r="A3572" s="5" t="s">
        <v>3676</v>
      </c>
      <c r="B3572" s="10" t="s">
        <v>10320</v>
      </c>
      <c r="C3572" s="5" t="s">
        <v>10321</v>
      </c>
      <c r="D3572" s="5" t="s">
        <v>30</v>
      </c>
      <c r="E3572" s="5" t="s">
        <v>42</v>
      </c>
      <c r="F3572" s="5" t="s">
        <v>974</v>
      </c>
      <c r="H3572" s="5" t="s">
        <v>7612</v>
      </c>
      <c r="I3572" s="10" t="s">
        <v>72</v>
      </c>
      <c r="K3572" s="5" t="s">
        <v>4316</v>
      </c>
      <c r="L3572" s="5" t="s">
        <v>10322</v>
      </c>
    </row>
    <row r="3573" ht="12.75" customHeight="1">
      <c r="A3573" s="5" t="s">
        <v>5115</v>
      </c>
      <c r="B3573" s="10" t="s">
        <v>10323</v>
      </c>
      <c r="D3573" s="5" t="s">
        <v>22</v>
      </c>
      <c r="E3573" s="5" t="s">
        <v>35</v>
      </c>
      <c r="F3573" s="5" t="s">
        <v>104</v>
      </c>
      <c r="H3573" s="5" t="s">
        <v>5112</v>
      </c>
      <c r="I3573" s="10" t="s">
        <v>72</v>
      </c>
    </row>
    <row r="3574" ht="12.75" customHeight="1">
      <c r="A3574" s="5" t="s">
        <v>4422</v>
      </c>
      <c r="B3574" s="5" t="s">
        <v>10324</v>
      </c>
      <c r="D3574" s="5" t="s">
        <v>22</v>
      </c>
      <c r="E3574" s="5" t="s">
        <v>42</v>
      </c>
      <c r="F3574" s="5" t="s">
        <v>610</v>
      </c>
      <c r="H3574" s="5" t="s">
        <v>4173</v>
      </c>
      <c r="I3574" s="10" t="s">
        <v>72</v>
      </c>
      <c r="L3574" s="5" t="s">
        <v>10325</v>
      </c>
    </row>
    <row r="3575" ht="12.75" customHeight="1">
      <c r="A3575" s="5" t="s">
        <v>4293</v>
      </c>
      <c r="B3575" s="5" t="s">
        <v>10326</v>
      </c>
      <c r="D3575" s="5" t="s">
        <v>30</v>
      </c>
      <c r="E3575" s="5" t="s">
        <v>35</v>
      </c>
      <c r="F3575" s="5" t="s">
        <v>1831</v>
      </c>
      <c r="H3575" s="5" t="s">
        <v>2945</v>
      </c>
      <c r="I3575" s="10" t="s">
        <v>72</v>
      </c>
      <c r="L3575" s="5" t="s">
        <v>4291</v>
      </c>
    </row>
    <row r="3576" ht="12.75" customHeight="1">
      <c r="A3576" s="5" t="s">
        <v>4692</v>
      </c>
      <c r="B3576" s="5" t="s">
        <v>10327</v>
      </c>
      <c r="D3576" s="5" t="s">
        <v>30</v>
      </c>
      <c r="E3576" s="5" t="s">
        <v>42</v>
      </c>
      <c r="F3576" s="5" t="s">
        <v>157</v>
      </c>
      <c r="H3576" s="5" t="s">
        <v>2838</v>
      </c>
      <c r="I3576" s="10" t="s">
        <v>72</v>
      </c>
      <c r="K3576" s="5" t="s">
        <v>4688</v>
      </c>
    </row>
    <row r="3577" ht="12.75" customHeight="1">
      <c r="A3577" s="5" t="s">
        <v>4312</v>
      </c>
      <c r="B3577" s="5" t="s">
        <v>10328</v>
      </c>
      <c r="D3577" s="5" t="s">
        <v>50</v>
      </c>
      <c r="E3577" s="5" t="s">
        <v>35</v>
      </c>
      <c r="F3577" s="5" t="s">
        <v>605</v>
      </c>
      <c r="H3577" s="5" t="s">
        <v>4538</v>
      </c>
      <c r="I3577" s="10" t="s">
        <v>72</v>
      </c>
      <c r="L3577" s="5" t="s">
        <v>10329</v>
      </c>
    </row>
    <row r="3578" ht="12.75" customHeight="1">
      <c r="A3578" s="5" t="s">
        <v>2243</v>
      </c>
      <c r="B3578" s="5" t="s">
        <v>10330</v>
      </c>
      <c r="D3578" s="5" t="s">
        <v>50</v>
      </c>
      <c r="E3578" s="5" t="s">
        <v>42</v>
      </c>
      <c r="F3578" s="5" t="s">
        <v>657</v>
      </c>
      <c r="H3578" s="5" t="s">
        <v>2095</v>
      </c>
      <c r="I3578" s="10" t="s">
        <v>72</v>
      </c>
      <c r="L3578" s="5" t="s">
        <v>10331</v>
      </c>
    </row>
    <row r="3579" ht="12.75" customHeight="1">
      <c r="A3579" s="5" t="s">
        <v>119</v>
      </c>
      <c r="B3579" s="5" t="s">
        <v>10332</v>
      </c>
      <c r="D3579" s="5" t="s">
        <v>34</v>
      </c>
      <c r="E3579" s="5" t="s">
        <v>35</v>
      </c>
      <c r="F3579" s="5" t="s">
        <v>4630</v>
      </c>
      <c r="H3579" s="5" t="s">
        <v>2885</v>
      </c>
      <c r="I3579" s="10" t="s">
        <v>72</v>
      </c>
      <c r="K3579" s="5" t="s">
        <v>114</v>
      </c>
      <c r="L3579" s="5" t="s">
        <v>4626</v>
      </c>
    </row>
    <row r="3580" ht="12.75" customHeight="1">
      <c r="A3580" s="5" t="s">
        <v>2862</v>
      </c>
      <c r="B3580" s="5" t="s">
        <v>10333</v>
      </c>
      <c r="D3580" s="5" t="s">
        <v>34</v>
      </c>
      <c r="E3580" s="5" t="s">
        <v>42</v>
      </c>
      <c r="F3580" s="5" t="s">
        <v>572</v>
      </c>
      <c r="H3580" s="5" t="s">
        <v>916</v>
      </c>
      <c r="I3580" s="10" t="s">
        <v>72</v>
      </c>
      <c r="L3580" s="5" t="s">
        <v>10334</v>
      </c>
    </row>
    <row r="3581" ht="12.75" customHeight="1">
      <c r="A3581" s="5" t="s">
        <v>1297</v>
      </c>
      <c r="B3581" s="5" t="s">
        <v>10335</v>
      </c>
      <c r="D3581" s="5" t="s">
        <v>67</v>
      </c>
      <c r="E3581" s="5" t="s">
        <v>42</v>
      </c>
      <c r="F3581" s="5" t="s">
        <v>1308</v>
      </c>
      <c r="H3581" s="5" t="s">
        <v>4745</v>
      </c>
      <c r="I3581" s="10" t="s">
        <v>72</v>
      </c>
      <c r="K3581" s="5" t="s">
        <v>10336</v>
      </c>
      <c r="L3581" s="5" t="s">
        <v>10337</v>
      </c>
    </row>
    <row r="3582" ht="12.75" customHeight="1">
      <c r="A3582" s="5" t="s">
        <v>4305</v>
      </c>
      <c r="B3582" s="5" t="s">
        <v>10338</v>
      </c>
      <c r="D3582" s="5" t="s">
        <v>74</v>
      </c>
      <c r="E3582" s="5" t="s">
        <v>35</v>
      </c>
      <c r="F3582" s="5" t="s">
        <v>868</v>
      </c>
      <c r="H3582" s="5" t="s">
        <v>5149</v>
      </c>
      <c r="I3582" s="10" t="s">
        <v>72</v>
      </c>
      <c r="L3582" s="5" t="s">
        <v>10339</v>
      </c>
    </row>
    <row r="3583" ht="12.75" customHeight="1">
      <c r="A3583" s="5" t="s">
        <v>10340</v>
      </c>
      <c r="B3583" s="10" t="s">
        <v>10341</v>
      </c>
      <c r="D3583" s="5" t="s">
        <v>74</v>
      </c>
      <c r="E3583" s="5" t="s">
        <v>42</v>
      </c>
      <c r="F3583" s="5" t="s">
        <v>4728</v>
      </c>
      <c r="H3583" s="5" t="s">
        <v>4729</v>
      </c>
      <c r="I3583" s="10" t="s">
        <v>72</v>
      </c>
    </row>
    <row r="3584" ht="12.75" customHeight="1">
      <c r="A3584" s="5" t="s">
        <v>5219</v>
      </c>
      <c r="B3584" s="5" t="s">
        <v>10342</v>
      </c>
      <c r="D3584" s="5" t="s">
        <v>80</v>
      </c>
      <c r="E3584" s="5" t="s">
        <v>35</v>
      </c>
      <c r="F3584" s="5" t="s">
        <v>1831</v>
      </c>
      <c r="H3584" s="5" t="s">
        <v>5217</v>
      </c>
      <c r="I3584" s="10" t="s">
        <v>72</v>
      </c>
    </row>
    <row r="3585" ht="12.75" customHeight="1">
      <c r="A3585" s="5" t="s">
        <v>8516</v>
      </c>
      <c r="B3585" s="5" t="s">
        <v>10343</v>
      </c>
      <c r="D3585" s="5" t="s">
        <v>80</v>
      </c>
      <c r="E3585" s="5" t="s">
        <v>42</v>
      </c>
      <c r="F3585" s="5" t="s">
        <v>1911</v>
      </c>
      <c r="H3585" s="5" t="s">
        <v>2926</v>
      </c>
      <c r="I3585" s="10" t="s">
        <v>72</v>
      </c>
      <c r="K3585" s="5" t="s">
        <v>8514</v>
      </c>
    </row>
    <row r="3586" ht="12.75" customHeight="1">
      <c r="A3586" s="5" t="s">
        <v>10344</v>
      </c>
      <c r="B3586" s="5" t="s">
        <v>10345</v>
      </c>
      <c r="D3586" s="5" t="s">
        <v>38</v>
      </c>
      <c r="E3586" s="5" t="s">
        <v>42</v>
      </c>
      <c r="F3586" s="5" t="s">
        <v>572</v>
      </c>
      <c r="H3586" s="5" t="s">
        <v>2306</v>
      </c>
    </row>
    <row r="3587" ht="12.75" customHeight="1">
      <c r="A3587" s="5" t="s">
        <v>10346</v>
      </c>
      <c r="B3587" s="5" t="s">
        <v>10347</v>
      </c>
      <c r="C3587" s="5" t="s">
        <v>14</v>
      </c>
      <c r="D3587" s="5" t="s">
        <v>12</v>
      </c>
      <c r="E3587" s="5" t="s">
        <v>35</v>
      </c>
      <c r="F3587" s="5" t="s">
        <v>454</v>
      </c>
    </row>
    <row r="3588" ht="12.75" customHeight="1">
      <c r="A3588" s="5" t="s">
        <v>10348</v>
      </c>
      <c r="B3588" s="5" t="s">
        <v>10349</v>
      </c>
      <c r="C3588" s="5" t="s">
        <v>14</v>
      </c>
      <c r="D3588" s="5" t="s">
        <v>12</v>
      </c>
      <c r="E3588" s="5" t="s">
        <v>42</v>
      </c>
      <c r="F3588" s="5" t="s">
        <v>454</v>
      </c>
    </row>
    <row r="3589" ht="12.75" customHeight="1">
      <c r="A3589" s="5" t="s">
        <v>4686</v>
      </c>
      <c r="B3589" s="5" t="s">
        <v>10350</v>
      </c>
      <c r="C3589" s="5" t="s">
        <v>24</v>
      </c>
      <c r="D3589" s="5" t="s">
        <v>22</v>
      </c>
      <c r="E3589" s="5" t="s">
        <v>35</v>
      </c>
      <c r="F3589" s="5" t="s">
        <v>1776</v>
      </c>
      <c r="K3589" s="5" t="s">
        <v>10351</v>
      </c>
      <c r="L3589" s="5" t="s">
        <v>10352</v>
      </c>
    </row>
    <row r="3590" ht="12.75" customHeight="1">
      <c r="A3590" s="5" t="s">
        <v>4296</v>
      </c>
      <c r="B3590" s="5" t="s">
        <v>10353</v>
      </c>
      <c r="C3590" s="5" t="s">
        <v>24</v>
      </c>
      <c r="D3590" s="5" t="s">
        <v>22</v>
      </c>
      <c r="E3590" s="5" t="s">
        <v>42</v>
      </c>
      <c r="F3590" s="5" t="s">
        <v>423</v>
      </c>
      <c r="L3590" s="5" t="s">
        <v>4294</v>
      </c>
    </row>
    <row r="3591" ht="12.75" customHeight="1">
      <c r="A3591" s="5" t="s">
        <v>10354</v>
      </c>
      <c r="B3591" s="5" t="s">
        <v>10355</v>
      </c>
      <c r="C3591" s="5" t="s">
        <v>32</v>
      </c>
      <c r="D3591" s="5" t="s">
        <v>30</v>
      </c>
      <c r="E3591" s="5" t="s">
        <v>35</v>
      </c>
      <c r="F3591" s="5" t="s">
        <v>1886</v>
      </c>
    </row>
    <row r="3592" ht="12.75" customHeight="1">
      <c r="A3592" s="5" t="s">
        <v>10356</v>
      </c>
      <c r="B3592" s="10" t="s">
        <v>10357</v>
      </c>
      <c r="C3592" s="5" t="s">
        <v>32</v>
      </c>
      <c r="D3592" s="5" t="s">
        <v>30</v>
      </c>
      <c r="E3592" s="5" t="s">
        <v>42</v>
      </c>
      <c r="F3592" s="5" t="s">
        <v>974</v>
      </c>
    </row>
    <row r="3593" ht="12.75" customHeight="1">
      <c r="A3593" s="5" t="s">
        <v>4141</v>
      </c>
      <c r="B3593" s="5" t="s">
        <v>10358</v>
      </c>
      <c r="C3593" s="5" t="s">
        <v>47</v>
      </c>
      <c r="D3593" s="5" t="s">
        <v>46</v>
      </c>
      <c r="E3593" s="5" t="s">
        <v>35</v>
      </c>
      <c r="F3593" s="5" t="s">
        <v>924</v>
      </c>
      <c r="K3593" s="5" t="s">
        <v>4136</v>
      </c>
    </row>
    <row r="3594" ht="12.75" customHeight="1">
      <c r="A3594" s="5" t="s">
        <v>10359</v>
      </c>
      <c r="B3594" s="10" t="s">
        <v>10360</v>
      </c>
      <c r="C3594" s="5" t="s">
        <v>47</v>
      </c>
      <c r="D3594" s="5" t="s">
        <v>46</v>
      </c>
      <c r="E3594" s="5" t="s">
        <v>42</v>
      </c>
      <c r="F3594" s="5" t="s">
        <v>2701</v>
      </c>
    </row>
    <row r="3595" ht="12.75" customHeight="1">
      <c r="A3595" s="5" t="s">
        <v>4641</v>
      </c>
      <c r="B3595" s="10" t="s">
        <v>10361</v>
      </c>
      <c r="C3595" s="5" t="s">
        <v>51</v>
      </c>
      <c r="D3595" s="5" t="s">
        <v>50</v>
      </c>
      <c r="E3595" s="5" t="s">
        <v>35</v>
      </c>
      <c r="F3595" s="5" t="s">
        <v>605</v>
      </c>
      <c r="L3595" s="5" t="s">
        <v>10362</v>
      </c>
    </row>
    <row r="3596" ht="12.75" customHeight="1">
      <c r="A3596" s="5" t="s">
        <v>4644</v>
      </c>
      <c r="B3596" s="5" t="s">
        <v>10363</v>
      </c>
      <c r="C3596" s="5" t="s">
        <v>51</v>
      </c>
      <c r="D3596" s="5" t="s">
        <v>50</v>
      </c>
      <c r="E3596" s="5" t="s">
        <v>42</v>
      </c>
      <c r="F3596" s="5" t="s">
        <v>113</v>
      </c>
      <c r="K3596" s="5" t="s">
        <v>10364</v>
      </c>
      <c r="L3596" s="5" t="s">
        <v>4642</v>
      </c>
    </row>
    <row r="3597" ht="12.75" customHeight="1">
      <c r="A3597" s="5" t="s">
        <v>10365</v>
      </c>
      <c r="B3597" s="5" t="s">
        <v>10366</v>
      </c>
      <c r="C3597" s="5" t="s">
        <v>57</v>
      </c>
      <c r="D3597" s="5" t="s">
        <v>55</v>
      </c>
      <c r="E3597" s="5" t="s">
        <v>35</v>
      </c>
      <c r="F3597" s="5" t="s">
        <v>454</v>
      </c>
    </row>
    <row r="3598" ht="12.75" customHeight="1">
      <c r="A3598" s="5" t="s">
        <v>10367</v>
      </c>
      <c r="B3598" s="5" t="s">
        <v>10368</v>
      </c>
      <c r="C3598" s="5" t="s">
        <v>57</v>
      </c>
      <c r="D3598" s="5" t="s">
        <v>55</v>
      </c>
      <c r="E3598" s="5" t="s">
        <v>42</v>
      </c>
      <c r="F3598" s="5" t="s">
        <v>454</v>
      </c>
    </row>
    <row r="3599" ht="12.75" customHeight="1">
      <c r="A3599" s="5" t="s">
        <v>1292</v>
      </c>
      <c r="B3599" s="10" t="s">
        <v>10369</v>
      </c>
      <c r="C3599" s="5" t="s">
        <v>57</v>
      </c>
      <c r="D3599" s="5" t="s">
        <v>55</v>
      </c>
      <c r="E3599" s="5" t="s">
        <v>42</v>
      </c>
      <c r="F3599" s="5" t="s">
        <v>454</v>
      </c>
      <c r="K3599" s="5" t="s">
        <v>4127</v>
      </c>
      <c r="L3599" s="5" t="s">
        <v>10370</v>
      </c>
    </row>
    <row r="3600" ht="12.75" customHeight="1">
      <c r="A3600" s="5" t="s">
        <v>4624</v>
      </c>
      <c r="B3600" s="5" t="s">
        <v>10371</v>
      </c>
      <c r="C3600" s="5" t="s">
        <v>61</v>
      </c>
      <c r="D3600" s="5" t="s">
        <v>34</v>
      </c>
      <c r="E3600" s="5" t="s">
        <v>35</v>
      </c>
      <c r="F3600" s="5" t="s">
        <v>278</v>
      </c>
      <c r="K3600" s="5" t="s">
        <v>10372</v>
      </c>
    </row>
    <row r="3601" ht="12.75" customHeight="1">
      <c r="A3601" s="5" t="s">
        <v>2306</v>
      </c>
      <c r="B3601" s="10" t="s">
        <v>10373</v>
      </c>
      <c r="C3601" s="5" t="s">
        <v>61</v>
      </c>
      <c r="D3601" s="5" t="s">
        <v>34</v>
      </c>
      <c r="E3601" s="5" t="s">
        <v>42</v>
      </c>
      <c r="F3601" s="5" t="s">
        <v>756</v>
      </c>
      <c r="K3601" s="5" t="s">
        <v>10374</v>
      </c>
    </row>
    <row r="3602" ht="12.75" customHeight="1">
      <c r="A3602" s="5" t="s">
        <v>10375</v>
      </c>
      <c r="B3602" s="10" t="s">
        <v>10376</v>
      </c>
      <c r="C3602" s="5" t="s">
        <v>69</v>
      </c>
      <c r="D3602" s="5" t="s">
        <v>67</v>
      </c>
      <c r="E3602" s="5" t="s">
        <v>35</v>
      </c>
      <c r="F3602" s="5" t="s">
        <v>624</v>
      </c>
    </row>
    <row r="3603" ht="12.75" customHeight="1">
      <c r="A3603" s="5" t="s">
        <v>10377</v>
      </c>
      <c r="B3603" s="5" t="s">
        <v>10378</v>
      </c>
      <c r="C3603" s="5" t="s">
        <v>69</v>
      </c>
      <c r="D3603" s="5" t="s">
        <v>67</v>
      </c>
      <c r="E3603" s="5" t="s">
        <v>42</v>
      </c>
      <c r="F3603" s="5" t="s">
        <v>1727</v>
      </c>
    </row>
    <row r="3604" ht="12.75" customHeight="1">
      <c r="A3604" s="5" t="s">
        <v>10379</v>
      </c>
      <c r="B3604" s="10" t="s">
        <v>10380</v>
      </c>
      <c r="C3604" s="5" t="s">
        <v>76</v>
      </c>
      <c r="D3604" s="5" t="s">
        <v>74</v>
      </c>
      <c r="E3604" s="5" t="s">
        <v>35</v>
      </c>
      <c r="F3604" s="5" t="s">
        <v>695</v>
      </c>
      <c r="L3604" s="5" t="s">
        <v>10381</v>
      </c>
    </row>
    <row r="3605" ht="12.75" customHeight="1">
      <c r="A3605" s="5" t="s">
        <v>4289</v>
      </c>
      <c r="B3605" s="10" t="s">
        <v>10382</v>
      </c>
      <c r="C3605" s="5" t="s">
        <v>76</v>
      </c>
      <c r="D3605" s="5" t="s">
        <v>74</v>
      </c>
      <c r="E3605" s="5" t="s">
        <v>42</v>
      </c>
      <c r="F3605" s="5" t="s">
        <v>572</v>
      </c>
      <c r="L3605" s="5" t="s">
        <v>10383</v>
      </c>
    </row>
    <row r="3606" ht="12.75" customHeight="1">
      <c r="A3606" s="5" t="s">
        <v>10384</v>
      </c>
      <c r="B3606" s="10" t="s">
        <v>10385</v>
      </c>
      <c r="C3606" s="5" t="s">
        <v>82</v>
      </c>
      <c r="D3606" s="5" t="s">
        <v>80</v>
      </c>
      <c r="E3606" s="5" t="s">
        <v>35</v>
      </c>
      <c r="F3606" s="5" t="s">
        <v>1875</v>
      </c>
    </row>
    <row r="3607" ht="12.75" customHeight="1">
      <c r="A3607" s="5" t="s">
        <v>4119</v>
      </c>
      <c r="B3607" s="5" t="s">
        <v>10386</v>
      </c>
      <c r="C3607" s="5" t="s">
        <v>82</v>
      </c>
      <c r="D3607" s="5" t="s">
        <v>80</v>
      </c>
      <c r="E3607" s="5" t="s">
        <v>42</v>
      </c>
      <c r="F3607" s="5" t="s">
        <v>157</v>
      </c>
      <c r="K3607" s="5" t="s">
        <v>4116</v>
      </c>
    </row>
    <row r="3608" ht="12.75" customHeight="1">
      <c r="A3608" s="5" t="s">
        <v>4575</v>
      </c>
      <c r="B3608" s="5" t="s">
        <v>10387</v>
      </c>
      <c r="C3608" s="5" t="s">
        <v>10388</v>
      </c>
      <c r="D3608" s="5" t="s">
        <v>50</v>
      </c>
      <c r="E3608" s="5" t="s">
        <v>35</v>
      </c>
      <c r="F3608" s="5" t="s">
        <v>172</v>
      </c>
      <c r="L3608" s="5" t="s">
        <v>4572</v>
      </c>
    </row>
    <row r="3609" ht="12.75" customHeight="1">
      <c r="A3609" s="5" t="s">
        <v>4571</v>
      </c>
      <c r="B3609" s="5" t="s">
        <v>10389</v>
      </c>
      <c r="C3609" s="5" t="s">
        <v>10388</v>
      </c>
      <c r="D3609" s="5" t="s">
        <v>50</v>
      </c>
      <c r="E3609" s="5" t="s">
        <v>42</v>
      </c>
      <c r="F3609" s="5" t="s">
        <v>162</v>
      </c>
      <c r="L3609" s="5" t="s">
        <v>10390</v>
      </c>
    </row>
    <row r="3610" ht="12.75" customHeight="1">
      <c r="A3610" s="5" t="s">
        <v>4582</v>
      </c>
      <c r="B3610" s="5" t="s">
        <v>10391</v>
      </c>
      <c r="C3610" s="5" t="s">
        <v>10388</v>
      </c>
      <c r="D3610" s="5" t="s">
        <v>50</v>
      </c>
      <c r="E3610" s="5" t="s">
        <v>35</v>
      </c>
      <c r="F3610" s="5" t="s">
        <v>278</v>
      </c>
      <c r="L3610" s="5" t="s">
        <v>4580</v>
      </c>
    </row>
    <row r="3611" ht="12.75" customHeight="1">
      <c r="A3611" s="5" t="s">
        <v>4579</v>
      </c>
      <c r="B3611" s="5" t="s">
        <v>10392</v>
      </c>
      <c r="C3611" s="5" t="s">
        <v>10388</v>
      </c>
      <c r="D3611" s="5" t="s">
        <v>50</v>
      </c>
      <c r="E3611" s="5" t="s">
        <v>42</v>
      </c>
      <c r="F3611" s="5" t="s">
        <v>720</v>
      </c>
      <c r="L3611" s="5" t="s">
        <v>4577</v>
      </c>
    </row>
    <row r="3612" ht="12.75" customHeight="1">
      <c r="A3612" s="5" t="s">
        <v>6224</v>
      </c>
      <c r="B3612" s="5" t="s">
        <v>10393</v>
      </c>
      <c r="D3612" s="5" t="s">
        <v>22</v>
      </c>
      <c r="E3612" s="5" t="s">
        <v>35</v>
      </c>
      <c r="F3612" s="5" t="s">
        <v>104</v>
      </c>
      <c r="H3612" s="5" t="s">
        <v>6220</v>
      </c>
      <c r="I3612" s="10" t="s">
        <v>72</v>
      </c>
    </row>
    <row r="3613" ht="12.75" customHeight="1">
      <c r="A3613" s="5" t="s">
        <v>6245</v>
      </c>
      <c r="B3613" s="5" t="s">
        <v>10394</v>
      </c>
      <c r="D3613" s="5" t="s">
        <v>22</v>
      </c>
      <c r="E3613" s="5" t="s">
        <v>42</v>
      </c>
      <c r="F3613" s="5" t="s">
        <v>228</v>
      </c>
      <c r="H3613" s="5" t="s">
        <v>6243</v>
      </c>
      <c r="I3613" s="10" t="s">
        <v>72</v>
      </c>
    </row>
    <row r="3614" ht="12.75" customHeight="1">
      <c r="A3614" s="5" t="s">
        <v>6771</v>
      </c>
      <c r="B3614" s="5" t="s">
        <v>10395</v>
      </c>
      <c r="C3614" s="5" t="s">
        <v>10396</v>
      </c>
      <c r="D3614" s="5" t="s">
        <v>34</v>
      </c>
      <c r="E3614" s="5" t="s">
        <v>42</v>
      </c>
      <c r="F3614" s="5" t="s">
        <v>637</v>
      </c>
      <c r="G3614" s="10" t="s">
        <v>72</v>
      </c>
      <c r="H3614" s="5" t="s">
        <v>4876</v>
      </c>
      <c r="I3614" s="10" t="s">
        <v>72</v>
      </c>
    </row>
    <row r="3615" ht="12.75" customHeight="1">
      <c r="A3615" s="5" t="s">
        <v>6760</v>
      </c>
      <c r="B3615" s="5" t="s">
        <v>10397</v>
      </c>
      <c r="C3615" s="5" t="s">
        <v>10396</v>
      </c>
      <c r="D3615" s="5" t="s">
        <v>34</v>
      </c>
      <c r="E3615" s="5" t="s">
        <v>35</v>
      </c>
      <c r="F3615" s="5" t="s">
        <v>868</v>
      </c>
      <c r="G3615" s="10" t="s">
        <v>72</v>
      </c>
      <c r="H3615" s="5" t="s">
        <v>6757</v>
      </c>
      <c r="I3615" s="10" t="s">
        <v>72</v>
      </c>
    </row>
    <row r="3616" ht="12.75" customHeight="1">
      <c r="A3616" s="5" t="s">
        <v>6798</v>
      </c>
      <c r="B3616" s="5" t="s">
        <v>10398</v>
      </c>
      <c r="D3616" s="5" t="s">
        <v>50</v>
      </c>
      <c r="E3616" s="5" t="s">
        <v>42</v>
      </c>
      <c r="F3616" s="5" t="s">
        <v>1991</v>
      </c>
      <c r="G3616" s="10" t="s">
        <v>72</v>
      </c>
      <c r="H3616" s="5" t="s">
        <v>6796</v>
      </c>
    </row>
    <row r="3617" ht="12.75" customHeight="1">
      <c r="A3617" s="5" t="s">
        <v>10399</v>
      </c>
      <c r="B3617" s="5" t="s">
        <v>10400</v>
      </c>
      <c r="D3617" s="5" t="s">
        <v>34</v>
      </c>
      <c r="E3617" s="5" t="s">
        <v>42</v>
      </c>
      <c r="F3617" s="5" t="s">
        <v>637</v>
      </c>
      <c r="G3617" s="10" t="s">
        <v>72</v>
      </c>
      <c r="H3617" s="5" t="s">
        <v>2782</v>
      </c>
    </row>
    <row r="3618" ht="12.75" customHeight="1">
      <c r="A3618" s="5" t="s">
        <v>6813</v>
      </c>
      <c r="B3618" s="5" t="s">
        <v>10401</v>
      </c>
      <c r="D3618" s="5" t="s">
        <v>74</v>
      </c>
      <c r="E3618" s="5" t="s">
        <v>42</v>
      </c>
      <c r="F3618" s="5" t="s">
        <v>572</v>
      </c>
      <c r="G3618" s="10" t="s">
        <v>72</v>
      </c>
      <c r="H3618" s="5" t="s">
        <v>6811</v>
      </c>
      <c r="K3618" s="5" t="s">
        <v>10402</v>
      </c>
    </row>
    <row r="3619" ht="12.75" customHeight="1">
      <c r="A3619" s="5" t="s">
        <v>6819</v>
      </c>
      <c r="B3619" s="5" t="s">
        <v>10403</v>
      </c>
      <c r="D3619" s="5" t="s">
        <v>80</v>
      </c>
      <c r="E3619" s="5" t="s">
        <v>42</v>
      </c>
      <c r="F3619" s="5" t="s">
        <v>2420</v>
      </c>
      <c r="G3619" s="10" t="s">
        <v>72</v>
      </c>
      <c r="H3619" s="5" t="s">
        <v>6816</v>
      </c>
    </row>
    <row r="3620" ht="12.75" customHeight="1">
      <c r="A3620" s="5" t="s">
        <v>10404</v>
      </c>
      <c r="B3620" s="5" t="s">
        <v>10405</v>
      </c>
      <c r="C3620" s="5" t="s">
        <v>8616</v>
      </c>
      <c r="D3620" s="5" t="s">
        <v>50</v>
      </c>
      <c r="E3620" s="5" t="s">
        <v>42</v>
      </c>
      <c r="F3620" s="5" t="s">
        <v>657</v>
      </c>
      <c r="H3620" s="5" t="s">
        <v>2243</v>
      </c>
      <c r="I3620" s="10" t="s">
        <v>72</v>
      </c>
    </row>
    <row r="3621" ht="12.75" customHeight="1">
      <c r="A3621" s="5" t="s">
        <v>10406</v>
      </c>
      <c r="B3621" s="5" t="s">
        <v>10407</v>
      </c>
      <c r="C3621" s="5" t="s">
        <v>10408</v>
      </c>
      <c r="D3621" s="5" t="s">
        <v>46</v>
      </c>
      <c r="E3621" s="5" t="s">
        <v>42</v>
      </c>
      <c r="F3621" s="5" t="s">
        <v>395</v>
      </c>
    </row>
    <row r="3622" ht="12.75" customHeight="1">
      <c r="A3622" s="5" t="s">
        <v>10409</v>
      </c>
      <c r="B3622" s="5" t="s">
        <v>10410</v>
      </c>
      <c r="C3622" s="5" t="s">
        <v>10411</v>
      </c>
      <c r="D3622" s="5" t="s">
        <v>34</v>
      </c>
      <c r="E3622" s="5" t="s">
        <v>35</v>
      </c>
      <c r="F3622" s="5" t="s">
        <v>4630</v>
      </c>
      <c r="H3622" s="5" t="s">
        <v>2885</v>
      </c>
      <c r="I3622" s="10" t="s">
        <v>72</v>
      </c>
    </row>
    <row r="3623" ht="12.75" customHeight="1">
      <c r="A3623" s="5" t="s">
        <v>10412</v>
      </c>
      <c r="B3623" s="5" t="s">
        <v>10413</v>
      </c>
      <c r="C3623" s="5" t="s">
        <v>10411</v>
      </c>
      <c r="D3623" s="5" t="s">
        <v>34</v>
      </c>
      <c r="E3623" s="5" t="s">
        <v>42</v>
      </c>
      <c r="F3623" s="5" t="s">
        <v>572</v>
      </c>
      <c r="H3623" s="5" t="s">
        <v>916</v>
      </c>
      <c r="I3623" s="10" t="s">
        <v>72</v>
      </c>
    </row>
    <row r="3624" ht="12.75" customHeight="1">
      <c r="A3624" s="5" t="s">
        <v>10414</v>
      </c>
      <c r="B3624" s="5" t="s">
        <v>10415</v>
      </c>
      <c r="D3624" s="5" t="s">
        <v>46</v>
      </c>
      <c r="E3624" s="5" t="s">
        <v>42</v>
      </c>
      <c r="F3624" s="5" t="s">
        <v>157</v>
      </c>
      <c r="H3624" s="5" t="s">
        <v>7016</v>
      </c>
      <c r="I3624" s="10" t="s">
        <v>72</v>
      </c>
    </row>
    <row r="3625" ht="12.75" customHeight="1">
      <c r="A3625" s="5" t="s">
        <v>10416</v>
      </c>
      <c r="B3625" s="5" t="s">
        <v>10417</v>
      </c>
      <c r="D3625" s="5" t="s">
        <v>46</v>
      </c>
      <c r="E3625" s="5" t="s">
        <v>42</v>
      </c>
      <c r="F3625" s="5" t="s">
        <v>157</v>
      </c>
      <c r="H3625" s="5" t="s">
        <v>6989</v>
      </c>
      <c r="I3625" s="10" t="s">
        <v>72</v>
      </c>
    </row>
    <row r="3626" ht="12.75" customHeight="1">
      <c r="A3626" s="5" t="s">
        <v>10418</v>
      </c>
      <c r="B3626" s="5" t="s">
        <v>10419</v>
      </c>
      <c r="D3626" s="5" t="s">
        <v>94</v>
      </c>
      <c r="E3626" s="5" t="s">
        <v>35</v>
      </c>
      <c r="F3626" s="5" t="s">
        <v>710</v>
      </c>
      <c r="H3626" s="5" t="s">
        <v>4399</v>
      </c>
      <c r="I3626" s="10" t="s">
        <v>72</v>
      </c>
    </row>
    <row r="3627" ht="12.75" customHeight="1">
      <c r="A3627" s="5" t="s">
        <v>7162</v>
      </c>
      <c r="B3627" s="5" t="s">
        <v>10420</v>
      </c>
      <c r="D3627" s="5" t="s">
        <v>94</v>
      </c>
      <c r="E3627" s="5" t="s">
        <v>42</v>
      </c>
      <c r="F3627" s="5" t="s">
        <v>556</v>
      </c>
      <c r="H3627" s="5" t="s">
        <v>7159</v>
      </c>
      <c r="I3627" s="10" t="s">
        <v>72</v>
      </c>
    </row>
    <row r="3628" ht="12.75" customHeight="1">
      <c r="A3628" s="5" t="s">
        <v>7148</v>
      </c>
      <c r="B3628" s="5" t="s">
        <v>10421</v>
      </c>
      <c r="D3628" s="5" t="s">
        <v>101</v>
      </c>
      <c r="E3628" s="5" t="s">
        <v>35</v>
      </c>
      <c r="F3628" s="5" t="s">
        <v>96</v>
      </c>
      <c r="H3628" s="5" t="s">
        <v>7146</v>
      </c>
      <c r="I3628" s="10" t="s">
        <v>72</v>
      </c>
    </row>
    <row r="3629" ht="12.75" customHeight="1">
      <c r="A3629" s="5" t="s">
        <v>10422</v>
      </c>
      <c r="B3629" s="5" t="s">
        <v>10423</v>
      </c>
      <c r="D3629" s="5" t="s">
        <v>101</v>
      </c>
      <c r="E3629" s="5" t="s">
        <v>42</v>
      </c>
      <c r="F3629" s="5" t="s">
        <v>157</v>
      </c>
      <c r="H3629" s="5" t="s">
        <v>4402</v>
      </c>
      <c r="I3629" s="10" t="s">
        <v>72</v>
      </c>
    </row>
    <row r="3630" ht="12.75" customHeight="1">
      <c r="A3630" s="5" t="s">
        <v>10424</v>
      </c>
      <c r="B3630" s="5" t="s">
        <v>10425</v>
      </c>
      <c r="D3630" s="5" t="s">
        <v>116</v>
      </c>
      <c r="E3630" s="5" t="s">
        <v>35</v>
      </c>
      <c r="F3630" s="5" t="s">
        <v>4410</v>
      </c>
      <c r="H3630" s="5" t="s">
        <v>4411</v>
      </c>
      <c r="I3630" s="10" t="s">
        <v>72</v>
      </c>
    </row>
    <row r="3631" ht="12.75" customHeight="1">
      <c r="A3631" s="5" t="s">
        <v>7167</v>
      </c>
      <c r="B3631" s="5" t="s">
        <v>10426</v>
      </c>
      <c r="D3631" s="5" t="s">
        <v>116</v>
      </c>
      <c r="E3631" s="5" t="s">
        <v>42</v>
      </c>
      <c r="F3631" s="5" t="s">
        <v>157</v>
      </c>
      <c r="H3631" s="5" t="s">
        <v>7165</v>
      </c>
      <c r="I3631" s="10" t="s">
        <v>72</v>
      </c>
    </row>
    <row r="3632" ht="12.75" customHeight="1">
      <c r="A3632" s="5" t="s">
        <v>7153</v>
      </c>
      <c r="B3632" s="5" t="s">
        <v>10427</v>
      </c>
      <c r="D3632" s="5" t="s">
        <v>122</v>
      </c>
      <c r="E3632" s="5" t="s">
        <v>35</v>
      </c>
      <c r="F3632" s="5" t="s">
        <v>71</v>
      </c>
      <c r="H3632" s="5" t="s">
        <v>7151</v>
      </c>
      <c r="I3632" s="10" t="s">
        <v>72</v>
      </c>
    </row>
    <row r="3633" ht="12.75" customHeight="1">
      <c r="A3633" s="5" t="s">
        <v>10428</v>
      </c>
      <c r="B3633" s="5" t="s">
        <v>10429</v>
      </c>
      <c r="D3633" s="5" t="s">
        <v>122</v>
      </c>
      <c r="E3633" s="5" t="s">
        <v>42</v>
      </c>
      <c r="F3633" s="5" t="s">
        <v>400</v>
      </c>
      <c r="H3633" s="5" t="s">
        <v>4407</v>
      </c>
      <c r="I3633" s="10" t="s">
        <v>72</v>
      </c>
    </row>
    <row r="3634" ht="12.75" customHeight="1">
      <c r="A3634" s="5" t="s">
        <v>7156</v>
      </c>
      <c r="B3634" s="5" t="s">
        <v>10430</v>
      </c>
      <c r="D3634" s="5" t="s">
        <v>132</v>
      </c>
      <c r="E3634" s="5" t="s">
        <v>35</v>
      </c>
      <c r="F3634" s="5" t="s">
        <v>189</v>
      </c>
      <c r="H3634" s="5" t="s">
        <v>7154</v>
      </c>
      <c r="I3634" s="10" t="s">
        <v>72</v>
      </c>
    </row>
    <row r="3635" ht="12.75" customHeight="1">
      <c r="A3635" s="5" t="s">
        <v>7172</v>
      </c>
      <c r="B3635" s="5" t="s">
        <v>10431</v>
      </c>
      <c r="D3635" s="5" t="s">
        <v>132</v>
      </c>
      <c r="E3635" s="5" t="s">
        <v>42</v>
      </c>
      <c r="F3635" s="5" t="s">
        <v>423</v>
      </c>
      <c r="H3635" s="5" t="s">
        <v>7170</v>
      </c>
      <c r="I3635" s="10" t="s">
        <v>72</v>
      </c>
    </row>
    <row r="3636" ht="12.75" customHeight="1">
      <c r="A3636" s="5" t="s">
        <v>10432</v>
      </c>
      <c r="B3636" s="5" t="s">
        <v>10433</v>
      </c>
      <c r="D3636" s="5" t="s">
        <v>34</v>
      </c>
      <c r="E3636" s="5" t="s">
        <v>35</v>
      </c>
      <c r="F3636" s="5" t="s">
        <v>913</v>
      </c>
      <c r="H3636" s="5" t="s">
        <v>7303</v>
      </c>
      <c r="I3636" s="10" t="s">
        <v>72</v>
      </c>
    </row>
    <row r="3637" ht="12.75" customHeight="1">
      <c r="A3637" s="5" t="s">
        <v>10434</v>
      </c>
      <c r="B3637" s="5" t="s">
        <v>10435</v>
      </c>
      <c r="D3637" s="5" t="s">
        <v>74</v>
      </c>
      <c r="E3637" s="5" t="s">
        <v>35</v>
      </c>
      <c r="F3637" s="5" t="s">
        <v>713</v>
      </c>
      <c r="H3637" s="5" t="s">
        <v>7318</v>
      </c>
      <c r="I3637" s="10" t="s">
        <v>72</v>
      </c>
    </row>
    <row r="3638" ht="12.75" customHeight="1">
      <c r="A3638" s="5" t="s">
        <v>10436</v>
      </c>
      <c r="B3638" s="5" t="s">
        <v>10437</v>
      </c>
      <c r="D3638" s="5" t="s">
        <v>34</v>
      </c>
      <c r="E3638" s="5" t="s">
        <v>42</v>
      </c>
      <c r="F3638" s="5" t="s">
        <v>228</v>
      </c>
      <c r="H3638" s="5" t="s">
        <v>7294</v>
      </c>
      <c r="I3638" s="10" t="s">
        <v>72</v>
      </c>
    </row>
    <row r="3639" ht="12.75" customHeight="1">
      <c r="A3639" s="5" t="s">
        <v>10438</v>
      </c>
      <c r="B3639" s="5" t="s">
        <v>10439</v>
      </c>
      <c r="D3639" s="5" t="s">
        <v>34</v>
      </c>
      <c r="E3639" s="5" t="s">
        <v>42</v>
      </c>
      <c r="F3639" s="5" t="s">
        <v>162</v>
      </c>
      <c r="H3639" s="5" t="s">
        <v>7309</v>
      </c>
      <c r="I3639" s="10" t="s">
        <v>72</v>
      </c>
    </row>
    <row r="3640" ht="12.75" customHeight="1">
      <c r="A3640" s="5" t="s">
        <v>7606</v>
      </c>
      <c r="B3640" s="5" t="s">
        <v>10440</v>
      </c>
      <c r="D3640" s="5" t="s">
        <v>22</v>
      </c>
      <c r="E3640" s="5" t="s">
        <v>35</v>
      </c>
      <c r="F3640" s="5" t="s">
        <v>619</v>
      </c>
      <c r="H3640" s="5" t="s">
        <v>2535</v>
      </c>
      <c r="I3640" s="10" t="s">
        <v>72</v>
      </c>
    </row>
    <row r="3641" ht="12.75" customHeight="1">
      <c r="A3641" s="5" t="s">
        <v>10441</v>
      </c>
      <c r="B3641" s="5" t="s">
        <v>10442</v>
      </c>
      <c r="D3641" s="5" t="s">
        <v>22</v>
      </c>
      <c r="E3641" s="5" t="s">
        <v>42</v>
      </c>
      <c r="F3641" s="5" t="s">
        <v>637</v>
      </c>
      <c r="H3641" s="5" t="s">
        <v>4653</v>
      </c>
      <c r="I3641" s="10" t="s">
        <v>72</v>
      </c>
    </row>
    <row r="3642" ht="12.75" customHeight="1">
      <c r="A3642" s="5" t="s">
        <v>7611</v>
      </c>
      <c r="B3642" s="5" t="s">
        <v>10443</v>
      </c>
      <c r="D3642" s="5" t="s">
        <v>30</v>
      </c>
      <c r="E3642" s="5" t="s">
        <v>35</v>
      </c>
      <c r="F3642" s="5" t="s">
        <v>680</v>
      </c>
      <c r="H3642" s="5" t="s">
        <v>7609</v>
      </c>
      <c r="I3642" s="10" t="s">
        <v>72</v>
      </c>
    </row>
    <row r="3643" ht="12.75" customHeight="1">
      <c r="A3643" s="5" t="s">
        <v>4438</v>
      </c>
      <c r="B3643" s="5" t="s">
        <v>10444</v>
      </c>
      <c r="D3643" s="5" t="s">
        <v>30</v>
      </c>
      <c r="E3643" s="5" t="s">
        <v>42</v>
      </c>
      <c r="F3643" s="5" t="s">
        <v>974</v>
      </c>
      <c r="H3643" s="5" t="s">
        <v>7612</v>
      </c>
      <c r="I3643" s="10" t="s">
        <v>72</v>
      </c>
      <c r="L3643" s="5" t="s">
        <v>4435</v>
      </c>
      <c r="M3643" s="5" t="s">
        <v>4435</v>
      </c>
    </row>
    <row r="3644" ht="12.75" customHeight="1">
      <c r="A3644" s="5" t="s">
        <v>10445</v>
      </c>
      <c r="B3644" s="5" t="s">
        <v>10446</v>
      </c>
      <c r="D3644" s="5" t="s">
        <v>30</v>
      </c>
      <c r="E3644" s="5" t="s">
        <v>42</v>
      </c>
      <c r="F3644" s="5" t="s">
        <v>974</v>
      </c>
      <c r="H3644" s="5" t="s">
        <v>7612</v>
      </c>
      <c r="I3644" s="10" t="s">
        <v>72</v>
      </c>
    </row>
    <row r="3645" ht="12.75" customHeight="1">
      <c r="A3645" s="5" t="s">
        <v>7620</v>
      </c>
      <c r="B3645" s="5" t="s">
        <v>10447</v>
      </c>
      <c r="D3645" s="5" t="s">
        <v>46</v>
      </c>
      <c r="E3645" s="5" t="s">
        <v>42</v>
      </c>
      <c r="F3645" s="5" t="s">
        <v>2218</v>
      </c>
      <c r="H3645" s="5" t="s">
        <v>7617</v>
      </c>
      <c r="I3645" s="10" t="s">
        <v>72</v>
      </c>
    </row>
    <row r="3646" ht="12.75" customHeight="1">
      <c r="A3646" s="5" t="s">
        <v>7623</v>
      </c>
      <c r="B3646" s="5" t="s">
        <v>10448</v>
      </c>
      <c r="D3646" s="5" t="s">
        <v>50</v>
      </c>
      <c r="E3646" s="5" t="s">
        <v>35</v>
      </c>
      <c r="F3646" s="5" t="s">
        <v>71</v>
      </c>
      <c r="H3646" s="5" t="s">
        <v>7621</v>
      </c>
      <c r="I3646" s="10" t="s">
        <v>72</v>
      </c>
    </row>
    <row r="3647" ht="12.75" customHeight="1">
      <c r="A3647" s="5" t="s">
        <v>7626</v>
      </c>
      <c r="B3647" s="5" t="s">
        <v>10449</v>
      </c>
      <c r="D3647" s="5" t="s">
        <v>50</v>
      </c>
      <c r="E3647" s="5" t="s">
        <v>42</v>
      </c>
      <c r="F3647" s="5" t="s">
        <v>43</v>
      </c>
      <c r="H3647" s="5" t="s">
        <v>7624</v>
      </c>
      <c r="I3647" s="10" t="s">
        <v>72</v>
      </c>
    </row>
    <row r="3648" ht="12.75" customHeight="1">
      <c r="A3648" s="5" t="s">
        <v>10450</v>
      </c>
      <c r="B3648" s="5" t="s">
        <v>10451</v>
      </c>
      <c r="C3648" s="5" t="s">
        <v>10450</v>
      </c>
      <c r="D3648" s="5" t="s">
        <v>34</v>
      </c>
      <c r="E3648" s="5" t="s">
        <v>42</v>
      </c>
      <c r="F3648" s="5" t="s">
        <v>228</v>
      </c>
    </row>
    <row r="3649" ht="12.75" customHeight="1">
      <c r="A3649" s="5" t="s">
        <v>10452</v>
      </c>
      <c r="B3649" s="5" t="s">
        <v>10453</v>
      </c>
      <c r="C3649" s="5" t="s">
        <v>10452</v>
      </c>
      <c r="D3649" s="5" t="s">
        <v>55</v>
      </c>
      <c r="E3649" s="5" t="s">
        <v>35</v>
      </c>
      <c r="F3649" s="5" t="s">
        <v>1319</v>
      </c>
    </row>
    <row r="3650" ht="12.75" customHeight="1">
      <c r="A3650" s="5" t="s">
        <v>10454</v>
      </c>
      <c r="B3650" s="5" t="s">
        <v>10455</v>
      </c>
      <c r="C3650" s="5" t="s">
        <v>10454</v>
      </c>
      <c r="D3650" s="5" t="s">
        <v>34</v>
      </c>
      <c r="E3650" s="5" t="s">
        <v>42</v>
      </c>
      <c r="F3650" s="5" t="s">
        <v>572</v>
      </c>
      <c r="G3650" s="10" t="s">
        <v>72</v>
      </c>
    </row>
    <row r="3651" ht="12.75" customHeight="1">
      <c r="A3651" s="5" t="s">
        <v>10456</v>
      </c>
      <c r="B3651" s="10" t="s">
        <v>10457</v>
      </c>
      <c r="C3651" s="5" t="s">
        <v>10456</v>
      </c>
      <c r="D3651" s="5" t="s">
        <v>34</v>
      </c>
      <c r="E3651" s="5" t="s">
        <v>42</v>
      </c>
      <c r="F3651" s="5" t="s">
        <v>572</v>
      </c>
    </row>
    <row r="3652" ht="12.75" customHeight="1">
      <c r="A3652" s="5" t="s">
        <v>10458</v>
      </c>
      <c r="B3652" s="5" t="s">
        <v>10459</v>
      </c>
      <c r="C3652" s="5" t="s">
        <v>10458</v>
      </c>
      <c r="D3652" s="5" t="s">
        <v>22</v>
      </c>
      <c r="E3652" s="5" t="s">
        <v>42</v>
      </c>
      <c r="F3652" s="5" t="s">
        <v>1753</v>
      </c>
    </row>
    <row r="3653" ht="12.75" customHeight="1">
      <c r="A3653" s="5" t="s">
        <v>10460</v>
      </c>
      <c r="B3653" s="5" t="s">
        <v>10461</v>
      </c>
      <c r="C3653" s="5" t="s">
        <v>10460</v>
      </c>
      <c r="D3653" s="5" t="s">
        <v>22</v>
      </c>
      <c r="E3653" s="5" t="s">
        <v>42</v>
      </c>
      <c r="F3653" s="5" t="s">
        <v>113</v>
      </c>
      <c r="G3653" s="10" t="s">
        <v>72</v>
      </c>
    </row>
    <row r="3654" ht="12.75" customHeight="1">
      <c r="A3654" s="5" t="s">
        <v>10462</v>
      </c>
      <c r="B3654" s="5" t="s">
        <v>10463</v>
      </c>
      <c r="C3654" s="5" t="s">
        <v>10464</v>
      </c>
      <c r="D3654" s="5" t="s">
        <v>50</v>
      </c>
      <c r="E3654" s="5" t="s">
        <v>42</v>
      </c>
      <c r="F3654" s="5" t="s">
        <v>720</v>
      </c>
      <c r="G3654" s="10" t="s">
        <v>72</v>
      </c>
    </row>
    <row r="3655" ht="12.75" customHeight="1">
      <c r="A3655" s="5" t="s">
        <v>10465</v>
      </c>
      <c r="B3655" s="5" t="s">
        <v>10466</v>
      </c>
      <c r="C3655" s="5" t="s">
        <v>10467</v>
      </c>
      <c r="D3655" s="5" t="s">
        <v>30</v>
      </c>
      <c r="E3655" s="5" t="s">
        <v>42</v>
      </c>
      <c r="F3655" s="5" t="s">
        <v>211</v>
      </c>
    </row>
    <row r="3656" ht="12.75" customHeight="1">
      <c r="A3656" s="5" t="s">
        <v>10468</v>
      </c>
      <c r="B3656" s="5" t="s">
        <v>10469</v>
      </c>
      <c r="C3656" s="5" t="s">
        <v>10468</v>
      </c>
      <c r="D3656" s="5" t="s">
        <v>22</v>
      </c>
      <c r="E3656" s="5" t="s">
        <v>35</v>
      </c>
      <c r="F3656" s="5" t="s">
        <v>172</v>
      </c>
      <c r="G3656" s="10" t="s">
        <v>72</v>
      </c>
    </row>
    <row r="3657" ht="12.75" customHeight="1">
      <c r="A3657" s="5" t="s">
        <v>10470</v>
      </c>
      <c r="B3657" s="5" t="s">
        <v>10471</v>
      </c>
      <c r="C3657" s="5" t="s">
        <v>10470</v>
      </c>
      <c r="D3657" s="5" t="s">
        <v>67</v>
      </c>
      <c r="E3657" s="5" t="s">
        <v>35</v>
      </c>
      <c r="F3657" s="5" t="s">
        <v>1659</v>
      </c>
    </row>
    <row r="3658" ht="12.75" customHeight="1">
      <c r="A3658" s="5" t="s">
        <v>10472</v>
      </c>
      <c r="B3658" s="5" t="s">
        <v>10473</v>
      </c>
      <c r="C3658" s="5" t="s">
        <v>10472</v>
      </c>
      <c r="D3658" s="5" t="s">
        <v>67</v>
      </c>
      <c r="E3658" s="5" t="s">
        <v>35</v>
      </c>
      <c r="F3658" s="5" t="s">
        <v>8663</v>
      </c>
      <c r="G3658" s="10" t="s">
        <v>72</v>
      </c>
    </row>
    <row r="3659" ht="12.75" customHeight="1">
      <c r="A3659" s="5" t="s">
        <v>10474</v>
      </c>
      <c r="B3659" s="5" t="s">
        <v>10475</v>
      </c>
      <c r="C3659" s="5" t="s">
        <v>10476</v>
      </c>
      <c r="D3659" s="5" t="s">
        <v>34</v>
      </c>
      <c r="E3659" s="5" t="s">
        <v>42</v>
      </c>
      <c r="F3659" s="5" t="s">
        <v>575</v>
      </c>
    </row>
    <row r="3660" ht="12.75" customHeight="1">
      <c r="A3660" s="5" t="s">
        <v>9456</v>
      </c>
      <c r="B3660" s="5" t="s">
        <v>10477</v>
      </c>
      <c r="C3660" s="5" t="s">
        <v>940</v>
      </c>
      <c r="D3660" s="5" t="s">
        <v>34</v>
      </c>
      <c r="E3660" s="5" t="s">
        <v>42</v>
      </c>
      <c r="F3660" s="5" t="s">
        <v>657</v>
      </c>
      <c r="G3660" s="10" t="s">
        <v>72</v>
      </c>
      <c r="L3660" s="5" t="s">
        <v>9454</v>
      </c>
      <c r="M3660" s="5" t="s">
        <v>9454</v>
      </c>
    </row>
    <row r="3661" ht="12.75" customHeight="1">
      <c r="A3661" s="5" t="s">
        <v>10478</v>
      </c>
      <c r="B3661" s="10" t="s">
        <v>10479</v>
      </c>
      <c r="C3661" s="5" t="s">
        <v>10478</v>
      </c>
      <c r="D3661" s="5" t="s">
        <v>46</v>
      </c>
      <c r="E3661" s="5" t="s">
        <v>42</v>
      </c>
      <c r="F3661" s="5" t="s">
        <v>395</v>
      </c>
    </row>
    <row r="3662" ht="12.75" customHeight="1">
      <c r="A3662" s="5" t="s">
        <v>10480</v>
      </c>
      <c r="B3662" s="5" t="s">
        <v>10481</v>
      </c>
      <c r="C3662" s="5" t="s">
        <v>10480</v>
      </c>
      <c r="D3662" s="5" t="s">
        <v>67</v>
      </c>
      <c r="E3662" s="5" t="s">
        <v>42</v>
      </c>
      <c r="F3662" s="5" t="s">
        <v>1727</v>
      </c>
    </row>
    <row r="3663" ht="12.75" customHeight="1">
      <c r="A3663" s="5" t="s">
        <v>10482</v>
      </c>
      <c r="B3663" s="5" t="s">
        <v>10483</v>
      </c>
      <c r="C3663" s="5" t="s">
        <v>10482</v>
      </c>
      <c r="D3663" s="5" t="s">
        <v>34</v>
      </c>
      <c r="E3663" s="5" t="s">
        <v>35</v>
      </c>
      <c r="F3663" s="5" t="s">
        <v>913</v>
      </c>
    </row>
    <row r="3664" ht="12.75" customHeight="1">
      <c r="A3664" s="5" t="s">
        <v>10484</v>
      </c>
      <c r="B3664" s="5" t="s">
        <v>10485</v>
      </c>
      <c r="C3664" s="5" t="s">
        <v>10484</v>
      </c>
      <c r="D3664" s="5" t="s">
        <v>80</v>
      </c>
      <c r="E3664" s="5" t="s">
        <v>42</v>
      </c>
      <c r="F3664" s="5" t="s">
        <v>974</v>
      </c>
    </row>
    <row r="3665" ht="12.75" customHeight="1">
      <c r="A3665" s="5" t="s">
        <v>10486</v>
      </c>
      <c r="B3665" s="5" t="s">
        <v>10487</v>
      </c>
      <c r="C3665" s="5" t="s">
        <v>10488</v>
      </c>
      <c r="D3665" s="5" t="s">
        <v>34</v>
      </c>
      <c r="E3665" s="5" t="s">
        <v>42</v>
      </c>
      <c r="F3665" s="5" t="s">
        <v>3665</v>
      </c>
    </row>
    <row r="3666" ht="12.75" customHeight="1">
      <c r="A3666" s="5" t="s">
        <v>10489</v>
      </c>
      <c r="B3666" s="5" t="s">
        <v>10490</v>
      </c>
      <c r="C3666" s="5" t="s">
        <v>10489</v>
      </c>
      <c r="D3666" s="5" t="s">
        <v>22</v>
      </c>
      <c r="E3666" s="5" t="s">
        <v>42</v>
      </c>
      <c r="F3666" s="5" t="s">
        <v>199</v>
      </c>
      <c r="G3666" s="10" t="s">
        <v>72</v>
      </c>
    </row>
    <row r="3667" ht="12.75" customHeight="1">
      <c r="A3667" s="5" t="s">
        <v>10491</v>
      </c>
      <c r="B3667" s="5" t="s">
        <v>10492</v>
      </c>
      <c r="C3667" s="5" t="s">
        <v>10493</v>
      </c>
      <c r="D3667" s="5" t="s">
        <v>67</v>
      </c>
      <c r="E3667" s="5" t="s">
        <v>42</v>
      </c>
      <c r="F3667" s="5" t="s">
        <v>1215</v>
      </c>
    </row>
    <row r="3668" ht="12.75" customHeight="1">
      <c r="A3668" s="5" t="s">
        <v>10494</v>
      </c>
      <c r="B3668" s="5" t="s">
        <v>10495</v>
      </c>
      <c r="C3668" s="5" t="s">
        <v>10494</v>
      </c>
      <c r="D3668" s="5" t="s">
        <v>67</v>
      </c>
      <c r="E3668" s="5" t="s">
        <v>35</v>
      </c>
      <c r="F3668" s="5" t="s">
        <v>1535</v>
      </c>
    </row>
    <row r="3669" ht="12.75" customHeight="1">
      <c r="A3669" s="5" t="s">
        <v>10402</v>
      </c>
      <c r="B3669" s="5" t="s">
        <v>10496</v>
      </c>
      <c r="C3669" s="5" t="s">
        <v>6789</v>
      </c>
      <c r="D3669" s="5" t="s">
        <v>74</v>
      </c>
      <c r="E3669" s="5" t="s">
        <v>35</v>
      </c>
      <c r="F3669" s="5" t="s">
        <v>4630</v>
      </c>
      <c r="G3669" s="10" t="s">
        <v>72</v>
      </c>
      <c r="H3669" s="5" t="s">
        <v>6813</v>
      </c>
    </row>
    <row r="3670" ht="12.75" customHeight="1">
      <c r="A3670" s="5" t="s">
        <v>10497</v>
      </c>
      <c r="B3670" s="5" t="s">
        <v>10498</v>
      </c>
      <c r="C3670" s="5" t="s">
        <v>10499</v>
      </c>
      <c r="D3670" s="5" t="s">
        <v>67</v>
      </c>
      <c r="E3670" s="5" t="s">
        <v>35</v>
      </c>
      <c r="F3670" s="5" t="s">
        <v>411</v>
      </c>
      <c r="G3670" s="10" t="s">
        <v>72</v>
      </c>
    </row>
    <row r="3671" ht="12.75" customHeight="1">
      <c r="A3671" s="5" t="s">
        <v>10500</v>
      </c>
      <c r="B3671" s="10" t="s">
        <v>10501</v>
      </c>
      <c r="C3671" s="5" t="s">
        <v>10502</v>
      </c>
      <c r="D3671" s="5" t="s">
        <v>34</v>
      </c>
      <c r="E3671" s="5" t="s">
        <v>35</v>
      </c>
      <c r="F3671" s="5" t="s">
        <v>189</v>
      </c>
      <c r="G3671" s="10" t="s">
        <v>72</v>
      </c>
    </row>
    <row r="3672" ht="12.75" customHeight="1">
      <c r="A3672" s="5" t="s">
        <v>10503</v>
      </c>
      <c r="B3672" s="5" t="s">
        <v>10504</v>
      </c>
      <c r="C3672" s="5" t="s">
        <v>10503</v>
      </c>
      <c r="D3672" s="5" t="s">
        <v>50</v>
      </c>
      <c r="E3672" s="5" t="s">
        <v>35</v>
      </c>
      <c r="F3672" s="5" t="s">
        <v>710</v>
      </c>
      <c r="G3672" s="10" t="s">
        <v>72</v>
      </c>
    </row>
    <row r="3673" ht="12.75" customHeight="1">
      <c r="A3673" s="5" t="s">
        <v>10505</v>
      </c>
      <c r="B3673" s="5" t="s">
        <v>10506</v>
      </c>
      <c r="C3673" s="5" t="s">
        <v>10505</v>
      </c>
      <c r="D3673" s="5" t="s">
        <v>34</v>
      </c>
      <c r="E3673" s="5" t="s">
        <v>42</v>
      </c>
      <c r="F3673" s="5" t="s">
        <v>445</v>
      </c>
      <c r="G3673" s="10" t="s">
        <v>72</v>
      </c>
      <c r="H3673" s="5" t="s">
        <v>916</v>
      </c>
    </row>
    <row r="3674" ht="12.75" customHeight="1">
      <c r="A3674" s="5" t="s">
        <v>10507</v>
      </c>
      <c r="B3674" s="5" t="s">
        <v>10508</v>
      </c>
      <c r="C3674" s="5" t="s">
        <v>10507</v>
      </c>
      <c r="D3674" s="5" t="s">
        <v>34</v>
      </c>
      <c r="E3674" s="5" t="s">
        <v>42</v>
      </c>
      <c r="F3674" s="5" t="s">
        <v>634</v>
      </c>
      <c r="G3674" s="10" t="s">
        <v>72</v>
      </c>
    </row>
    <row r="3675" ht="12.75" customHeight="1">
      <c r="A3675" s="5" t="s">
        <v>10509</v>
      </c>
      <c r="B3675" s="10" t="s">
        <v>10510</v>
      </c>
      <c r="C3675" s="5" t="s">
        <v>10511</v>
      </c>
      <c r="D3675" s="5" t="s">
        <v>50</v>
      </c>
      <c r="E3675" s="5" t="s">
        <v>35</v>
      </c>
      <c r="F3675" s="5" t="s">
        <v>619</v>
      </c>
    </row>
    <row r="3676" ht="12.75" customHeight="1">
      <c r="A3676" s="5" t="s">
        <v>10512</v>
      </c>
      <c r="B3676" s="5" t="s">
        <v>10513</v>
      </c>
      <c r="C3676" s="5" t="s">
        <v>10512</v>
      </c>
      <c r="D3676" s="5" t="s">
        <v>80</v>
      </c>
      <c r="E3676" s="5" t="s">
        <v>42</v>
      </c>
      <c r="F3676" s="5" t="s">
        <v>2771</v>
      </c>
    </row>
    <row r="3677" ht="12.75" customHeight="1">
      <c r="A3677" s="5" t="s">
        <v>10514</v>
      </c>
      <c r="B3677" s="5" t="s">
        <v>10515</v>
      </c>
      <c r="C3677" s="5" t="s">
        <v>10516</v>
      </c>
      <c r="D3677" s="5" t="s">
        <v>46</v>
      </c>
      <c r="E3677" s="5" t="s">
        <v>42</v>
      </c>
      <c r="F3677" s="5" t="s">
        <v>974</v>
      </c>
      <c r="H3677" s="5" t="s">
        <v>7016</v>
      </c>
      <c r="L3677" s="5" t="s">
        <v>10517</v>
      </c>
    </row>
    <row r="3678" ht="12.75" customHeight="1">
      <c r="A3678" s="5" t="s">
        <v>10518</v>
      </c>
      <c r="B3678" s="5" t="s">
        <v>10519</v>
      </c>
      <c r="D3678" s="5" t="s">
        <v>46</v>
      </c>
      <c r="E3678" s="5" t="s">
        <v>42</v>
      </c>
      <c r="F3678" s="5" t="s">
        <v>974</v>
      </c>
      <c r="H3678" s="5" t="s">
        <v>10514</v>
      </c>
      <c r="I3678" s="10" t="s">
        <v>72</v>
      </c>
    </row>
    <row r="3679" ht="12.75" customHeight="1">
      <c r="A3679" s="5" t="s">
        <v>10520</v>
      </c>
      <c r="B3679" s="5" t="s">
        <v>10521</v>
      </c>
      <c r="D3679" s="5" t="s">
        <v>46</v>
      </c>
      <c r="E3679" s="5" t="s">
        <v>42</v>
      </c>
      <c r="F3679" s="5" t="s">
        <v>974</v>
      </c>
      <c r="H3679" s="5" t="s">
        <v>10514</v>
      </c>
      <c r="I3679" s="10" t="s">
        <v>72</v>
      </c>
    </row>
    <row r="3680" ht="12.75" customHeight="1">
      <c r="A3680" s="5" t="s">
        <v>10522</v>
      </c>
      <c r="B3680" s="5" t="s">
        <v>10523</v>
      </c>
      <c r="C3680" s="5" t="s">
        <v>10524</v>
      </c>
      <c r="D3680" s="5" t="s">
        <v>30</v>
      </c>
      <c r="E3680" s="5" t="s">
        <v>42</v>
      </c>
      <c r="F3680" s="5" t="s">
        <v>2638</v>
      </c>
      <c r="G3680" s="10" t="s">
        <v>72</v>
      </c>
      <c r="H3680" s="5" t="s">
        <v>10525</v>
      </c>
    </row>
    <row r="3681" ht="12.75" customHeight="1">
      <c r="A3681" s="5" t="s">
        <v>10526</v>
      </c>
      <c r="B3681" s="5" t="s">
        <v>10527</v>
      </c>
      <c r="C3681" s="5" t="s">
        <v>10528</v>
      </c>
      <c r="D3681" s="5" t="s">
        <v>30</v>
      </c>
      <c r="E3681" s="5" t="s">
        <v>42</v>
      </c>
      <c r="F3681" s="5" t="s">
        <v>395</v>
      </c>
      <c r="G3681" s="10" t="s">
        <v>72</v>
      </c>
    </row>
    <row r="3682" ht="12.75" customHeight="1">
      <c r="A3682" s="5" t="s">
        <v>10529</v>
      </c>
      <c r="B3682" s="5" t="s">
        <v>10530</v>
      </c>
      <c r="C3682" s="5" t="s">
        <v>10531</v>
      </c>
      <c r="D3682" s="5" t="s">
        <v>50</v>
      </c>
      <c r="E3682" s="5" t="s">
        <v>42</v>
      </c>
      <c r="F3682" s="5" t="s">
        <v>162</v>
      </c>
    </row>
    <row r="3683" ht="12.75" customHeight="1">
      <c r="A3683" s="5" t="s">
        <v>10532</v>
      </c>
      <c r="B3683" s="5" t="s">
        <v>10533</v>
      </c>
      <c r="C3683" s="5" t="s">
        <v>10531</v>
      </c>
      <c r="D3683" s="5" t="s">
        <v>50</v>
      </c>
      <c r="E3683" s="5" t="s">
        <v>42</v>
      </c>
      <c r="F3683" s="5" t="s">
        <v>162</v>
      </c>
    </row>
    <row r="3684" ht="12.75" customHeight="1">
      <c r="A3684" s="5" t="s">
        <v>10534</v>
      </c>
      <c r="B3684" s="5" t="s">
        <v>10535</v>
      </c>
      <c r="C3684" s="5" t="s">
        <v>10536</v>
      </c>
      <c r="D3684" s="5" t="s">
        <v>50</v>
      </c>
      <c r="E3684" s="5" t="s">
        <v>42</v>
      </c>
      <c r="F3684" s="5" t="s">
        <v>238</v>
      </c>
    </row>
    <row r="3685" ht="12.75" customHeight="1">
      <c r="A3685" s="5" t="s">
        <v>10537</v>
      </c>
      <c r="B3685" s="5" t="s">
        <v>10538</v>
      </c>
      <c r="C3685" s="5" t="s">
        <v>10537</v>
      </c>
      <c r="D3685" s="5" t="s">
        <v>12</v>
      </c>
      <c r="E3685" s="5" t="s">
        <v>42</v>
      </c>
      <c r="F3685" s="5" t="s">
        <v>356</v>
      </c>
      <c r="G3685" s="10" t="s">
        <v>72</v>
      </c>
    </row>
    <row r="3686" ht="12.75" customHeight="1">
      <c r="A3686" s="5" t="s">
        <v>10539</v>
      </c>
      <c r="B3686" s="5" t="s">
        <v>10540</v>
      </c>
      <c r="C3686" s="5" t="s">
        <v>10537</v>
      </c>
      <c r="D3686" s="5" t="s">
        <v>12</v>
      </c>
      <c r="E3686" s="5" t="s">
        <v>42</v>
      </c>
      <c r="F3686" s="5" t="s">
        <v>356</v>
      </c>
    </row>
    <row r="3687" ht="12.75" customHeight="1">
      <c r="A3687" s="5" t="s">
        <v>10541</v>
      </c>
      <c r="B3687" s="10" t="s">
        <v>10542</v>
      </c>
      <c r="C3687" s="5" t="s">
        <v>10543</v>
      </c>
      <c r="D3687" s="5" t="s">
        <v>34</v>
      </c>
      <c r="E3687" s="5" t="s">
        <v>42</v>
      </c>
      <c r="F3687" s="5" t="s">
        <v>113</v>
      </c>
      <c r="G3687" s="10" t="s">
        <v>72</v>
      </c>
    </row>
    <row r="3688" ht="12.75" customHeight="1">
      <c r="A3688" s="5" t="s">
        <v>10544</v>
      </c>
      <c r="B3688" s="5" t="s">
        <v>10545</v>
      </c>
      <c r="C3688" s="5" t="s">
        <v>10546</v>
      </c>
      <c r="D3688" s="5" t="s">
        <v>30</v>
      </c>
      <c r="E3688" s="5" t="s">
        <v>42</v>
      </c>
      <c r="F3688" s="5" t="s">
        <v>1911</v>
      </c>
    </row>
    <row r="3689" ht="12.75" customHeight="1">
      <c r="A3689" s="5" t="s">
        <v>10547</v>
      </c>
      <c r="B3689" s="5" t="s">
        <v>10548</v>
      </c>
      <c r="C3689" s="5" t="s">
        <v>10546</v>
      </c>
      <c r="D3689" s="5" t="s">
        <v>30</v>
      </c>
      <c r="E3689" s="5" t="s">
        <v>42</v>
      </c>
      <c r="F3689" s="5" t="s">
        <v>1911</v>
      </c>
      <c r="G3689" s="10" t="s">
        <v>72</v>
      </c>
    </row>
    <row r="3690" ht="12.75" customHeight="1">
      <c r="A3690" s="5" t="s">
        <v>10549</v>
      </c>
      <c r="B3690" s="10" t="s">
        <v>10550</v>
      </c>
      <c r="C3690" s="5" t="s">
        <v>10551</v>
      </c>
      <c r="D3690" s="5" t="s">
        <v>34</v>
      </c>
      <c r="E3690" s="5" t="s">
        <v>42</v>
      </c>
      <c r="F3690" s="5" t="s">
        <v>228</v>
      </c>
    </row>
    <row r="3691" ht="12.75" customHeight="1">
      <c r="A3691" s="5" t="s">
        <v>10552</v>
      </c>
      <c r="B3691" s="5" t="s">
        <v>10553</v>
      </c>
      <c r="C3691" s="5" t="s">
        <v>10552</v>
      </c>
      <c r="D3691" s="5" t="s">
        <v>50</v>
      </c>
      <c r="E3691" s="5" t="s">
        <v>35</v>
      </c>
      <c r="F3691" s="5" t="s">
        <v>619</v>
      </c>
      <c r="G3691" s="10" t="s">
        <v>72</v>
      </c>
    </row>
    <row r="3692" ht="12.75" customHeight="1">
      <c r="A3692" s="5" t="s">
        <v>10554</v>
      </c>
      <c r="B3692" s="5" t="s">
        <v>10555</v>
      </c>
      <c r="C3692" s="5" t="s">
        <v>10554</v>
      </c>
      <c r="D3692" s="5" t="s">
        <v>46</v>
      </c>
      <c r="E3692" s="5" t="s">
        <v>42</v>
      </c>
      <c r="F3692" s="5" t="s">
        <v>2638</v>
      </c>
    </row>
    <row r="3693" ht="12.75" customHeight="1">
      <c r="A3693" s="5" t="s">
        <v>10556</v>
      </c>
      <c r="B3693" s="5" t="s">
        <v>10557</v>
      </c>
      <c r="C3693" s="5" t="s">
        <v>10558</v>
      </c>
      <c r="D3693" s="5" t="s">
        <v>38</v>
      </c>
      <c r="E3693" s="5" t="s">
        <v>35</v>
      </c>
      <c r="F3693" s="5" t="s">
        <v>4734</v>
      </c>
    </row>
    <row r="3694" ht="12.75" customHeight="1">
      <c r="A3694" s="5" t="s">
        <v>10559</v>
      </c>
      <c r="B3694" s="5" t="s">
        <v>10560</v>
      </c>
      <c r="C3694" s="5" t="s">
        <v>10561</v>
      </c>
      <c r="D3694" s="5" t="s">
        <v>22</v>
      </c>
      <c r="E3694" s="5" t="s">
        <v>35</v>
      </c>
      <c r="F3694" s="5" t="s">
        <v>36</v>
      </c>
      <c r="G3694" s="10" t="s">
        <v>72</v>
      </c>
    </row>
    <row r="3695" ht="12.75" customHeight="1">
      <c r="A3695" s="5" t="s">
        <v>10562</v>
      </c>
      <c r="B3695" s="5" t="s">
        <v>10563</v>
      </c>
      <c r="C3695" s="5" t="s">
        <v>10564</v>
      </c>
      <c r="D3695" s="5" t="s">
        <v>38</v>
      </c>
      <c r="E3695" s="5" t="s">
        <v>42</v>
      </c>
      <c r="F3695" s="5" t="s">
        <v>572</v>
      </c>
    </row>
    <row r="3696" ht="12.75" customHeight="1">
      <c r="A3696" s="5" t="s">
        <v>10565</v>
      </c>
      <c r="B3696" s="5" t="s">
        <v>10566</v>
      </c>
      <c r="C3696" s="5" t="s">
        <v>10565</v>
      </c>
      <c r="D3696" s="5" t="s">
        <v>34</v>
      </c>
      <c r="E3696" s="5" t="s">
        <v>42</v>
      </c>
      <c r="F3696" s="5" t="s">
        <v>65</v>
      </c>
      <c r="G3696" s="10" t="s">
        <v>72</v>
      </c>
    </row>
    <row r="3697" ht="12.75" customHeight="1">
      <c r="A3697" s="5" t="s">
        <v>10567</v>
      </c>
      <c r="B3697" s="5" t="s">
        <v>10568</v>
      </c>
      <c r="C3697" s="5" t="s">
        <v>10567</v>
      </c>
      <c r="D3697" s="5" t="s">
        <v>34</v>
      </c>
      <c r="E3697" s="5" t="s">
        <v>42</v>
      </c>
      <c r="F3697" s="5" t="s">
        <v>575</v>
      </c>
    </row>
    <row r="3698" ht="12.75" customHeight="1">
      <c r="A3698" s="5" t="s">
        <v>10569</v>
      </c>
      <c r="B3698" s="10" t="s">
        <v>10570</v>
      </c>
      <c r="C3698" s="5" t="s">
        <v>10571</v>
      </c>
      <c r="D3698" s="5" t="s">
        <v>50</v>
      </c>
      <c r="E3698" s="5" t="s">
        <v>35</v>
      </c>
      <c r="F3698" s="5" t="s">
        <v>278</v>
      </c>
    </row>
    <row r="3699" ht="12.75" customHeight="1">
      <c r="A3699" s="5" t="s">
        <v>10572</v>
      </c>
      <c r="B3699" s="5" t="s">
        <v>10573</v>
      </c>
      <c r="C3699" s="5" t="s">
        <v>10574</v>
      </c>
      <c r="D3699" s="5" t="s">
        <v>34</v>
      </c>
      <c r="E3699" s="5" t="s">
        <v>42</v>
      </c>
      <c r="F3699" s="5" t="s">
        <v>556</v>
      </c>
      <c r="G3699" s="10" t="s">
        <v>72</v>
      </c>
    </row>
    <row r="3700" ht="12.75" customHeight="1">
      <c r="A3700" s="5" t="s">
        <v>10575</v>
      </c>
      <c r="B3700" s="5" t="s">
        <v>10576</v>
      </c>
      <c r="C3700" s="5" t="s">
        <v>10575</v>
      </c>
      <c r="D3700" s="5" t="s">
        <v>124</v>
      </c>
      <c r="E3700" s="5" t="s">
        <v>42</v>
      </c>
      <c r="F3700" s="5" t="s">
        <v>4550</v>
      </c>
    </row>
    <row r="3701" ht="12.75" customHeight="1">
      <c r="A3701" s="5" t="s">
        <v>10577</v>
      </c>
      <c r="B3701" s="5" t="s">
        <v>10578</v>
      </c>
      <c r="C3701" s="5" t="s">
        <v>10579</v>
      </c>
      <c r="D3701" s="5" t="s">
        <v>50</v>
      </c>
      <c r="E3701" s="5" t="s">
        <v>35</v>
      </c>
      <c r="F3701" s="5" t="s">
        <v>189</v>
      </c>
    </row>
    <row r="3702" ht="12.75" customHeight="1">
      <c r="A3702" s="5" t="s">
        <v>10580</v>
      </c>
      <c r="B3702" s="5" t="s">
        <v>10581</v>
      </c>
      <c r="C3702" s="5" t="s">
        <v>10582</v>
      </c>
      <c r="D3702" s="5" t="s">
        <v>22</v>
      </c>
      <c r="E3702" s="5" t="s">
        <v>35</v>
      </c>
      <c r="F3702" s="5" t="s">
        <v>104</v>
      </c>
    </row>
    <row r="3703" ht="12.75" customHeight="1">
      <c r="A3703" s="5" t="s">
        <v>10583</v>
      </c>
      <c r="B3703" s="5" t="s">
        <v>10584</v>
      </c>
      <c r="C3703" s="5" t="s">
        <v>10583</v>
      </c>
      <c r="D3703" s="5" t="s">
        <v>22</v>
      </c>
      <c r="E3703" s="5" t="s">
        <v>35</v>
      </c>
      <c r="F3703" s="5" t="s">
        <v>710</v>
      </c>
    </row>
    <row r="3704" ht="12.75" customHeight="1">
      <c r="A3704" s="5" t="s">
        <v>10585</v>
      </c>
      <c r="B3704" s="5" t="s">
        <v>10586</v>
      </c>
      <c r="D3704" s="5" t="s">
        <v>453</v>
      </c>
      <c r="E3704" s="5" t="s">
        <v>35</v>
      </c>
      <c r="F3704" s="5" t="s">
        <v>454</v>
      </c>
    </row>
    <row r="3705" ht="12.75" customHeight="1">
      <c r="A3705" s="5" t="s">
        <v>10587</v>
      </c>
      <c r="B3705" s="5" t="s">
        <v>10588</v>
      </c>
      <c r="D3705" s="5" t="s">
        <v>453</v>
      </c>
      <c r="E3705" s="5" t="s">
        <v>35</v>
      </c>
      <c r="F3705" s="5" t="s">
        <v>454</v>
      </c>
    </row>
    <row r="3706" ht="12.75" customHeight="1">
      <c r="A3706" s="5" t="s">
        <v>10589</v>
      </c>
      <c r="B3706" s="5" t="s">
        <v>10590</v>
      </c>
      <c r="D3706" s="5" t="s">
        <v>453</v>
      </c>
      <c r="E3706" s="5" t="s">
        <v>35</v>
      </c>
      <c r="F3706" s="5" t="s">
        <v>454</v>
      </c>
    </row>
    <row r="3707" ht="12.75" customHeight="1">
      <c r="A3707" s="5" t="s">
        <v>10591</v>
      </c>
      <c r="B3707" s="5" t="s">
        <v>10592</v>
      </c>
      <c r="D3707" s="5" t="s">
        <v>453</v>
      </c>
      <c r="E3707" s="5" t="s">
        <v>35</v>
      </c>
      <c r="F3707" s="5" t="s">
        <v>454</v>
      </c>
    </row>
    <row r="3708" ht="12.75" customHeight="1">
      <c r="A3708" s="5" t="s">
        <v>10593</v>
      </c>
      <c r="B3708" s="5" t="s">
        <v>10594</v>
      </c>
      <c r="D3708" s="5" t="s">
        <v>453</v>
      </c>
      <c r="E3708" s="5" t="s">
        <v>35</v>
      </c>
      <c r="F3708" s="5" t="s">
        <v>454</v>
      </c>
    </row>
    <row r="3709" ht="12.75" customHeight="1">
      <c r="A3709" s="5" t="s">
        <v>10595</v>
      </c>
      <c r="B3709" s="5" t="s">
        <v>10596</v>
      </c>
      <c r="D3709" s="5" t="s">
        <v>453</v>
      </c>
      <c r="E3709" s="5" t="s">
        <v>35</v>
      </c>
      <c r="F3709" s="5" t="s">
        <v>454</v>
      </c>
    </row>
    <row r="3710" ht="12.75" customHeight="1">
      <c r="A3710" s="5" t="s">
        <v>10597</v>
      </c>
      <c r="B3710" s="5" t="s">
        <v>10598</v>
      </c>
      <c r="D3710" s="5" t="s">
        <v>453</v>
      </c>
      <c r="E3710" s="5" t="s">
        <v>35</v>
      </c>
      <c r="F3710" s="5" t="s">
        <v>454</v>
      </c>
    </row>
    <row r="3711" ht="12.75" customHeight="1">
      <c r="A3711" s="5" t="s">
        <v>10599</v>
      </c>
      <c r="B3711" s="5" t="s">
        <v>10600</v>
      </c>
      <c r="D3711" s="5" t="s">
        <v>453</v>
      </c>
      <c r="E3711" s="5" t="s">
        <v>35</v>
      </c>
      <c r="F3711" s="5" t="s">
        <v>454</v>
      </c>
    </row>
    <row r="3712" ht="12.75" customHeight="1">
      <c r="A3712" s="5" t="s">
        <v>10601</v>
      </c>
      <c r="B3712" s="5" t="s">
        <v>10602</v>
      </c>
      <c r="D3712" s="5" t="s">
        <v>453</v>
      </c>
      <c r="E3712" s="5" t="s">
        <v>35</v>
      </c>
      <c r="F3712" s="5" t="s">
        <v>454</v>
      </c>
    </row>
    <row r="3713" ht="12.75" customHeight="1">
      <c r="A3713" s="5" t="s">
        <v>10603</v>
      </c>
      <c r="B3713" s="5" t="s">
        <v>10604</v>
      </c>
      <c r="D3713" s="5" t="s">
        <v>453</v>
      </c>
      <c r="E3713" s="5" t="s">
        <v>35</v>
      </c>
      <c r="F3713" s="5" t="s">
        <v>454</v>
      </c>
    </row>
    <row r="3714" ht="12.75" customHeight="1">
      <c r="A3714" s="5" t="s">
        <v>10605</v>
      </c>
      <c r="B3714" s="5" t="s">
        <v>10606</v>
      </c>
      <c r="D3714" s="5" t="s">
        <v>453</v>
      </c>
      <c r="E3714" s="5" t="s">
        <v>35</v>
      </c>
      <c r="F3714" s="5" t="s">
        <v>454</v>
      </c>
    </row>
    <row r="3715" ht="12.75" customHeight="1">
      <c r="A3715" s="5" t="s">
        <v>10607</v>
      </c>
      <c r="B3715" s="5" t="s">
        <v>10608</v>
      </c>
      <c r="D3715" s="5" t="s">
        <v>453</v>
      </c>
      <c r="E3715" s="5" t="s">
        <v>35</v>
      </c>
      <c r="F3715" s="5" t="s">
        <v>454</v>
      </c>
    </row>
    <row r="3716" ht="12.75" customHeight="1">
      <c r="A3716" s="5" t="s">
        <v>10609</v>
      </c>
      <c r="B3716" s="5" t="s">
        <v>10610</v>
      </c>
      <c r="D3716" s="5" t="s">
        <v>453</v>
      </c>
      <c r="E3716" s="5" t="s">
        <v>35</v>
      </c>
      <c r="F3716" s="5" t="s">
        <v>454</v>
      </c>
    </row>
    <row r="3717" ht="12.75" customHeight="1">
      <c r="A3717" s="5" t="s">
        <v>10611</v>
      </c>
      <c r="B3717" s="5" t="s">
        <v>10612</v>
      </c>
      <c r="D3717" s="5" t="s">
        <v>453</v>
      </c>
      <c r="E3717" s="5" t="s">
        <v>35</v>
      </c>
      <c r="F3717" s="5" t="s">
        <v>454</v>
      </c>
    </row>
    <row r="3718" ht="12.75" customHeight="1">
      <c r="A3718" s="5" t="s">
        <v>10613</v>
      </c>
      <c r="B3718" s="5" t="s">
        <v>10614</v>
      </c>
      <c r="D3718" s="5" t="s">
        <v>453</v>
      </c>
      <c r="E3718" s="5" t="s">
        <v>35</v>
      </c>
      <c r="F3718" s="5" t="s">
        <v>454</v>
      </c>
    </row>
    <row r="3719" ht="12.75" customHeight="1">
      <c r="A3719" s="5" t="s">
        <v>10615</v>
      </c>
      <c r="B3719" s="5" t="s">
        <v>10616</v>
      </c>
      <c r="D3719" s="5" t="s">
        <v>453</v>
      </c>
      <c r="E3719" s="5" t="s">
        <v>35</v>
      </c>
      <c r="F3719" s="5" t="s">
        <v>454</v>
      </c>
    </row>
    <row r="3720" ht="12.75" customHeight="1">
      <c r="A3720" s="5" t="s">
        <v>10617</v>
      </c>
      <c r="B3720" s="5" t="s">
        <v>10618</v>
      </c>
      <c r="D3720" s="5" t="s">
        <v>453</v>
      </c>
      <c r="E3720" s="5" t="s">
        <v>35</v>
      </c>
      <c r="F3720" s="5" t="s">
        <v>454</v>
      </c>
    </row>
    <row r="3721" ht="12.75" customHeight="1">
      <c r="A3721" s="5" t="s">
        <v>10619</v>
      </c>
      <c r="B3721" s="5" t="s">
        <v>10620</v>
      </c>
      <c r="D3721" s="5" t="s">
        <v>453</v>
      </c>
      <c r="E3721" s="5" t="s">
        <v>35</v>
      </c>
      <c r="F3721" s="5" t="s">
        <v>454</v>
      </c>
    </row>
    <row r="3722" ht="12.75" customHeight="1">
      <c r="A3722" s="5" t="s">
        <v>10621</v>
      </c>
      <c r="B3722" s="5" t="s">
        <v>10622</v>
      </c>
      <c r="D3722" s="5" t="s">
        <v>453</v>
      </c>
      <c r="E3722" s="5" t="s">
        <v>42</v>
      </c>
      <c r="F3722" s="5" t="s">
        <v>454</v>
      </c>
    </row>
    <row r="3723" ht="12.75" customHeight="1">
      <c r="A3723" s="5" t="s">
        <v>10623</v>
      </c>
      <c r="B3723" s="5" t="s">
        <v>10624</v>
      </c>
      <c r="D3723" s="5" t="s">
        <v>453</v>
      </c>
      <c r="E3723" s="5" t="s">
        <v>42</v>
      </c>
      <c r="F3723" s="5" t="s">
        <v>454</v>
      </c>
    </row>
    <row r="3724" ht="12.75" customHeight="1">
      <c r="A3724" s="5" t="s">
        <v>10625</v>
      </c>
      <c r="B3724" s="5" t="s">
        <v>10626</v>
      </c>
      <c r="D3724" s="5" t="s">
        <v>453</v>
      </c>
      <c r="E3724" s="5" t="s">
        <v>42</v>
      </c>
      <c r="F3724" s="5" t="s">
        <v>454</v>
      </c>
    </row>
    <row r="3725" ht="12.75" customHeight="1">
      <c r="A3725" s="5" t="s">
        <v>10627</v>
      </c>
      <c r="B3725" s="5" t="s">
        <v>10628</v>
      </c>
      <c r="D3725" s="5" t="s">
        <v>453</v>
      </c>
      <c r="E3725" s="5" t="s">
        <v>42</v>
      </c>
      <c r="F3725" s="5" t="s">
        <v>454</v>
      </c>
    </row>
    <row r="3726" ht="12.75" customHeight="1">
      <c r="A3726" s="5" t="s">
        <v>10629</v>
      </c>
      <c r="B3726" s="5" t="s">
        <v>10630</v>
      </c>
      <c r="D3726" s="5" t="s">
        <v>453</v>
      </c>
      <c r="E3726" s="5" t="s">
        <v>42</v>
      </c>
      <c r="F3726" s="5" t="s">
        <v>454</v>
      </c>
    </row>
    <row r="3727" ht="12.75" customHeight="1">
      <c r="A3727" s="5" t="s">
        <v>10631</v>
      </c>
      <c r="B3727" s="5" t="s">
        <v>10632</v>
      </c>
      <c r="D3727" s="5" t="s">
        <v>453</v>
      </c>
      <c r="E3727" s="5" t="s">
        <v>42</v>
      </c>
      <c r="F3727" s="5" t="s">
        <v>454</v>
      </c>
    </row>
    <row r="3728" ht="12.75" customHeight="1">
      <c r="A3728" s="5" t="s">
        <v>10633</v>
      </c>
      <c r="B3728" s="5" t="s">
        <v>10634</v>
      </c>
      <c r="D3728" s="5" t="s">
        <v>453</v>
      </c>
      <c r="E3728" s="5" t="s">
        <v>42</v>
      </c>
      <c r="F3728" s="5" t="s">
        <v>454</v>
      </c>
    </row>
    <row r="3729" ht="12.75" customHeight="1">
      <c r="A3729" s="5" t="s">
        <v>10635</v>
      </c>
      <c r="B3729" s="5" t="s">
        <v>10636</v>
      </c>
      <c r="D3729" s="5" t="s">
        <v>453</v>
      </c>
      <c r="E3729" s="5" t="s">
        <v>42</v>
      </c>
      <c r="F3729" s="5" t="s">
        <v>454</v>
      </c>
    </row>
    <row r="3730" ht="12.75" customHeight="1">
      <c r="A3730" s="5" t="s">
        <v>10637</v>
      </c>
      <c r="B3730" s="5" t="s">
        <v>10638</v>
      </c>
      <c r="D3730" s="5" t="s">
        <v>453</v>
      </c>
      <c r="E3730" s="5" t="s">
        <v>42</v>
      </c>
      <c r="F3730" s="5" t="s">
        <v>454</v>
      </c>
    </row>
    <row r="3731" ht="12.75" customHeight="1">
      <c r="A3731" s="5" t="s">
        <v>10639</v>
      </c>
      <c r="B3731" s="5" t="s">
        <v>10640</v>
      </c>
      <c r="D3731" s="5" t="s">
        <v>453</v>
      </c>
      <c r="E3731" s="5" t="s">
        <v>42</v>
      </c>
      <c r="F3731" s="5" t="s">
        <v>454</v>
      </c>
    </row>
    <row r="3732" ht="12.75" customHeight="1">
      <c r="A3732" s="5" t="s">
        <v>10641</v>
      </c>
      <c r="B3732" s="5" t="s">
        <v>10642</v>
      </c>
      <c r="D3732" s="5" t="s">
        <v>453</v>
      </c>
      <c r="E3732" s="5" t="s">
        <v>42</v>
      </c>
      <c r="F3732" s="5" t="s">
        <v>454</v>
      </c>
    </row>
    <row r="3733" ht="12.75" customHeight="1">
      <c r="A3733" s="5" t="s">
        <v>10643</v>
      </c>
      <c r="B3733" s="5" t="s">
        <v>10644</v>
      </c>
      <c r="D3733" s="5" t="s">
        <v>453</v>
      </c>
      <c r="E3733" s="5" t="s">
        <v>42</v>
      </c>
      <c r="F3733" s="5" t="s">
        <v>454</v>
      </c>
    </row>
    <row r="3734" ht="12.75" customHeight="1">
      <c r="A3734" s="5" t="s">
        <v>10645</v>
      </c>
      <c r="B3734" s="5" t="s">
        <v>10646</v>
      </c>
      <c r="D3734" s="5" t="s">
        <v>453</v>
      </c>
      <c r="E3734" s="5" t="s">
        <v>42</v>
      </c>
      <c r="F3734" s="5" t="s">
        <v>454</v>
      </c>
    </row>
    <row r="3735" ht="12.75" customHeight="1">
      <c r="A3735" s="5" t="s">
        <v>10647</v>
      </c>
      <c r="B3735" s="5" t="s">
        <v>10648</v>
      </c>
      <c r="D3735" s="5" t="s">
        <v>453</v>
      </c>
      <c r="E3735" s="5" t="s">
        <v>42</v>
      </c>
      <c r="F3735" s="5" t="s">
        <v>454</v>
      </c>
    </row>
    <row r="3736" ht="12.75" customHeight="1">
      <c r="A3736" s="5" t="s">
        <v>10649</v>
      </c>
      <c r="B3736" s="5" t="s">
        <v>10650</v>
      </c>
      <c r="D3736" s="5" t="s">
        <v>453</v>
      </c>
      <c r="E3736" s="5" t="s">
        <v>42</v>
      </c>
      <c r="F3736" s="5" t="s">
        <v>454</v>
      </c>
    </row>
    <row r="3737" ht="12.75" customHeight="1">
      <c r="A3737" s="5" t="s">
        <v>10651</v>
      </c>
      <c r="B3737" s="5" t="s">
        <v>10652</v>
      </c>
      <c r="D3737" s="5" t="s">
        <v>453</v>
      </c>
      <c r="E3737" s="5" t="s">
        <v>42</v>
      </c>
      <c r="F3737" s="5" t="s">
        <v>454</v>
      </c>
    </row>
    <row r="3738" ht="12.75" customHeight="1">
      <c r="A3738" s="5" t="s">
        <v>10653</v>
      </c>
      <c r="B3738" s="5" t="s">
        <v>10654</v>
      </c>
      <c r="D3738" s="5" t="s">
        <v>453</v>
      </c>
      <c r="E3738" s="5" t="s">
        <v>42</v>
      </c>
      <c r="F3738" s="5" t="s">
        <v>454</v>
      </c>
    </row>
    <row r="3739" ht="12.75" customHeight="1">
      <c r="A3739" s="5" t="s">
        <v>10655</v>
      </c>
      <c r="B3739" s="5" t="s">
        <v>10656</v>
      </c>
      <c r="D3739" s="5" t="s">
        <v>453</v>
      </c>
      <c r="E3739" s="5" t="s">
        <v>42</v>
      </c>
      <c r="F3739" s="5" t="s">
        <v>454</v>
      </c>
    </row>
    <row r="3740" ht="12.75" customHeight="1">
      <c r="A3740" s="5" t="s">
        <v>10657</v>
      </c>
      <c r="B3740" s="5" t="s">
        <v>10658</v>
      </c>
      <c r="D3740" s="5" t="s">
        <v>453</v>
      </c>
      <c r="E3740" s="5" t="s">
        <v>42</v>
      </c>
      <c r="F3740" s="5" t="s">
        <v>454</v>
      </c>
    </row>
    <row r="3741" ht="12.75" customHeight="1">
      <c r="A3741" s="5" t="s">
        <v>10659</v>
      </c>
      <c r="B3741" s="5" t="s">
        <v>10660</v>
      </c>
      <c r="D3741" s="5" t="s">
        <v>453</v>
      </c>
      <c r="E3741" s="5" t="s">
        <v>42</v>
      </c>
      <c r="F3741" s="5" t="s">
        <v>454</v>
      </c>
    </row>
    <row r="3742" ht="12.75" customHeight="1">
      <c r="A3742" s="5" t="s">
        <v>10661</v>
      </c>
      <c r="B3742" s="5" t="s">
        <v>10662</v>
      </c>
      <c r="C3742" s="5" t="s">
        <v>10663</v>
      </c>
      <c r="D3742" s="5" t="s">
        <v>30</v>
      </c>
      <c r="E3742" s="5" t="s">
        <v>35</v>
      </c>
      <c r="F3742" s="5" t="s">
        <v>1344</v>
      </c>
    </row>
    <row r="3743" ht="12.75" customHeight="1">
      <c r="A3743" s="5" t="s">
        <v>10664</v>
      </c>
      <c r="B3743" s="10" t="s">
        <v>10665</v>
      </c>
      <c r="C3743" s="5" t="s">
        <v>10666</v>
      </c>
      <c r="D3743" s="5" t="s">
        <v>34</v>
      </c>
      <c r="E3743" s="5" t="s">
        <v>42</v>
      </c>
      <c r="F3743" s="5" t="s">
        <v>672</v>
      </c>
      <c r="G3743" s="10" t="s">
        <v>72</v>
      </c>
    </row>
    <row r="3744" ht="12.75" customHeight="1">
      <c r="A3744" s="5" t="s">
        <v>10667</v>
      </c>
      <c r="B3744" s="5" t="s">
        <v>10668</v>
      </c>
      <c r="C3744" s="5" t="s">
        <v>10182</v>
      </c>
      <c r="D3744" s="5" t="s">
        <v>34</v>
      </c>
      <c r="E3744" s="5" t="s">
        <v>42</v>
      </c>
      <c r="F3744" s="5" t="s">
        <v>599</v>
      </c>
    </row>
    <row r="3745" ht="12.75" customHeight="1">
      <c r="A3745" s="5" t="s">
        <v>10669</v>
      </c>
      <c r="B3745" s="5" t="s">
        <v>10670</v>
      </c>
      <c r="C3745" s="5" t="s">
        <v>10671</v>
      </c>
      <c r="D3745" s="5" t="s">
        <v>34</v>
      </c>
      <c r="E3745" s="5" t="s">
        <v>42</v>
      </c>
      <c r="F3745" s="5" t="s">
        <v>599</v>
      </c>
    </row>
    <row r="3746" ht="12.75" customHeight="1">
      <c r="A3746" s="5" t="s">
        <v>10672</v>
      </c>
      <c r="B3746" s="5" t="s">
        <v>10673</v>
      </c>
      <c r="C3746" s="5" t="s">
        <v>10674</v>
      </c>
      <c r="D3746" s="5" t="s">
        <v>34</v>
      </c>
      <c r="E3746" s="5" t="s">
        <v>42</v>
      </c>
      <c r="F3746" s="5" t="s">
        <v>599</v>
      </c>
    </row>
    <row r="3747" ht="12.75" customHeight="1">
      <c r="A3747" s="5" t="s">
        <v>10675</v>
      </c>
      <c r="B3747" s="5" t="s">
        <v>10676</v>
      </c>
      <c r="D3747" s="5" t="s">
        <v>22</v>
      </c>
      <c r="E3747" s="5" t="s">
        <v>42</v>
      </c>
      <c r="F3747" s="5" t="s">
        <v>720</v>
      </c>
      <c r="H3747" s="5" t="s">
        <v>4600</v>
      </c>
    </row>
    <row r="3748" ht="12.75" customHeight="1">
      <c r="A3748" s="5" t="s">
        <v>10677</v>
      </c>
      <c r="B3748" s="5" t="s">
        <v>10678</v>
      </c>
      <c r="C3748" s="5" t="s">
        <v>10679</v>
      </c>
      <c r="D3748" s="5" t="s">
        <v>12</v>
      </c>
      <c r="E3748" s="5" t="s">
        <v>42</v>
      </c>
      <c r="F3748" s="5" t="s">
        <v>392</v>
      </c>
      <c r="L3748" s="5" t="s">
        <v>10680</v>
      </c>
    </row>
    <row r="3749" ht="12.75" customHeight="1">
      <c r="A3749" s="5" t="s">
        <v>10680</v>
      </c>
      <c r="B3749" s="5" t="s">
        <v>10681</v>
      </c>
      <c r="C3749" s="5" t="s">
        <v>10679</v>
      </c>
      <c r="D3749" s="5" t="s">
        <v>12</v>
      </c>
      <c r="E3749" s="5" t="s">
        <v>42</v>
      </c>
      <c r="F3749" s="5" t="s">
        <v>392</v>
      </c>
      <c r="H3749" s="5" t="s">
        <v>10677</v>
      </c>
      <c r="I3749" s="10" t="s">
        <v>72</v>
      </c>
    </row>
    <row r="3750" ht="12.75" customHeight="1">
      <c r="A3750" s="5" t="s">
        <v>10682</v>
      </c>
      <c r="B3750" s="5" t="s">
        <v>10683</v>
      </c>
      <c r="C3750" s="5" t="s">
        <v>10684</v>
      </c>
      <c r="D3750" s="5" t="s">
        <v>67</v>
      </c>
      <c r="E3750" s="5" t="s">
        <v>42</v>
      </c>
      <c r="F3750" s="5" t="s">
        <v>1033</v>
      </c>
      <c r="G3750" s="10" t="s">
        <v>72</v>
      </c>
      <c r="H3750" s="5" t="s">
        <v>4801</v>
      </c>
    </row>
    <row r="3751" ht="12.75" customHeight="1">
      <c r="A3751" s="5" t="s">
        <v>10685</v>
      </c>
      <c r="B3751" s="5" t="s">
        <v>10686</v>
      </c>
      <c r="C3751" s="5" t="s">
        <v>10684</v>
      </c>
      <c r="D3751" s="5" t="s">
        <v>22</v>
      </c>
      <c r="E3751" s="5" t="s">
        <v>35</v>
      </c>
      <c r="F3751" s="5" t="s">
        <v>36</v>
      </c>
      <c r="G3751" s="10" t="s">
        <v>72</v>
      </c>
      <c r="H3751" s="5" t="s">
        <v>1166</v>
      </c>
    </row>
    <row r="3752" ht="12.75" customHeight="1">
      <c r="A3752" s="5" t="s">
        <v>10687</v>
      </c>
      <c r="B3752" s="5" t="s">
        <v>10688</v>
      </c>
      <c r="C3752" s="5" t="s">
        <v>10684</v>
      </c>
      <c r="D3752" s="5" t="s">
        <v>30</v>
      </c>
      <c r="E3752" s="5" t="s">
        <v>42</v>
      </c>
      <c r="F3752" s="5" t="s">
        <v>1911</v>
      </c>
      <c r="G3752" s="10" t="s">
        <v>72</v>
      </c>
      <c r="H3752" s="5" t="s">
        <v>1153</v>
      </c>
    </row>
    <row r="3753" ht="12.75" customHeight="1">
      <c r="A3753" s="5" t="s">
        <v>10689</v>
      </c>
      <c r="B3753" s="10" t="s">
        <v>10690</v>
      </c>
      <c r="C3753" s="5" t="s">
        <v>10691</v>
      </c>
      <c r="D3753" s="5" t="s">
        <v>34</v>
      </c>
      <c r="E3753" s="5" t="s">
        <v>42</v>
      </c>
      <c r="F3753" s="5" t="s">
        <v>54</v>
      </c>
      <c r="G3753" s="10" t="s">
        <v>72</v>
      </c>
      <c r="H3753" s="5" t="s">
        <v>4804</v>
      </c>
    </row>
    <row r="3754" ht="12.75" customHeight="1">
      <c r="A3754" s="5" t="s">
        <v>10692</v>
      </c>
      <c r="B3754" s="10" t="s">
        <v>10693</v>
      </c>
      <c r="C3754" s="5" t="s">
        <v>10694</v>
      </c>
      <c r="D3754" s="5" t="s">
        <v>67</v>
      </c>
      <c r="E3754" s="5" t="s">
        <v>42</v>
      </c>
      <c r="F3754" s="5" t="s">
        <v>1033</v>
      </c>
      <c r="G3754" s="10" t="s">
        <v>72</v>
      </c>
    </row>
    <row r="3755" ht="12.75" customHeight="1">
      <c r="A3755" s="5" t="s">
        <v>10695</v>
      </c>
      <c r="B3755" s="5" t="s">
        <v>10696</v>
      </c>
      <c r="C3755" s="5" t="s">
        <v>6789</v>
      </c>
      <c r="D3755" s="5" t="s">
        <v>34</v>
      </c>
      <c r="E3755" s="5" t="s">
        <v>42</v>
      </c>
      <c r="F3755" s="5" t="s">
        <v>657</v>
      </c>
      <c r="G3755" s="10" t="s">
        <v>72</v>
      </c>
      <c r="H3755" s="5" t="s">
        <v>2227</v>
      </c>
    </row>
    <row r="3756" ht="12.75" customHeight="1">
      <c r="A3756" s="5" t="s">
        <v>10697</v>
      </c>
      <c r="B3756" s="5" t="s">
        <v>10698</v>
      </c>
      <c r="C3756" s="5" t="s">
        <v>10699</v>
      </c>
      <c r="D3756" s="5" t="s">
        <v>34</v>
      </c>
      <c r="E3756" s="5" t="s">
        <v>42</v>
      </c>
      <c r="F3756" s="5" t="s">
        <v>167</v>
      </c>
    </row>
    <row r="3757" ht="12.75" customHeight="1">
      <c r="A3757" s="5" t="s">
        <v>10700</v>
      </c>
      <c r="B3757" s="5" t="s">
        <v>10701</v>
      </c>
      <c r="D3757" s="5" t="s">
        <v>34</v>
      </c>
      <c r="E3757" s="5" t="s">
        <v>42</v>
      </c>
      <c r="F3757" s="5" t="s">
        <v>599</v>
      </c>
      <c r="G3757" s="10" t="s">
        <v>72</v>
      </c>
      <c r="H3757" s="5" t="s">
        <v>10702</v>
      </c>
      <c r="I3757" s="10" t="s">
        <v>72</v>
      </c>
      <c r="J3757" s="10" t="s">
        <v>72</v>
      </c>
      <c r="K3757" s="5" t="s">
        <v>10703</v>
      </c>
    </row>
    <row r="3758" ht="12.75" customHeight="1">
      <c r="A3758" s="5" t="s">
        <v>10704</v>
      </c>
      <c r="B3758" s="5" t="s">
        <v>10705</v>
      </c>
      <c r="C3758" s="5" t="s">
        <v>24</v>
      </c>
      <c r="D3758" s="5" t="s">
        <v>22</v>
      </c>
      <c r="E3758" s="5" t="s">
        <v>42</v>
      </c>
      <c r="F3758" s="5" t="s">
        <v>672</v>
      </c>
      <c r="G3758" s="10" t="s">
        <v>72</v>
      </c>
      <c r="H3758" s="5" t="s">
        <v>10700</v>
      </c>
      <c r="J3758" s="10" t="s">
        <v>72</v>
      </c>
      <c r="L3758" s="5" t="s">
        <v>10706</v>
      </c>
      <c r="M3758" s="5" t="s">
        <v>10706</v>
      </c>
    </row>
    <row r="3759" ht="12.75" customHeight="1">
      <c r="A3759" s="5" t="s">
        <v>10707</v>
      </c>
      <c r="B3759" s="5" t="s">
        <v>10708</v>
      </c>
      <c r="D3759" s="5" t="s">
        <v>22</v>
      </c>
      <c r="E3759" s="5" t="s">
        <v>42</v>
      </c>
      <c r="F3759" s="5" t="s">
        <v>672</v>
      </c>
      <c r="G3759" s="10" t="s">
        <v>72</v>
      </c>
      <c r="H3759" s="5" t="s">
        <v>10704</v>
      </c>
      <c r="I3759" s="10" t="s">
        <v>72</v>
      </c>
      <c r="J3759" s="10" t="s">
        <v>72</v>
      </c>
    </row>
    <row r="3760" ht="12.75" customHeight="1">
      <c r="A3760" s="5" t="s">
        <v>10709</v>
      </c>
      <c r="B3760" s="10" t="s">
        <v>10710</v>
      </c>
      <c r="D3760" s="5" t="s">
        <v>22</v>
      </c>
      <c r="E3760" s="5" t="s">
        <v>42</v>
      </c>
      <c r="F3760" s="5" t="s">
        <v>672</v>
      </c>
      <c r="G3760" s="10" t="s">
        <v>72</v>
      </c>
      <c r="H3760" s="5" t="s">
        <v>10704</v>
      </c>
      <c r="I3760" s="10" t="s">
        <v>72</v>
      </c>
      <c r="J3760" s="10" t="s">
        <v>72</v>
      </c>
    </row>
    <row r="3761" ht="12.75" customHeight="1">
      <c r="A3761" s="5" t="s">
        <v>10711</v>
      </c>
      <c r="B3761" s="10" t="s">
        <v>10712</v>
      </c>
      <c r="D3761" s="5" t="s">
        <v>22</v>
      </c>
      <c r="E3761" s="5" t="s">
        <v>42</v>
      </c>
      <c r="F3761" s="5" t="s">
        <v>672</v>
      </c>
      <c r="G3761" s="10" t="s">
        <v>72</v>
      </c>
      <c r="H3761" s="5" t="s">
        <v>10704</v>
      </c>
      <c r="I3761" s="10" t="s">
        <v>72</v>
      </c>
      <c r="J3761" s="10" t="s">
        <v>72</v>
      </c>
    </row>
    <row r="3762" ht="12.75" customHeight="1">
      <c r="A3762" s="5" t="s">
        <v>10713</v>
      </c>
      <c r="B3762" s="5" t="s">
        <v>10714</v>
      </c>
      <c r="C3762" s="5" t="s">
        <v>47</v>
      </c>
      <c r="D3762" s="5" t="s">
        <v>46</v>
      </c>
      <c r="E3762" s="5" t="s">
        <v>42</v>
      </c>
      <c r="F3762" s="5" t="s">
        <v>535</v>
      </c>
      <c r="G3762" s="10" t="s">
        <v>72</v>
      </c>
      <c r="H3762" s="5" t="s">
        <v>10700</v>
      </c>
      <c r="J3762" s="10" t="s">
        <v>72</v>
      </c>
      <c r="L3762" s="5" t="s">
        <v>10715</v>
      </c>
      <c r="M3762" s="5" t="s">
        <v>10715</v>
      </c>
    </row>
    <row r="3763" ht="12.75" customHeight="1">
      <c r="A3763" s="5" t="s">
        <v>10716</v>
      </c>
      <c r="B3763" s="10" t="s">
        <v>10717</v>
      </c>
      <c r="D3763" s="5" t="s">
        <v>46</v>
      </c>
      <c r="E3763" s="5" t="s">
        <v>42</v>
      </c>
      <c r="F3763" s="5" t="s">
        <v>535</v>
      </c>
      <c r="G3763" s="10" t="s">
        <v>72</v>
      </c>
      <c r="H3763" s="5" t="s">
        <v>10713</v>
      </c>
      <c r="I3763" s="10" t="s">
        <v>72</v>
      </c>
      <c r="J3763" s="10" t="s">
        <v>72</v>
      </c>
    </row>
    <row r="3764" ht="12.75" customHeight="1">
      <c r="A3764" s="5" t="s">
        <v>10718</v>
      </c>
      <c r="B3764" s="10" t="s">
        <v>10719</v>
      </c>
      <c r="D3764" s="5" t="s">
        <v>46</v>
      </c>
      <c r="E3764" s="5" t="s">
        <v>42</v>
      </c>
      <c r="F3764" s="5" t="s">
        <v>535</v>
      </c>
      <c r="G3764" s="10" t="s">
        <v>72</v>
      </c>
      <c r="H3764" s="5" t="s">
        <v>10713</v>
      </c>
      <c r="I3764" s="10" t="s">
        <v>72</v>
      </c>
      <c r="J3764" s="10" t="s">
        <v>72</v>
      </c>
    </row>
    <row r="3765" ht="12.75" customHeight="1">
      <c r="A3765" s="5" t="s">
        <v>10720</v>
      </c>
      <c r="B3765" s="10" t="s">
        <v>10721</v>
      </c>
      <c r="D3765" s="5" t="s">
        <v>46</v>
      </c>
      <c r="E3765" s="5" t="s">
        <v>42</v>
      </c>
      <c r="F3765" s="5" t="s">
        <v>535</v>
      </c>
      <c r="G3765" s="10" t="s">
        <v>72</v>
      </c>
      <c r="H3765" s="5" t="s">
        <v>10713</v>
      </c>
      <c r="I3765" s="10" t="s">
        <v>72</v>
      </c>
      <c r="J3765" s="10" t="s">
        <v>72</v>
      </c>
    </row>
    <row r="3766" ht="12.75" customHeight="1">
      <c r="A3766" s="5" t="s">
        <v>10722</v>
      </c>
      <c r="B3766" s="10" t="s">
        <v>10723</v>
      </c>
      <c r="C3766" s="5" t="s">
        <v>57</v>
      </c>
      <c r="D3766" s="5" t="s">
        <v>55</v>
      </c>
      <c r="E3766" s="5" t="s">
        <v>42</v>
      </c>
      <c r="F3766" s="5" t="s">
        <v>1461</v>
      </c>
      <c r="G3766" s="10" t="s">
        <v>72</v>
      </c>
      <c r="H3766" s="5" t="s">
        <v>10700</v>
      </c>
      <c r="J3766" s="10" t="s">
        <v>72</v>
      </c>
      <c r="L3766" s="5" t="s">
        <v>10724</v>
      </c>
      <c r="M3766" s="5" t="s">
        <v>10724</v>
      </c>
    </row>
    <row r="3767" ht="12.75" customHeight="1">
      <c r="A3767" s="5" t="s">
        <v>10725</v>
      </c>
      <c r="B3767" s="10" t="s">
        <v>10726</v>
      </c>
      <c r="D3767" s="5" t="s">
        <v>55</v>
      </c>
      <c r="E3767" s="5" t="s">
        <v>42</v>
      </c>
      <c r="F3767" s="5" t="s">
        <v>1461</v>
      </c>
      <c r="G3767" s="10" t="s">
        <v>72</v>
      </c>
      <c r="H3767" s="5" t="s">
        <v>10722</v>
      </c>
      <c r="I3767" s="10" t="s">
        <v>72</v>
      </c>
      <c r="J3767" s="10" t="s">
        <v>72</v>
      </c>
    </row>
    <row r="3768" ht="12.75" customHeight="1">
      <c r="A3768" s="5" t="s">
        <v>10727</v>
      </c>
      <c r="B3768" s="10" t="s">
        <v>10728</v>
      </c>
      <c r="D3768" s="5" t="s">
        <v>55</v>
      </c>
      <c r="E3768" s="5" t="s">
        <v>42</v>
      </c>
      <c r="F3768" s="5" t="s">
        <v>1461</v>
      </c>
      <c r="G3768" s="10" t="s">
        <v>72</v>
      </c>
      <c r="H3768" s="5" t="s">
        <v>10722</v>
      </c>
      <c r="I3768" s="10" t="s">
        <v>72</v>
      </c>
      <c r="J3768" s="10" t="s">
        <v>72</v>
      </c>
    </row>
    <row r="3769" ht="12.75" customHeight="1">
      <c r="A3769" s="5" t="s">
        <v>10729</v>
      </c>
      <c r="B3769" s="10" t="s">
        <v>10730</v>
      </c>
      <c r="D3769" s="5" t="s">
        <v>55</v>
      </c>
      <c r="E3769" s="5" t="s">
        <v>42</v>
      </c>
      <c r="F3769" s="5" t="s">
        <v>1461</v>
      </c>
      <c r="G3769" s="10" t="s">
        <v>72</v>
      </c>
      <c r="H3769" s="5" t="s">
        <v>10722</v>
      </c>
      <c r="I3769" s="10" t="s">
        <v>72</v>
      </c>
      <c r="J3769" s="10" t="s">
        <v>72</v>
      </c>
    </row>
    <row r="3770" ht="12.75" customHeight="1">
      <c r="A3770" s="5" t="s">
        <v>10731</v>
      </c>
      <c r="B3770" s="10" t="s">
        <v>10732</v>
      </c>
      <c r="D3770" s="5" t="s">
        <v>34</v>
      </c>
      <c r="E3770" s="5" t="s">
        <v>42</v>
      </c>
      <c r="F3770" s="5" t="s">
        <v>599</v>
      </c>
      <c r="G3770" s="10" t="s">
        <v>72</v>
      </c>
      <c r="H3770" s="5" t="s">
        <v>10702</v>
      </c>
      <c r="I3770" s="10" t="s">
        <v>72</v>
      </c>
      <c r="J3770" s="10" t="s">
        <v>72</v>
      </c>
      <c r="K3770" s="5" t="s">
        <v>10733</v>
      </c>
    </row>
    <row r="3771" ht="12.75" customHeight="1">
      <c r="A3771" s="5" t="s">
        <v>10734</v>
      </c>
      <c r="B3771" s="10" t="s">
        <v>10735</v>
      </c>
      <c r="C3771" s="5" t="s">
        <v>57</v>
      </c>
      <c r="D3771" s="5" t="s">
        <v>55</v>
      </c>
      <c r="E3771" s="5" t="s">
        <v>42</v>
      </c>
      <c r="F3771" s="5" t="s">
        <v>4124</v>
      </c>
      <c r="G3771" s="10" t="s">
        <v>72</v>
      </c>
      <c r="H3771" s="5" t="s">
        <v>10731</v>
      </c>
      <c r="J3771" s="10" t="s">
        <v>72</v>
      </c>
    </row>
    <row r="3772" ht="12.75" customHeight="1">
      <c r="A3772" s="5" t="s">
        <v>10736</v>
      </c>
      <c r="B3772" s="10" t="s">
        <v>10737</v>
      </c>
      <c r="C3772" s="5" t="s">
        <v>61</v>
      </c>
      <c r="D3772" s="5" t="s">
        <v>34</v>
      </c>
      <c r="E3772" s="5" t="s">
        <v>42</v>
      </c>
      <c r="F3772" s="5" t="s">
        <v>732</v>
      </c>
      <c r="G3772" s="10" t="s">
        <v>72</v>
      </c>
      <c r="H3772" s="5" t="s">
        <v>10731</v>
      </c>
      <c r="J3772" s="10" t="s">
        <v>72</v>
      </c>
    </row>
    <row r="3773" ht="12.75" customHeight="1">
      <c r="A3773" s="5" t="s">
        <v>10738</v>
      </c>
      <c r="B3773" s="10" t="s">
        <v>10739</v>
      </c>
      <c r="C3773" s="5" t="s">
        <v>69</v>
      </c>
      <c r="D3773" s="5" t="s">
        <v>67</v>
      </c>
      <c r="E3773" s="5" t="s">
        <v>35</v>
      </c>
      <c r="F3773" s="5" t="s">
        <v>411</v>
      </c>
      <c r="G3773" s="10" t="s">
        <v>72</v>
      </c>
      <c r="H3773" s="5" t="s">
        <v>10731</v>
      </c>
      <c r="J3773" s="10" t="s">
        <v>72</v>
      </c>
    </row>
    <row r="3774" ht="12.75" customHeight="1">
      <c r="A3774" s="5" t="s">
        <v>10740</v>
      </c>
      <c r="B3774" s="10" t="s">
        <v>10741</v>
      </c>
      <c r="C3774" s="5" t="s">
        <v>76</v>
      </c>
      <c r="D3774" s="5" t="s">
        <v>74</v>
      </c>
      <c r="E3774" s="5" t="s">
        <v>35</v>
      </c>
      <c r="F3774" s="5" t="s">
        <v>1238</v>
      </c>
      <c r="G3774" s="10" t="s">
        <v>72</v>
      </c>
      <c r="H3774" s="5" t="s">
        <v>10731</v>
      </c>
      <c r="J3774" s="10" t="s">
        <v>72</v>
      </c>
    </row>
    <row r="3775" ht="12.75" customHeight="1">
      <c r="A3775" s="5" t="s">
        <v>10742</v>
      </c>
      <c r="B3775" s="5" t="s">
        <v>10743</v>
      </c>
      <c r="D3775" s="5" t="s">
        <v>34</v>
      </c>
      <c r="E3775" s="5" t="s">
        <v>42</v>
      </c>
      <c r="F3775" s="5" t="s">
        <v>599</v>
      </c>
      <c r="G3775" s="10" t="s">
        <v>72</v>
      </c>
      <c r="H3775" s="5" t="s">
        <v>10702</v>
      </c>
      <c r="I3775" s="10" t="s">
        <v>72</v>
      </c>
      <c r="J3775" s="10" t="s">
        <v>72</v>
      </c>
      <c r="K3775" s="5" t="s">
        <v>10744</v>
      </c>
    </row>
    <row r="3776" ht="12.75" customHeight="1">
      <c r="A3776" s="5" t="s">
        <v>10745</v>
      </c>
      <c r="B3776" s="10" t="s">
        <v>10746</v>
      </c>
      <c r="C3776" s="5" t="s">
        <v>14</v>
      </c>
      <c r="D3776" s="5" t="s">
        <v>12</v>
      </c>
      <c r="E3776" s="5" t="s">
        <v>42</v>
      </c>
      <c r="F3776" s="5" t="s">
        <v>371</v>
      </c>
      <c r="G3776" s="10" t="s">
        <v>72</v>
      </c>
      <c r="H3776" s="5" t="s">
        <v>10742</v>
      </c>
      <c r="J3776" s="10" t="s">
        <v>72</v>
      </c>
    </row>
    <row r="3777" ht="12.75" customHeight="1">
      <c r="A3777" s="5" t="s">
        <v>10747</v>
      </c>
      <c r="B3777" s="5" t="s">
        <v>10748</v>
      </c>
      <c r="C3777" s="5" t="s">
        <v>57</v>
      </c>
      <c r="D3777" s="5" t="s">
        <v>55</v>
      </c>
      <c r="E3777" s="5" t="s">
        <v>42</v>
      </c>
      <c r="F3777" s="5" t="s">
        <v>1454</v>
      </c>
      <c r="G3777" s="10" t="s">
        <v>72</v>
      </c>
      <c r="H3777" s="5" t="s">
        <v>10742</v>
      </c>
      <c r="J3777" s="10" t="s">
        <v>72</v>
      </c>
    </row>
    <row r="3778" ht="12.75" customHeight="1">
      <c r="A3778" s="5" t="s">
        <v>10749</v>
      </c>
      <c r="B3778" s="10" t="s">
        <v>10750</v>
      </c>
      <c r="C3778" s="5" t="s">
        <v>69</v>
      </c>
      <c r="D3778" s="5" t="s">
        <v>67</v>
      </c>
      <c r="E3778" s="5" t="s">
        <v>35</v>
      </c>
      <c r="F3778" s="5" t="s">
        <v>624</v>
      </c>
      <c r="G3778" s="10" t="s">
        <v>72</v>
      </c>
      <c r="H3778" s="5" t="s">
        <v>10742</v>
      </c>
      <c r="J3778" s="10" t="s">
        <v>72</v>
      </c>
    </row>
    <row r="3779" ht="12.75" customHeight="1">
      <c r="A3779" s="5" t="s">
        <v>10751</v>
      </c>
      <c r="B3779" s="5" t="s">
        <v>10752</v>
      </c>
      <c r="C3779" s="5" t="s">
        <v>69</v>
      </c>
      <c r="D3779" s="5" t="s">
        <v>67</v>
      </c>
      <c r="E3779" s="5" t="s">
        <v>42</v>
      </c>
      <c r="F3779" s="5" t="s">
        <v>1898</v>
      </c>
      <c r="G3779" s="10" t="s">
        <v>72</v>
      </c>
      <c r="H3779" s="5" t="s">
        <v>10742</v>
      </c>
      <c r="J3779" s="10" t="s">
        <v>72</v>
      </c>
    </row>
    <row r="3780" ht="12.75" customHeight="1">
      <c r="A3780" s="5" t="s">
        <v>10753</v>
      </c>
      <c r="B3780" s="10" t="s">
        <v>10754</v>
      </c>
      <c r="C3780" s="5" t="s">
        <v>82</v>
      </c>
      <c r="D3780" s="5" t="s">
        <v>80</v>
      </c>
      <c r="E3780" s="5" t="s">
        <v>42</v>
      </c>
      <c r="F3780" s="5" t="s">
        <v>967</v>
      </c>
      <c r="G3780" s="10" t="s">
        <v>72</v>
      </c>
      <c r="H3780" s="5" t="s">
        <v>10742</v>
      </c>
      <c r="J3780" s="10" t="s">
        <v>72</v>
      </c>
    </row>
    <row r="3781" ht="12.75" customHeight="1">
      <c r="A3781" s="5" t="s">
        <v>10755</v>
      </c>
      <c r="B3781" s="10" t="s">
        <v>10756</v>
      </c>
      <c r="D3781" s="5" t="s">
        <v>34</v>
      </c>
      <c r="E3781" s="5" t="s">
        <v>42</v>
      </c>
      <c r="F3781" s="5" t="s">
        <v>599</v>
      </c>
      <c r="G3781" s="10" t="s">
        <v>72</v>
      </c>
      <c r="H3781" s="5" t="s">
        <v>10702</v>
      </c>
      <c r="I3781" s="10" t="s">
        <v>72</v>
      </c>
      <c r="J3781" s="10" t="s">
        <v>72</v>
      </c>
      <c r="K3781" s="5" t="s">
        <v>10757</v>
      </c>
    </row>
    <row r="3782" ht="12.75" customHeight="1">
      <c r="A3782" s="5" t="s">
        <v>10758</v>
      </c>
      <c r="B3782" s="10" t="s">
        <v>10759</v>
      </c>
      <c r="C3782" s="5" t="s">
        <v>14</v>
      </c>
      <c r="D3782" s="5" t="s">
        <v>12</v>
      </c>
      <c r="E3782" s="5" t="s">
        <v>42</v>
      </c>
      <c r="F3782" s="5" t="s">
        <v>345</v>
      </c>
      <c r="G3782" s="10" t="s">
        <v>72</v>
      </c>
      <c r="H3782" s="5" t="s">
        <v>10755</v>
      </c>
      <c r="J3782" s="10" t="s">
        <v>72</v>
      </c>
    </row>
    <row r="3783" ht="12.75" customHeight="1">
      <c r="A3783" s="5" t="s">
        <v>10760</v>
      </c>
      <c r="B3783" s="5" t="s">
        <v>10761</v>
      </c>
      <c r="C3783" s="5" t="s">
        <v>32</v>
      </c>
      <c r="D3783" s="5" t="s">
        <v>30</v>
      </c>
      <c r="E3783" s="5" t="s">
        <v>42</v>
      </c>
      <c r="F3783" s="5" t="s">
        <v>1933</v>
      </c>
      <c r="G3783" s="10" t="s">
        <v>72</v>
      </c>
      <c r="H3783" s="5" t="s">
        <v>10755</v>
      </c>
      <c r="J3783" s="10" t="s">
        <v>72</v>
      </c>
    </row>
    <row r="3784" ht="12.75" customHeight="1">
      <c r="A3784" s="5" t="s">
        <v>10762</v>
      </c>
      <c r="B3784" s="10" t="s">
        <v>10763</v>
      </c>
      <c r="C3784" s="5" t="s">
        <v>51</v>
      </c>
      <c r="D3784" s="5" t="s">
        <v>50</v>
      </c>
      <c r="E3784" s="5" t="s">
        <v>35</v>
      </c>
      <c r="F3784" s="5" t="s">
        <v>267</v>
      </c>
      <c r="G3784" s="10" t="s">
        <v>72</v>
      </c>
      <c r="H3784" s="5" t="s">
        <v>10755</v>
      </c>
      <c r="J3784" s="10" t="s">
        <v>72</v>
      </c>
    </row>
    <row r="3785" ht="12.75" customHeight="1">
      <c r="A3785" s="5" t="s">
        <v>10764</v>
      </c>
      <c r="B3785" s="10" t="s">
        <v>10765</v>
      </c>
      <c r="D3785" s="5" t="s">
        <v>34</v>
      </c>
      <c r="E3785" s="5" t="s">
        <v>42</v>
      </c>
      <c r="F3785" s="5" t="s">
        <v>599</v>
      </c>
      <c r="G3785" s="10" t="s">
        <v>72</v>
      </c>
      <c r="H3785" s="5" t="s">
        <v>10702</v>
      </c>
      <c r="I3785" s="10" t="s">
        <v>72</v>
      </c>
      <c r="J3785" s="10" t="s">
        <v>72</v>
      </c>
      <c r="K3785" s="5" t="s">
        <v>10766</v>
      </c>
    </row>
    <row r="3786" ht="12.75" customHeight="1">
      <c r="A3786" s="5" t="s">
        <v>10767</v>
      </c>
      <c r="B3786" s="10" t="s">
        <v>10768</v>
      </c>
      <c r="C3786" s="5" t="s">
        <v>14</v>
      </c>
      <c r="D3786" s="5" t="s">
        <v>12</v>
      </c>
      <c r="E3786" s="5" t="s">
        <v>42</v>
      </c>
      <c r="F3786" s="5" t="s">
        <v>9167</v>
      </c>
      <c r="G3786" s="10" t="s">
        <v>72</v>
      </c>
      <c r="H3786" s="5" t="s">
        <v>10764</v>
      </c>
      <c r="J3786" s="10" t="s">
        <v>72</v>
      </c>
      <c r="L3786" s="5" t="s">
        <v>10769</v>
      </c>
      <c r="M3786" s="5" t="s">
        <v>10769</v>
      </c>
    </row>
    <row r="3787" ht="12.75" customHeight="1">
      <c r="A3787" s="5" t="s">
        <v>10770</v>
      </c>
      <c r="B3787" s="5" t="s">
        <v>10771</v>
      </c>
      <c r="D3787" s="5" t="s">
        <v>12</v>
      </c>
      <c r="E3787" s="5" t="s">
        <v>42</v>
      </c>
      <c r="F3787" s="5" t="s">
        <v>9167</v>
      </c>
      <c r="G3787" s="10" t="s">
        <v>72</v>
      </c>
      <c r="H3787" s="5" t="s">
        <v>10767</v>
      </c>
      <c r="I3787" s="10" t="s">
        <v>72</v>
      </c>
      <c r="J3787" s="10" t="s">
        <v>72</v>
      </c>
    </row>
    <row r="3788" ht="12.75" customHeight="1">
      <c r="A3788" s="5" t="s">
        <v>10772</v>
      </c>
      <c r="B3788" s="5" t="s">
        <v>10773</v>
      </c>
      <c r="D3788" s="5" t="s">
        <v>12</v>
      </c>
      <c r="E3788" s="5" t="s">
        <v>42</v>
      </c>
      <c r="F3788" s="5" t="s">
        <v>9167</v>
      </c>
      <c r="G3788" s="10" t="s">
        <v>72</v>
      </c>
      <c r="H3788" s="5" t="s">
        <v>10767</v>
      </c>
      <c r="I3788" s="10" t="s">
        <v>72</v>
      </c>
      <c r="J3788" s="10" t="s">
        <v>72</v>
      </c>
    </row>
    <row r="3789" ht="12.75" customHeight="1">
      <c r="A3789" s="5" t="s">
        <v>10774</v>
      </c>
      <c r="B3789" s="5" t="s">
        <v>10775</v>
      </c>
      <c r="D3789" s="5" t="s">
        <v>12</v>
      </c>
      <c r="E3789" s="5" t="s">
        <v>42</v>
      </c>
      <c r="F3789" s="5" t="s">
        <v>9167</v>
      </c>
      <c r="G3789" s="10" t="s">
        <v>72</v>
      </c>
      <c r="H3789" s="5" t="s">
        <v>10767</v>
      </c>
      <c r="I3789" s="10" t="s">
        <v>72</v>
      </c>
      <c r="J3789" s="10" t="s">
        <v>72</v>
      </c>
    </row>
    <row r="3790" ht="12.75" customHeight="1">
      <c r="A3790" s="5" t="s">
        <v>10776</v>
      </c>
      <c r="B3790" s="10" t="s">
        <v>10777</v>
      </c>
      <c r="C3790" s="5" t="s">
        <v>47</v>
      </c>
      <c r="D3790" s="5" t="s">
        <v>46</v>
      </c>
      <c r="E3790" s="5" t="s">
        <v>35</v>
      </c>
      <c r="F3790" s="5" t="s">
        <v>263</v>
      </c>
      <c r="G3790" s="10" t="s">
        <v>72</v>
      </c>
      <c r="H3790" s="5" t="s">
        <v>10764</v>
      </c>
      <c r="J3790" s="10" t="s">
        <v>72</v>
      </c>
      <c r="L3790" s="5" t="s">
        <v>10778</v>
      </c>
      <c r="M3790" s="5" t="s">
        <v>10778</v>
      </c>
    </row>
    <row r="3791" ht="12.75" customHeight="1">
      <c r="A3791" s="5" t="s">
        <v>10779</v>
      </c>
      <c r="B3791" s="10" t="s">
        <v>10780</v>
      </c>
      <c r="D3791" s="5" t="s">
        <v>46</v>
      </c>
      <c r="E3791" s="5" t="s">
        <v>35</v>
      </c>
      <c r="F3791" s="5" t="s">
        <v>263</v>
      </c>
      <c r="G3791" s="10" t="s">
        <v>72</v>
      </c>
      <c r="H3791" s="5" t="s">
        <v>10776</v>
      </c>
      <c r="I3791" s="10" t="s">
        <v>72</v>
      </c>
      <c r="J3791" s="10" t="s">
        <v>72</v>
      </c>
    </row>
    <row r="3792" ht="12.75" customHeight="1">
      <c r="A3792" s="5" t="s">
        <v>10781</v>
      </c>
      <c r="B3792" s="10" t="s">
        <v>10782</v>
      </c>
      <c r="D3792" s="5" t="s">
        <v>46</v>
      </c>
      <c r="E3792" s="5" t="s">
        <v>35</v>
      </c>
      <c r="F3792" s="5" t="s">
        <v>263</v>
      </c>
      <c r="G3792" s="10" t="s">
        <v>72</v>
      </c>
      <c r="H3792" s="5" t="s">
        <v>10776</v>
      </c>
      <c r="I3792" s="10" t="s">
        <v>72</v>
      </c>
      <c r="J3792" s="10" t="s">
        <v>72</v>
      </c>
    </row>
    <row r="3793" ht="12.75" customHeight="1">
      <c r="A3793" s="5" t="s">
        <v>10783</v>
      </c>
      <c r="B3793" s="10" t="s">
        <v>10784</v>
      </c>
      <c r="D3793" s="5" t="s">
        <v>46</v>
      </c>
      <c r="E3793" s="5" t="s">
        <v>35</v>
      </c>
      <c r="F3793" s="5" t="s">
        <v>263</v>
      </c>
      <c r="G3793" s="10" t="s">
        <v>72</v>
      </c>
      <c r="H3793" s="5" t="s">
        <v>10776</v>
      </c>
      <c r="I3793" s="10" t="s">
        <v>72</v>
      </c>
      <c r="J3793" s="10" t="s">
        <v>72</v>
      </c>
    </row>
    <row r="3794" ht="12.75" customHeight="1">
      <c r="A3794" s="5" t="s">
        <v>10785</v>
      </c>
      <c r="B3794" s="10" t="s">
        <v>10786</v>
      </c>
      <c r="C3794" s="5" t="s">
        <v>47</v>
      </c>
      <c r="D3794" s="5" t="s">
        <v>46</v>
      </c>
      <c r="E3794" s="5" t="s">
        <v>42</v>
      </c>
      <c r="F3794" s="5" t="s">
        <v>2771</v>
      </c>
      <c r="G3794" s="10" t="s">
        <v>72</v>
      </c>
      <c r="H3794" s="5" t="s">
        <v>10764</v>
      </c>
      <c r="J3794" s="10" t="s">
        <v>72</v>
      </c>
      <c r="L3794" s="5" t="s">
        <v>10787</v>
      </c>
      <c r="M3794" s="5" t="s">
        <v>10787</v>
      </c>
    </row>
    <row r="3795" ht="12.75" customHeight="1">
      <c r="A3795" s="5" t="s">
        <v>10788</v>
      </c>
      <c r="B3795" s="10" t="s">
        <v>10789</v>
      </c>
      <c r="D3795" s="5" t="s">
        <v>46</v>
      </c>
      <c r="E3795" s="5" t="s">
        <v>42</v>
      </c>
      <c r="F3795" s="5" t="s">
        <v>2771</v>
      </c>
      <c r="G3795" s="10" t="s">
        <v>72</v>
      </c>
      <c r="H3795" s="5" t="s">
        <v>10785</v>
      </c>
      <c r="I3795" s="10" t="s">
        <v>72</v>
      </c>
      <c r="J3795" s="10" t="s">
        <v>72</v>
      </c>
    </row>
    <row r="3796" ht="12.75" customHeight="1">
      <c r="A3796" s="5" t="s">
        <v>10790</v>
      </c>
      <c r="B3796" s="10" t="s">
        <v>10791</v>
      </c>
      <c r="D3796" s="5" t="s">
        <v>46</v>
      </c>
      <c r="E3796" s="5" t="s">
        <v>42</v>
      </c>
      <c r="F3796" s="5" t="s">
        <v>2771</v>
      </c>
      <c r="G3796" s="10" t="s">
        <v>72</v>
      </c>
      <c r="H3796" s="5" t="s">
        <v>10785</v>
      </c>
      <c r="I3796" s="10" t="s">
        <v>72</v>
      </c>
      <c r="J3796" s="10" t="s">
        <v>72</v>
      </c>
    </row>
    <row r="3797" ht="12.75" customHeight="1">
      <c r="A3797" s="5" t="s">
        <v>10792</v>
      </c>
      <c r="B3797" s="10" t="s">
        <v>10793</v>
      </c>
      <c r="D3797" s="5" t="s">
        <v>46</v>
      </c>
      <c r="E3797" s="5" t="s">
        <v>42</v>
      </c>
      <c r="F3797" s="5" t="s">
        <v>2771</v>
      </c>
      <c r="G3797" s="10" t="s">
        <v>72</v>
      </c>
      <c r="H3797" s="5" t="s">
        <v>10785</v>
      </c>
      <c r="I3797" s="10" t="s">
        <v>72</v>
      </c>
      <c r="J3797" s="10" t="s">
        <v>72</v>
      </c>
    </row>
    <row r="3798" ht="12.75" customHeight="1">
      <c r="A3798" s="5" t="s">
        <v>10794</v>
      </c>
      <c r="B3798" s="5" t="s">
        <v>10795</v>
      </c>
      <c r="D3798" s="5" t="s">
        <v>34</v>
      </c>
      <c r="E3798" s="5" t="s">
        <v>42</v>
      </c>
      <c r="F3798" s="5" t="s">
        <v>599</v>
      </c>
      <c r="G3798" s="10" t="s">
        <v>72</v>
      </c>
      <c r="H3798" s="5" t="s">
        <v>10702</v>
      </c>
      <c r="I3798" s="10" t="s">
        <v>72</v>
      </c>
      <c r="J3798" s="10" t="s">
        <v>72</v>
      </c>
      <c r="K3798" s="5" t="s">
        <v>10796</v>
      </c>
    </row>
    <row r="3799" ht="12.75" customHeight="1">
      <c r="A3799" s="5" t="s">
        <v>10797</v>
      </c>
      <c r="B3799" s="5" t="s">
        <v>10798</v>
      </c>
      <c r="C3799" s="5" t="s">
        <v>82</v>
      </c>
      <c r="D3799" s="5" t="s">
        <v>80</v>
      </c>
      <c r="E3799" s="5" t="s">
        <v>35</v>
      </c>
      <c r="F3799" s="5" t="s">
        <v>1324</v>
      </c>
      <c r="G3799" s="10" t="s">
        <v>72</v>
      </c>
      <c r="H3799" s="5" t="s">
        <v>10794</v>
      </c>
      <c r="J3799" s="10" t="s">
        <v>72</v>
      </c>
    </row>
    <row r="3800" ht="12.75" customHeight="1">
      <c r="A3800" s="5" t="s">
        <v>10799</v>
      </c>
      <c r="B3800" s="10" t="s">
        <v>10800</v>
      </c>
      <c r="C3800" s="5" t="s">
        <v>82</v>
      </c>
      <c r="D3800" s="5" t="s">
        <v>80</v>
      </c>
      <c r="E3800" s="5" t="s">
        <v>42</v>
      </c>
      <c r="F3800" s="5" t="s">
        <v>157</v>
      </c>
      <c r="G3800" s="10" t="s">
        <v>72</v>
      </c>
      <c r="H3800" s="5" t="s">
        <v>10794</v>
      </c>
      <c r="J3800" s="10" t="s">
        <v>72</v>
      </c>
    </row>
    <row r="3801" ht="12.75" customHeight="1">
      <c r="A3801" s="5" t="s">
        <v>10801</v>
      </c>
      <c r="B3801" s="10" t="s">
        <v>10802</v>
      </c>
      <c r="D3801" s="5" t="s">
        <v>34</v>
      </c>
      <c r="E3801" s="5" t="s">
        <v>42</v>
      </c>
      <c r="F3801" s="5" t="s">
        <v>599</v>
      </c>
      <c r="G3801" s="10" t="s">
        <v>72</v>
      </c>
      <c r="H3801" s="5" t="s">
        <v>10702</v>
      </c>
      <c r="I3801" s="10" t="s">
        <v>72</v>
      </c>
      <c r="J3801" s="10" t="s">
        <v>72</v>
      </c>
      <c r="K3801" s="5" t="s">
        <v>10803</v>
      </c>
    </row>
    <row r="3802" ht="12.75" customHeight="1">
      <c r="A3802" s="5" t="s">
        <v>10804</v>
      </c>
      <c r="B3802" s="5" t="s">
        <v>10805</v>
      </c>
      <c r="C3802" s="5" t="s">
        <v>24</v>
      </c>
      <c r="D3802" s="5" t="s">
        <v>22</v>
      </c>
      <c r="E3802" s="5" t="s">
        <v>35</v>
      </c>
      <c r="F3802" s="5" t="s">
        <v>710</v>
      </c>
      <c r="G3802" s="10" t="s">
        <v>72</v>
      </c>
      <c r="H3802" s="5" t="s">
        <v>10801</v>
      </c>
      <c r="J3802" s="10" t="s">
        <v>72</v>
      </c>
    </row>
    <row r="3803" ht="12.75" customHeight="1">
      <c r="A3803" s="5" t="s">
        <v>10806</v>
      </c>
      <c r="B3803" s="5" t="s">
        <v>10807</v>
      </c>
      <c r="C3803" s="5" t="s">
        <v>24</v>
      </c>
      <c r="D3803" s="5" t="s">
        <v>22</v>
      </c>
      <c r="E3803" s="5" t="s">
        <v>42</v>
      </c>
      <c r="F3803" s="5" t="s">
        <v>556</v>
      </c>
      <c r="G3803" s="10" t="s">
        <v>72</v>
      </c>
      <c r="H3803" s="5" t="s">
        <v>10801</v>
      </c>
      <c r="J3803" s="10" t="s">
        <v>72</v>
      </c>
    </row>
    <row r="3804" ht="12.75" customHeight="1">
      <c r="A3804" s="5" t="s">
        <v>10808</v>
      </c>
      <c r="B3804" s="5" t="s">
        <v>10809</v>
      </c>
      <c r="C3804" s="5" t="s">
        <v>32</v>
      </c>
      <c r="D3804" s="5" t="s">
        <v>30</v>
      </c>
      <c r="E3804" s="5" t="s">
        <v>35</v>
      </c>
      <c r="F3804" s="5" t="s">
        <v>1868</v>
      </c>
      <c r="G3804" s="10" t="s">
        <v>72</v>
      </c>
      <c r="H3804" s="5" t="s">
        <v>10801</v>
      </c>
      <c r="J3804" s="10" t="s">
        <v>72</v>
      </c>
    </row>
    <row r="3805" ht="12.75" customHeight="1">
      <c r="A3805" s="5" t="s">
        <v>10810</v>
      </c>
      <c r="B3805" s="5" t="s">
        <v>10811</v>
      </c>
      <c r="C3805" s="5" t="s">
        <v>76</v>
      </c>
      <c r="D3805" s="5" t="s">
        <v>74</v>
      </c>
      <c r="E3805" s="5" t="s">
        <v>35</v>
      </c>
      <c r="F3805" s="5" t="s">
        <v>813</v>
      </c>
      <c r="G3805" s="10" t="s">
        <v>72</v>
      </c>
      <c r="H3805" s="5" t="s">
        <v>10801</v>
      </c>
      <c r="J3805" s="10" t="s">
        <v>72</v>
      </c>
    </row>
    <row r="3806" ht="12.75" customHeight="1">
      <c r="A3806" s="5" t="s">
        <v>10702</v>
      </c>
      <c r="B3806" s="5" t="s">
        <v>10812</v>
      </c>
      <c r="C3806" s="5" t="s">
        <v>2242</v>
      </c>
      <c r="D3806" s="5" t="s">
        <v>34</v>
      </c>
      <c r="E3806" s="5" t="s">
        <v>42</v>
      </c>
      <c r="F3806" s="5" t="s">
        <v>599</v>
      </c>
      <c r="G3806" s="10" t="s">
        <v>72</v>
      </c>
      <c r="J3806" s="10" t="s">
        <v>72</v>
      </c>
      <c r="K3806" s="5" t="s">
        <v>10813</v>
      </c>
      <c r="L3806" s="5" t="s">
        <v>10814</v>
      </c>
      <c r="M3806" s="5" t="s">
        <v>10814</v>
      </c>
    </row>
    <row r="3807" ht="12.75" customHeight="1">
      <c r="A3807" s="5" t="s">
        <v>10815</v>
      </c>
      <c r="B3807" s="10" t="s">
        <v>10816</v>
      </c>
      <c r="D3807" s="5" t="s">
        <v>34</v>
      </c>
      <c r="E3807" s="5" t="s">
        <v>42</v>
      </c>
      <c r="F3807" s="5" t="s">
        <v>599</v>
      </c>
      <c r="G3807" s="10" t="s">
        <v>72</v>
      </c>
      <c r="H3807" s="5" t="s">
        <v>10702</v>
      </c>
      <c r="I3807" s="10" t="s">
        <v>72</v>
      </c>
      <c r="J3807" s="10" t="s">
        <v>72</v>
      </c>
      <c r="K3807" s="5" t="s">
        <v>10817</v>
      </c>
    </row>
    <row r="3808" ht="12.75" customHeight="1">
      <c r="A3808" s="5" t="s">
        <v>10818</v>
      </c>
      <c r="B3808" s="10" t="s">
        <v>10819</v>
      </c>
      <c r="D3808" s="5" t="s">
        <v>34</v>
      </c>
      <c r="E3808" s="5" t="s">
        <v>42</v>
      </c>
      <c r="F3808" s="5" t="s">
        <v>599</v>
      </c>
      <c r="G3808" s="10" t="s">
        <v>72</v>
      </c>
      <c r="H3808" s="5" t="s">
        <v>10702</v>
      </c>
      <c r="I3808" s="10" t="s">
        <v>72</v>
      </c>
      <c r="J3808" s="10" t="s">
        <v>72</v>
      </c>
      <c r="K3808" s="5" t="s">
        <v>10820</v>
      </c>
    </row>
    <row r="3809" ht="12.75" customHeight="1">
      <c r="A3809" s="5" t="s">
        <v>10821</v>
      </c>
      <c r="B3809" s="10" t="s">
        <v>10822</v>
      </c>
      <c r="C3809" s="5" t="s">
        <v>14</v>
      </c>
      <c r="D3809" s="5" t="s">
        <v>12</v>
      </c>
      <c r="E3809" s="5" t="s">
        <v>42</v>
      </c>
      <c r="F3809" s="5" t="s">
        <v>356</v>
      </c>
      <c r="G3809" s="10" t="s">
        <v>72</v>
      </c>
      <c r="H3809" s="5" t="s">
        <v>10818</v>
      </c>
      <c r="J3809" s="10" t="s">
        <v>72</v>
      </c>
    </row>
    <row r="3810" ht="12.75" customHeight="1">
      <c r="A3810" s="5" t="s">
        <v>10823</v>
      </c>
      <c r="B3810" s="10" t="s">
        <v>10824</v>
      </c>
      <c r="C3810" s="5" t="s">
        <v>51</v>
      </c>
      <c r="D3810" s="5" t="s">
        <v>50</v>
      </c>
      <c r="E3810" s="5" t="s">
        <v>42</v>
      </c>
      <c r="F3810" s="5" t="s">
        <v>228</v>
      </c>
      <c r="G3810" s="10" t="s">
        <v>72</v>
      </c>
      <c r="H3810" s="5" t="s">
        <v>10818</v>
      </c>
      <c r="J3810" s="10" t="s">
        <v>72</v>
      </c>
    </row>
    <row r="3811" ht="12.75" customHeight="1">
      <c r="A3811" s="5" t="s">
        <v>10825</v>
      </c>
      <c r="B3811" s="10" t="s">
        <v>10826</v>
      </c>
      <c r="C3811" s="5" t="s">
        <v>57</v>
      </c>
      <c r="D3811" s="5" t="s">
        <v>55</v>
      </c>
      <c r="E3811" s="5" t="s">
        <v>42</v>
      </c>
      <c r="F3811" s="5" t="s">
        <v>10827</v>
      </c>
      <c r="G3811" s="10" t="s">
        <v>72</v>
      </c>
      <c r="H3811" s="5" t="s">
        <v>10818</v>
      </c>
      <c r="J3811" s="10" t="s">
        <v>72</v>
      </c>
    </row>
    <row r="3812" ht="12.75" customHeight="1">
      <c r="A3812" s="5" t="s">
        <v>10828</v>
      </c>
      <c r="B3812" s="10" t="s">
        <v>10829</v>
      </c>
      <c r="C3812" s="5" t="s">
        <v>61</v>
      </c>
      <c r="D3812" s="5" t="s">
        <v>34</v>
      </c>
      <c r="E3812" s="5" t="s">
        <v>35</v>
      </c>
      <c r="F3812" s="5" t="s">
        <v>1238</v>
      </c>
      <c r="G3812" s="10" t="s">
        <v>72</v>
      </c>
      <c r="H3812" s="5" t="s">
        <v>10815</v>
      </c>
      <c r="J3812" s="10" t="s">
        <v>72</v>
      </c>
    </row>
    <row r="3813" ht="12.75" customHeight="1">
      <c r="A3813" s="5" t="s">
        <v>10830</v>
      </c>
      <c r="B3813" s="10" t="s">
        <v>10831</v>
      </c>
      <c r="C3813" s="5" t="s">
        <v>69</v>
      </c>
      <c r="D3813" s="5" t="s">
        <v>67</v>
      </c>
      <c r="E3813" s="5" t="s">
        <v>35</v>
      </c>
      <c r="F3813" s="5" t="s">
        <v>642</v>
      </c>
      <c r="G3813" s="10" t="s">
        <v>72</v>
      </c>
      <c r="H3813" s="5" t="s">
        <v>10815</v>
      </c>
      <c r="J3813" s="10" t="s">
        <v>72</v>
      </c>
    </row>
    <row r="3814" ht="12.75" customHeight="1">
      <c r="A3814" s="5" t="s">
        <v>10832</v>
      </c>
      <c r="B3814" s="5" t="s">
        <v>10833</v>
      </c>
      <c r="C3814" s="5" t="s">
        <v>69</v>
      </c>
      <c r="D3814" s="5" t="s">
        <v>67</v>
      </c>
      <c r="E3814" s="5" t="s">
        <v>42</v>
      </c>
      <c r="F3814" s="5" t="s">
        <v>1714</v>
      </c>
      <c r="G3814" s="10" t="s">
        <v>72</v>
      </c>
      <c r="H3814" s="5" t="s">
        <v>10815</v>
      </c>
      <c r="J3814" s="10" t="s">
        <v>72</v>
      </c>
    </row>
    <row r="3815" ht="12.75" customHeight="1">
      <c r="A3815" s="5" t="s">
        <v>10834</v>
      </c>
      <c r="B3815" s="10" t="s">
        <v>10835</v>
      </c>
      <c r="C3815" s="5" t="s">
        <v>76</v>
      </c>
      <c r="D3815" s="5" t="s">
        <v>74</v>
      </c>
      <c r="E3815" s="5" t="s">
        <v>42</v>
      </c>
      <c r="F3815" s="5" t="s">
        <v>445</v>
      </c>
      <c r="G3815" s="10" t="s">
        <v>72</v>
      </c>
      <c r="H3815" s="5" t="s">
        <v>10815</v>
      </c>
      <c r="J3815" s="10" t="s">
        <v>72</v>
      </c>
    </row>
    <row r="3816" ht="12.75" customHeight="1">
      <c r="A3816" s="5" t="s">
        <v>10836</v>
      </c>
      <c r="B3816" s="10" t="s">
        <v>10837</v>
      </c>
      <c r="D3816" s="5" t="s">
        <v>12</v>
      </c>
      <c r="E3816" s="5" t="s">
        <v>35</v>
      </c>
      <c r="F3816" s="5" t="s">
        <v>454</v>
      </c>
      <c r="G3816" s="10" t="s">
        <v>72</v>
      </c>
      <c r="H3816" s="5" t="s">
        <v>10838</v>
      </c>
      <c r="J3816" s="10" t="s">
        <v>72</v>
      </c>
    </row>
    <row r="3817" ht="12.75" customHeight="1">
      <c r="A3817" s="5" t="s">
        <v>10839</v>
      </c>
      <c r="B3817" s="5" t="s">
        <v>10840</v>
      </c>
      <c r="D3817" s="5" t="s">
        <v>30</v>
      </c>
      <c r="E3817" s="5" t="s">
        <v>42</v>
      </c>
      <c r="F3817" s="5" t="s">
        <v>157</v>
      </c>
      <c r="G3817" s="10" t="s">
        <v>72</v>
      </c>
      <c r="H3817" s="5" t="s">
        <v>10838</v>
      </c>
      <c r="J3817" s="10" t="s">
        <v>72</v>
      </c>
    </row>
    <row r="3818" ht="12.75" customHeight="1">
      <c r="A3818" s="5" t="s">
        <v>10841</v>
      </c>
      <c r="B3818" s="10" t="s">
        <v>10842</v>
      </c>
      <c r="D3818" s="5" t="s">
        <v>55</v>
      </c>
      <c r="E3818" s="5" t="s">
        <v>35</v>
      </c>
      <c r="F3818" s="5" t="s">
        <v>1273</v>
      </c>
      <c r="G3818" s="10" t="s">
        <v>72</v>
      </c>
      <c r="H3818" s="5" t="s">
        <v>10838</v>
      </c>
      <c r="J3818" s="10" t="s">
        <v>72</v>
      </c>
    </row>
    <row r="3819" ht="12.75" customHeight="1">
      <c r="A3819" s="5" t="s">
        <v>10838</v>
      </c>
      <c r="B3819" s="5" t="s">
        <v>10843</v>
      </c>
      <c r="C3819" s="5" t="s">
        <v>10844</v>
      </c>
      <c r="D3819" s="5" t="s">
        <v>34</v>
      </c>
      <c r="E3819" s="5" t="s">
        <v>42</v>
      </c>
      <c r="F3819" s="5" t="s">
        <v>599</v>
      </c>
      <c r="G3819" s="10" t="s">
        <v>72</v>
      </c>
      <c r="J3819" s="10" t="s">
        <v>72</v>
      </c>
      <c r="K3819" s="5" t="s">
        <v>10845</v>
      </c>
    </row>
    <row r="3820" ht="12.75" customHeight="1">
      <c r="A3820" s="5" t="s">
        <v>10846</v>
      </c>
      <c r="B3820" s="5" t="s">
        <v>10847</v>
      </c>
      <c r="C3820" s="5" t="s">
        <v>1152</v>
      </c>
      <c r="D3820" s="5" t="s">
        <v>30</v>
      </c>
      <c r="E3820" s="5" t="s">
        <v>42</v>
      </c>
      <c r="F3820" s="5" t="s">
        <v>157</v>
      </c>
      <c r="G3820" s="10" t="s">
        <v>72</v>
      </c>
      <c r="H3820" s="5" t="s">
        <v>10848</v>
      </c>
    </row>
    <row r="3821" ht="12.75" customHeight="1">
      <c r="A3821" s="5" t="s">
        <v>10849</v>
      </c>
      <c r="B3821" s="5" t="s">
        <v>10850</v>
      </c>
      <c r="C3821" s="5" t="s">
        <v>10851</v>
      </c>
      <c r="D3821" s="5" t="s">
        <v>50</v>
      </c>
      <c r="E3821" s="5" t="s">
        <v>42</v>
      </c>
      <c r="F3821" s="5" t="s">
        <v>657</v>
      </c>
    </row>
    <row r="3822" ht="12.75" customHeight="1">
      <c r="A3822" s="5" t="s">
        <v>10852</v>
      </c>
      <c r="B3822" s="5" t="s">
        <v>10853</v>
      </c>
      <c r="C3822" s="5" t="s">
        <v>10854</v>
      </c>
      <c r="D3822" s="5" t="s">
        <v>50</v>
      </c>
      <c r="E3822" s="5" t="s">
        <v>35</v>
      </c>
      <c r="F3822" s="5" t="s">
        <v>605</v>
      </c>
    </row>
    <row r="3823" ht="12.75" customHeight="1">
      <c r="A3823" s="5" t="s">
        <v>10855</v>
      </c>
      <c r="B3823" s="5" t="s">
        <v>10856</v>
      </c>
      <c r="C3823" s="5" t="s">
        <v>10851</v>
      </c>
      <c r="D3823" s="5" t="s">
        <v>50</v>
      </c>
      <c r="E3823" s="5" t="s">
        <v>42</v>
      </c>
      <c r="F3823" s="5" t="s">
        <v>657</v>
      </c>
    </row>
    <row r="3824" ht="12.75" customHeight="1">
      <c r="A3824" s="5" t="s">
        <v>10857</v>
      </c>
      <c r="B3824" s="5" t="s">
        <v>10858</v>
      </c>
      <c r="C3824" s="5" t="s">
        <v>10854</v>
      </c>
      <c r="D3824" s="5" t="s">
        <v>50</v>
      </c>
      <c r="E3824" s="5" t="s">
        <v>35</v>
      </c>
      <c r="F3824" s="5" t="s">
        <v>605</v>
      </c>
    </row>
    <row r="3825" ht="12.75" customHeight="1">
      <c r="A3825" s="5" t="s">
        <v>10859</v>
      </c>
      <c r="B3825" s="5" t="s">
        <v>10860</v>
      </c>
      <c r="C3825" s="5" t="s">
        <v>10861</v>
      </c>
      <c r="D3825" s="5" t="s">
        <v>38</v>
      </c>
      <c r="E3825" s="5" t="s">
        <v>35</v>
      </c>
      <c r="F3825" s="5" t="s">
        <v>619</v>
      </c>
      <c r="G3825" s="10" t="s">
        <v>72</v>
      </c>
    </row>
    <row r="3826" ht="12.75" customHeight="1">
      <c r="A3826" s="5" t="s">
        <v>10862</v>
      </c>
      <c r="B3826" s="5" t="s">
        <v>10863</v>
      </c>
      <c r="C3826" s="5" t="s">
        <v>10864</v>
      </c>
      <c r="D3826" s="5" t="s">
        <v>12</v>
      </c>
      <c r="E3826" s="5" t="s">
        <v>42</v>
      </c>
      <c r="F3826" s="5" t="s">
        <v>345</v>
      </c>
      <c r="G3826" s="10" t="s">
        <v>72</v>
      </c>
    </row>
    <row r="3827" ht="12.75" customHeight="1">
      <c r="A3827" s="5" t="s">
        <v>10865</v>
      </c>
      <c r="B3827" s="5" t="s">
        <v>10866</v>
      </c>
      <c r="C3827" s="5" t="s">
        <v>9323</v>
      </c>
      <c r="D3827" s="5" t="s">
        <v>34</v>
      </c>
      <c r="E3827" s="5" t="s">
        <v>42</v>
      </c>
      <c r="F3827" s="5" t="s">
        <v>228</v>
      </c>
    </row>
    <row r="3828" ht="12.75" customHeight="1">
      <c r="A3828" s="5" t="s">
        <v>10867</v>
      </c>
      <c r="B3828" s="5" t="s">
        <v>10868</v>
      </c>
      <c r="C3828" s="5" t="s">
        <v>9323</v>
      </c>
      <c r="D3828" s="5" t="s">
        <v>34</v>
      </c>
      <c r="E3828" s="5" t="s">
        <v>42</v>
      </c>
      <c r="F3828" s="5" t="s">
        <v>672</v>
      </c>
    </row>
    <row r="3829" ht="12.75" customHeight="1">
      <c r="A3829" s="5" t="s">
        <v>10869</v>
      </c>
      <c r="B3829" s="5" t="s">
        <v>10870</v>
      </c>
      <c r="C3829" s="5" t="s">
        <v>2781</v>
      </c>
      <c r="D3829" s="5" t="s">
        <v>30</v>
      </c>
      <c r="E3829" s="5" t="s">
        <v>42</v>
      </c>
      <c r="F3829" s="5" t="s">
        <v>3107</v>
      </c>
    </row>
    <row r="3830" ht="12.75" customHeight="1">
      <c r="A3830" s="5" t="s">
        <v>10871</v>
      </c>
      <c r="B3830" s="5" t="s">
        <v>10872</v>
      </c>
      <c r="C3830" s="5" t="s">
        <v>2781</v>
      </c>
      <c r="D3830" s="5" t="s">
        <v>50</v>
      </c>
      <c r="E3830" s="5" t="s">
        <v>42</v>
      </c>
      <c r="F3830" s="5" t="s">
        <v>1991</v>
      </c>
    </row>
    <row r="3831" ht="12.75" customHeight="1">
      <c r="A3831" s="5" t="s">
        <v>10873</v>
      </c>
      <c r="B3831" s="5" t="s">
        <v>10874</v>
      </c>
      <c r="C3831" s="5" t="s">
        <v>10875</v>
      </c>
      <c r="D3831" s="5" t="s">
        <v>34</v>
      </c>
      <c r="E3831" s="5" t="s">
        <v>42</v>
      </c>
      <c r="F3831" s="5" t="s">
        <v>228</v>
      </c>
    </row>
    <row r="3832" ht="12.75" customHeight="1">
      <c r="A3832" s="5" t="s">
        <v>6803</v>
      </c>
      <c r="B3832" s="10" t="s">
        <v>10876</v>
      </c>
      <c r="C3832" s="5" t="s">
        <v>2781</v>
      </c>
      <c r="D3832" s="5" t="s">
        <v>34</v>
      </c>
      <c r="E3832" s="5" t="s">
        <v>35</v>
      </c>
      <c r="F3832" s="5" t="s">
        <v>616</v>
      </c>
      <c r="G3832" s="10" t="s">
        <v>72</v>
      </c>
      <c r="H3832" s="5" t="s">
        <v>6799</v>
      </c>
    </row>
    <row r="3833" ht="12.75" customHeight="1">
      <c r="A3833" s="5" t="s">
        <v>10877</v>
      </c>
      <c r="B3833" s="10" t="s">
        <v>10878</v>
      </c>
      <c r="C3833" s="5" t="s">
        <v>2781</v>
      </c>
      <c r="D3833" s="5" t="s">
        <v>34</v>
      </c>
      <c r="E3833" s="5" t="s">
        <v>42</v>
      </c>
      <c r="F3833" s="5" t="s">
        <v>65</v>
      </c>
      <c r="G3833" s="10" t="s">
        <v>72</v>
      </c>
      <c r="H3833" s="5" t="s">
        <v>2782</v>
      </c>
    </row>
    <row r="3834" ht="12.75" customHeight="1">
      <c r="A3834" s="5" t="s">
        <v>10879</v>
      </c>
      <c r="B3834" s="5" t="s">
        <v>10880</v>
      </c>
      <c r="C3834" s="5" t="s">
        <v>2781</v>
      </c>
      <c r="D3834" s="5" t="s">
        <v>34</v>
      </c>
      <c r="E3834" s="5" t="s">
        <v>42</v>
      </c>
      <c r="F3834" s="5" t="s">
        <v>54</v>
      </c>
      <c r="G3834" s="10" t="s">
        <v>72</v>
      </c>
      <c r="H3834" s="5" t="s">
        <v>2782</v>
      </c>
    </row>
    <row r="3835" ht="12.75" customHeight="1">
      <c r="A3835" s="5" t="s">
        <v>10881</v>
      </c>
      <c r="B3835" s="5" t="s">
        <v>10882</v>
      </c>
      <c r="C3835" s="5" t="s">
        <v>10883</v>
      </c>
      <c r="D3835" s="5" t="s">
        <v>34</v>
      </c>
      <c r="E3835" s="5" t="s">
        <v>42</v>
      </c>
      <c r="F3835" s="5" t="s">
        <v>167</v>
      </c>
    </row>
    <row r="3836" ht="12.75" customHeight="1">
      <c r="A3836" s="5" t="s">
        <v>10884</v>
      </c>
      <c r="B3836" s="5" t="s">
        <v>10885</v>
      </c>
      <c r="C3836" s="5" t="s">
        <v>4774</v>
      </c>
      <c r="D3836" s="5" t="s">
        <v>22</v>
      </c>
      <c r="E3836" s="5" t="s">
        <v>35</v>
      </c>
      <c r="F3836" s="5" t="s">
        <v>104</v>
      </c>
      <c r="H3836" s="5" t="s">
        <v>4686</v>
      </c>
    </row>
    <row r="3837" ht="12.75" customHeight="1">
      <c r="A3837" s="5" t="s">
        <v>10886</v>
      </c>
      <c r="B3837" s="5" t="s">
        <v>10887</v>
      </c>
      <c r="C3837" s="5" t="s">
        <v>4774</v>
      </c>
      <c r="D3837" s="5" t="s">
        <v>22</v>
      </c>
      <c r="E3837" s="5" t="s">
        <v>35</v>
      </c>
      <c r="F3837" s="5" t="s">
        <v>110</v>
      </c>
      <c r="H3837" s="5" t="s">
        <v>4686</v>
      </c>
    </row>
    <row r="3838" ht="12.75" customHeight="1">
      <c r="A3838" s="5" t="s">
        <v>10888</v>
      </c>
      <c r="B3838" s="5" t="s">
        <v>10889</v>
      </c>
      <c r="C3838" s="5" t="s">
        <v>10890</v>
      </c>
      <c r="D3838" s="5" t="s">
        <v>34</v>
      </c>
      <c r="E3838" s="5" t="s">
        <v>42</v>
      </c>
      <c r="F3838" s="5" t="s">
        <v>43</v>
      </c>
      <c r="G3838" s="10" t="s">
        <v>72</v>
      </c>
      <c r="H3838" s="5" t="s">
        <v>10891</v>
      </c>
    </row>
    <row r="3839" ht="12.75" customHeight="1">
      <c r="A3839" s="5" t="s">
        <v>10352</v>
      </c>
      <c r="B3839" s="5" t="s">
        <v>10892</v>
      </c>
      <c r="D3839" s="5" t="s">
        <v>22</v>
      </c>
      <c r="E3839" s="5" t="s">
        <v>35</v>
      </c>
      <c r="F3839" s="5" t="s">
        <v>1776</v>
      </c>
      <c r="H3839" s="5" t="s">
        <v>4686</v>
      </c>
      <c r="I3839" s="10" t="s">
        <v>72</v>
      </c>
    </row>
    <row r="3840" ht="12.75" customHeight="1">
      <c r="A3840" s="5" t="s">
        <v>10893</v>
      </c>
      <c r="B3840" s="5" t="s">
        <v>10894</v>
      </c>
      <c r="C3840" s="5" t="s">
        <v>10895</v>
      </c>
      <c r="D3840" s="5" t="s">
        <v>30</v>
      </c>
      <c r="E3840" s="5" t="s">
        <v>42</v>
      </c>
      <c r="F3840" s="5" t="s">
        <v>599</v>
      </c>
      <c r="G3840" s="10" t="s">
        <v>72</v>
      </c>
      <c r="H3840" s="5" t="s">
        <v>10896</v>
      </c>
    </row>
    <row r="3841" ht="12.75" customHeight="1">
      <c r="A3841" s="5" t="s">
        <v>10897</v>
      </c>
      <c r="B3841" s="5" t="s">
        <v>10898</v>
      </c>
      <c r="C3841" s="5" t="s">
        <v>10899</v>
      </c>
      <c r="D3841" s="5" t="s">
        <v>34</v>
      </c>
      <c r="E3841" s="5" t="s">
        <v>42</v>
      </c>
      <c r="F3841" s="5" t="s">
        <v>634</v>
      </c>
      <c r="G3841" s="10" t="s">
        <v>72</v>
      </c>
      <c r="H3841" s="5" t="s">
        <v>1153</v>
      </c>
    </row>
    <row r="3842" ht="12.75" customHeight="1">
      <c r="A3842" s="5" t="s">
        <v>10900</v>
      </c>
      <c r="B3842" s="5" t="s">
        <v>10901</v>
      </c>
      <c r="C3842" s="5" t="s">
        <v>10902</v>
      </c>
      <c r="D3842" s="5" t="s">
        <v>80</v>
      </c>
      <c r="E3842" s="5" t="s">
        <v>35</v>
      </c>
      <c r="F3842" s="5" t="s">
        <v>1875</v>
      </c>
      <c r="G3842" s="10" t="s">
        <v>72</v>
      </c>
      <c r="H3842" s="5" t="s">
        <v>10896</v>
      </c>
    </row>
    <row r="3843" ht="12.75" customHeight="1">
      <c r="A3843" s="5" t="s">
        <v>10903</v>
      </c>
      <c r="B3843" s="5" t="s">
        <v>10904</v>
      </c>
      <c r="C3843" s="5" t="s">
        <v>10905</v>
      </c>
      <c r="D3843" s="5" t="s">
        <v>50</v>
      </c>
      <c r="E3843" s="5" t="s">
        <v>35</v>
      </c>
      <c r="F3843" s="5" t="s">
        <v>429</v>
      </c>
      <c r="G3843" s="10" t="s">
        <v>72</v>
      </c>
      <c r="H3843" s="5" t="s">
        <v>1153</v>
      </c>
    </row>
    <row r="3844" ht="12.75" customHeight="1">
      <c r="A3844" s="5" t="s">
        <v>10906</v>
      </c>
      <c r="B3844" s="5" t="s">
        <v>10907</v>
      </c>
      <c r="C3844" s="5" t="s">
        <v>10905</v>
      </c>
      <c r="D3844" s="5" t="s">
        <v>50</v>
      </c>
      <c r="E3844" s="5" t="s">
        <v>42</v>
      </c>
      <c r="F3844" s="5" t="s">
        <v>65</v>
      </c>
      <c r="G3844" s="10" t="s">
        <v>72</v>
      </c>
      <c r="H3844" s="5" t="s">
        <v>1153</v>
      </c>
    </row>
    <row r="3845" ht="12.75" customHeight="1">
      <c r="A3845" s="5" t="s">
        <v>9565</v>
      </c>
      <c r="B3845" s="5" t="s">
        <v>10908</v>
      </c>
      <c r="D3845" s="5" t="s">
        <v>74</v>
      </c>
      <c r="E3845" s="5" t="s">
        <v>42</v>
      </c>
      <c r="F3845" s="5" t="s">
        <v>435</v>
      </c>
      <c r="H3845" s="5" t="s">
        <v>9563</v>
      </c>
      <c r="I3845" s="10" t="s">
        <v>72</v>
      </c>
    </row>
    <row r="3846" ht="12.75" customHeight="1">
      <c r="A3846" s="5" t="s">
        <v>10381</v>
      </c>
      <c r="B3846" s="5" t="s">
        <v>10909</v>
      </c>
      <c r="C3846" s="5" t="s">
        <v>10910</v>
      </c>
      <c r="D3846" s="5" t="s">
        <v>74</v>
      </c>
      <c r="E3846" s="5" t="s">
        <v>35</v>
      </c>
      <c r="F3846" s="5" t="s">
        <v>695</v>
      </c>
      <c r="H3846" s="5" t="s">
        <v>10379</v>
      </c>
      <c r="I3846" s="10" t="s">
        <v>72</v>
      </c>
    </row>
    <row r="3847" ht="12.75" customHeight="1">
      <c r="A3847" s="5" t="s">
        <v>10911</v>
      </c>
      <c r="B3847" s="5" t="s">
        <v>10912</v>
      </c>
      <c r="C3847" s="5" t="s">
        <v>4883</v>
      </c>
      <c r="D3847" s="5" t="s">
        <v>34</v>
      </c>
      <c r="E3847" s="5" t="s">
        <v>42</v>
      </c>
      <c r="F3847" s="5" t="s">
        <v>672</v>
      </c>
      <c r="G3847" s="10" t="s">
        <v>72</v>
      </c>
      <c r="H3847" s="5" t="s">
        <v>1153</v>
      </c>
    </row>
    <row r="3848" ht="12.75" customHeight="1">
      <c r="A3848" s="5" t="s">
        <v>10913</v>
      </c>
      <c r="B3848" s="5" t="s">
        <v>10914</v>
      </c>
      <c r="C3848" s="5" t="s">
        <v>4389</v>
      </c>
      <c r="D3848" s="5" t="s">
        <v>124</v>
      </c>
      <c r="E3848" s="5" t="s">
        <v>42</v>
      </c>
      <c r="F3848" s="5" t="s">
        <v>4550</v>
      </c>
    </row>
    <row r="3849" ht="12.75" customHeight="1">
      <c r="A3849" s="5" t="s">
        <v>10915</v>
      </c>
      <c r="B3849" s="5" t="s">
        <v>10916</v>
      </c>
      <c r="C3849" s="5" t="s">
        <v>10917</v>
      </c>
      <c r="D3849" s="5" t="s">
        <v>124</v>
      </c>
      <c r="E3849" s="5" t="s">
        <v>42</v>
      </c>
      <c r="F3849" s="5" t="s">
        <v>4550</v>
      </c>
    </row>
    <row r="3850" ht="12.75" customHeight="1">
      <c r="A3850" s="5" t="s">
        <v>10918</v>
      </c>
      <c r="B3850" s="5" t="s">
        <v>10919</v>
      </c>
      <c r="C3850" s="5" t="s">
        <v>10920</v>
      </c>
      <c r="D3850" s="5" t="s">
        <v>34</v>
      </c>
      <c r="E3850" s="5" t="s">
        <v>42</v>
      </c>
      <c r="F3850" s="5" t="s">
        <v>228</v>
      </c>
      <c r="H3850" s="5" t="s">
        <v>2120</v>
      </c>
    </row>
    <row r="3851" ht="12.75" customHeight="1">
      <c r="A3851" s="5" t="s">
        <v>10921</v>
      </c>
      <c r="B3851" s="5" t="s">
        <v>10922</v>
      </c>
      <c r="C3851" s="5" t="s">
        <v>10920</v>
      </c>
      <c r="D3851" s="5" t="s">
        <v>34</v>
      </c>
      <c r="E3851" s="5" t="s">
        <v>42</v>
      </c>
      <c r="F3851" s="5" t="s">
        <v>672</v>
      </c>
      <c r="H3851" s="5" t="s">
        <v>2120</v>
      </c>
    </row>
    <row r="3852" ht="12.75" customHeight="1">
      <c r="A3852" s="5" t="s">
        <v>10923</v>
      </c>
      <c r="B3852" s="5" t="s">
        <v>10924</v>
      </c>
      <c r="C3852" s="5" t="s">
        <v>10920</v>
      </c>
      <c r="D3852" s="5" t="s">
        <v>34</v>
      </c>
      <c r="E3852" s="5" t="s">
        <v>42</v>
      </c>
      <c r="F3852" s="5" t="s">
        <v>199</v>
      </c>
      <c r="H3852" s="5" t="s">
        <v>2120</v>
      </c>
    </row>
    <row r="3853" ht="12.75" customHeight="1">
      <c r="A3853" s="5" t="s">
        <v>10925</v>
      </c>
      <c r="B3853" s="5" t="s">
        <v>10926</v>
      </c>
      <c r="D3853" s="5" t="s">
        <v>122</v>
      </c>
      <c r="E3853" s="5" t="s">
        <v>42</v>
      </c>
      <c r="F3853" s="5" t="s">
        <v>228</v>
      </c>
      <c r="G3853" s="10" t="s">
        <v>72</v>
      </c>
      <c r="H3853" s="5" t="s">
        <v>2197</v>
      </c>
    </row>
    <row r="3854" ht="12.75" customHeight="1">
      <c r="A3854" s="5" t="s">
        <v>10927</v>
      </c>
      <c r="B3854" s="5" t="s">
        <v>10928</v>
      </c>
      <c r="C3854" s="5" t="s">
        <v>4883</v>
      </c>
      <c r="D3854" s="5" t="s">
        <v>34</v>
      </c>
      <c r="E3854" s="5" t="s">
        <v>42</v>
      </c>
      <c r="F3854" s="5" t="s">
        <v>720</v>
      </c>
      <c r="G3854" s="10" t="s">
        <v>72</v>
      </c>
      <c r="H3854" s="5" t="s">
        <v>10929</v>
      </c>
    </row>
    <row r="3855" ht="12.75" customHeight="1">
      <c r="A3855" s="5" t="s">
        <v>10930</v>
      </c>
      <c r="B3855" s="5" t="s">
        <v>10931</v>
      </c>
      <c r="C3855" s="5" t="s">
        <v>10932</v>
      </c>
      <c r="D3855" s="5" t="s">
        <v>50</v>
      </c>
      <c r="E3855" s="5" t="s">
        <v>35</v>
      </c>
      <c r="F3855" s="5" t="s">
        <v>189</v>
      </c>
    </row>
    <row r="3856" ht="12.75" customHeight="1">
      <c r="A3856" s="5" t="s">
        <v>10933</v>
      </c>
      <c r="B3856" s="5" t="s">
        <v>10934</v>
      </c>
      <c r="C3856" s="5" t="s">
        <v>10932</v>
      </c>
      <c r="D3856" s="5" t="s">
        <v>50</v>
      </c>
      <c r="E3856" s="5" t="s">
        <v>42</v>
      </c>
      <c r="F3856" s="5" t="s">
        <v>756</v>
      </c>
    </row>
    <row r="3857" ht="12.75" customHeight="1">
      <c r="A3857" s="5" t="s">
        <v>10935</v>
      </c>
      <c r="B3857" s="5" t="s">
        <v>10936</v>
      </c>
      <c r="C3857" s="5" t="s">
        <v>9272</v>
      </c>
      <c r="D3857" s="5" t="s">
        <v>50</v>
      </c>
      <c r="E3857" s="5" t="s">
        <v>42</v>
      </c>
      <c r="F3857" s="5" t="s">
        <v>228</v>
      </c>
      <c r="J3857" s="10" t="s">
        <v>72</v>
      </c>
    </row>
    <row r="3858" ht="12.75" customHeight="1">
      <c r="A3858" s="5" t="s">
        <v>10937</v>
      </c>
      <c r="B3858" s="5" t="s">
        <v>10938</v>
      </c>
      <c r="C3858" s="5" t="s">
        <v>9272</v>
      </c>
      <c r="D3858" s="5" t="s">
        <v>34</v>
      </c>
      <c r="E3858" s="5" t="s">
        <v>42</v>
      </c>
      <c r="F3858" s="5" t="s">
        <v>599</v>
      </c>
      <c r="J3858" s="10" t="s">
        <v>72</v>
      </c>
    </row>
    <row r="3859" ht="12.75" customHeight="1">
      <c r="A3859" s="5" t="s">
        <v>10939</v>
      </c>
      <c r="B3859" s="5" t="s">
        <v>10940</v>
      </c>
      <c r="C3859" s="5" t="s">
        <v>9272</v>
      </c>
      <c r="D3859" s="5" t="s">
        <v>80</v>
      </c>
      <c r="E3859" s="5" t="s">
        <v>42</v>
      </c>
      <c r="F3859" s="5" t="s">
        <v>2218</v>
      </c>
      <c r="J3859" s="10" t="s">
        <v>72</v>
      </c>
    </row>
    <row r="3860" ht="12.75" customHeight="1">
      <c r="A3860" s="5" t="s">
        <v>10941</v>
      </c>
      <c r="B3860" s="5" t="s">
        <v>10942</v>
      </c>
      <c r="C3860" s="5" t="s">
        <v>10943</v>
      </c>
      <c r="D3860" s="5" t="s">
        <v>34</v>
      </c>
      <c r="E3860" s="5" t="s">
        <v>42</v>
      </c>
      <c r="F3860" s="5" t="s">
        <v>445</v>
      </c>
      <c r="G3860" s="10" t="s">
        <v>72</v>
      </c>
    </row>
    <row r="3861" ht="12.75" customHeight="1">
      <c r="A3861" s="5" t="s">
        <v>10944</v>
      </c>
      <c r="B3861" s="10" t="s">
        <v>10945</v>
      </c>
      <c r="D3861" s="5" t="s">
        <v>12</v>
      </c>
      <c r="E3861" s="5" t="s">
        <v>42</v>
      </c>
      <c r="F3861" s="5" t="s">
        <v>454</v>
      </c>
      <c r="G3861" s="10" t="s">
        <v>72</v>
      </c>
      <c r="H3861" s="5" t="s">
        <v>10946</v>
      </c>
      <c r="J3861" s="10" t="s">
        <v>72</v>
      </c>
    </row>
    <row r="3862" ht="12.75" customHeight="1">
      <c r="A3862" s="5" t="s">
        <v>10947</v>
      </c>
      <c r="B3862" s="10" t="s">
        <v>10948</v>
      </c>
      <c r="D3862" s="5" t="s">
        <v>30</v>
      </c>
      <c r="E3862" s="5" t="s">
        <v>35</v>
      </c>
      <c r="F3862" s="5" t="s">
        <v>96</v>
      </c>
      <c r="G3862" s="10" t="s">
        <v>72</v>
      </c>
      <c r="H3862" s="5" t="s">
        <v>10946</v>
      </c>
      <c r="J3862" s="10" t="s">
        <v>72</v>
      </c>
    </row>
    <row r="3863" ht="12.75" customHeight="1">
      <c r="A3863" s="5" t="s">
        <v>10949</v>
      </c>
      <c r="B3863" s="10" t="s">
        <v>10950</v>
      </c>
      <c r="D3863" s="5" t="s">
        <v>30</v>
      </c>
      <c r="E3863" s="5" t="s">
        <v>42</v>
      </c>
      <c r="F3863" s="5" t="s">
        <v>157</v>
      </c>
      <c r="G3863" s="10" t="s">
        <v>72</v>
      </c>
      <c r="H3863" s="5" t="s">
        <v>10946</v>
      </c>
      <c r="J3863" s="10" t="s">
        <v>72</v>
      </c>
    </row>
    <row r="3864" ht="12.75" customHeight="1">
      <c r="A3864" s="5" t="s">
        <v>10951</v>
      </c>
      <c r="B3864" s="10" t="s">
        <v>10952</v>
      </c>
      <c r="D3864" s="5" t="s">
        <v>55</v>
      </c>
      <c r="E3864" s="5" t="s">
        <v>42</v>
      </c>
      <c r="F3864" s="5" t="s">
        <v>1228</v>
      </c>
      <c r="G3864" s="10" t="s">
        <v>72</v>
      </c>
      <c r="H3864" s="5" t="s">
        <v>10946</v>
      </c>
      <c r="J3864" s="10" t="s">
        <v>72</v>
      </c>
    </row>
    <row r="3865" ht="12.75" customHeight="1">
      <c r="A3865" s="5" t="s">
        <v>10946</v>
      </c>
      <c r="B3865" s="10" t="s">
        <v>10953</v>
      </c>
      <c r="C3865" s="5" t="s">
        <v>4883</v>
      </c>
      <c r="D3865" s="5" t="s">
        <v>34</v>
      </c>
      <c r="E3865" s="5" t="s">
        <v>42</v>
      </c>
      <c r="F3865" s="5" t="s">
        <v>599</v>
      </c>
      <c r="G3865" s="10" t="s">
        <v>72</v>
      </c>
      <c r="J3865" s="10" t="s">
        <v>72</v>
      </c>
      <c r="K3865" s="5" t="s">
        <v>10954</v>
      </c>
    </row>
    <row r="3866" ht="12.75" customHeight="1">
      <c r="A3866" s="5" t="s">
        <v>10955</v>
      </c>
      <c r="B3866" s="5" t="s">
        <v>10956</v>
      </c>
      <c r="D3866" s="5" t="s">
        <v>34</v>
      </c>
      <c r="E3866" s="5" t="s">
        <v>42</v>
      </c>
      <c r="F3866" s="5" t="s">
        <v>599</v>
      </c>
      <c r="G3866" s="10" t="s">
        <v>72</v>
      </c>
      <c r="H3866" s="5" t="s">
        <v>10957</v>
      </c>
    </row>
    <row r="3867" ht="12.75" customHeight="1">
      <c r="A3867" s="5" t="s">
        <v>10958</v>
      </c>
      <c r="B3867" s="5" t="s">
        <v>10959</v>
      </c>
      <c r="C3867" s="5" t="s">
        <v>10960</v>
      </c>
      <c r="D3867" s="5" t="s">
        <v>34</v>
      </c>
      <c r="E3867" s="5" t="s">
        <v>35</v>
      </c>
      <c r="F3867" s="5" t="s">
        <v>1776</v>
      </c>
    </row>
    <row r="3868" ht="12.75" customHeight="1">
      <c r="A3868" s="5" t="s">
        <v>10961</v>
      </c>
      <c r="B3868" s="5" t="s">
        <v>10962</v>
      </c>
      <c r="C3868" s="5" t="s">
        <v>10963</v>
      </c>
      <c r="D3868" s="5" t="s">
        <v>34</v>
      </c>
      <c r="E3868" s="5" t="s">
        <v>42</v>
      </c>
      <c r="F3868" s="5" t="s">
        <v>54</v>
      </c>
    </row>
    <row r="3869" ht="12.75" customHeight="1">
      <c r="A3869" s="5" t="s">
        <v>10964</v>
      </c>
      <c r="B3869" s="5" t="s">
        <v>10965</v>
      </c>
      <c r="C3869" s="5" t="s">
        <v>10966</v>
      </c>
      <c r="D3869" s="5" t="s">
        <v>22</v>
      </c>
      <c r="E3869" s="5" t="s">
        <v>42</v>
      </c>
      <c r="F3869" s="5" t="s">
        <v>720</v>
      </c>
      <c r="H3869" s="5" t="s">
        <v>7376</v>
      </c>
    </row>
    <row r="3870" ht="12.75" customHeight="1">
      <c r="A3870" s="5" t="s">
        <v>10967</v>
      </c>
      <c r="B3870" s="5" t="s">
        <v>10968</v>
      </c>
      <c r="C3870" s="5" t="s">
        <v>9272</v>
      </c>
      <c r="D3870" s="5" t="s">
        <v>34</v>
      </c>
      <c r="E3870" s="5" t="s">
        <v>42</v>
      </c>
      <c r="F3870" s="5" t="s">
        <v>720</v>
      </c>
    </row>
    <row r="3871" ht="12.75" customHeight="1">
      <c r="A3871" s="5" t="s">
        <v>10969</v>
      </c>
      <c r="B3871" s="5" t="s">
        <v>10970</v>
      </c>
      <c r="C3871" s="5" t="s">
        <v>10969</v>
      </c>
      <c r="D3871" s="5" t="s">
        <v>34</v>
      </c>
      <c r="E3871" s="5" t="s">
        <v>42</v>
      </c>
      <c r="F3871" s="5" t="s">
        <v>238</v>
      </c>
    </row>
    <row r="3872" ht="12.75" customHeight="1">
      <c r="A3872" s="5" t="s">
        <v>10971</v>
      </c>
      <c r="B3872" s="5" t="s">
        <v>10972</v>
      </c>
      <c r="C3872" s="5" t="s">
        <v>10971</v>
      </c>
      <c r="D3872" s="5" t="s">
        <v>22</v>
      </c>
      <c r="E3872" s="5" t="s">
        <v>42</v>
      </c>
      <c r="F3872" s="5" t="s">
        <v>720</v>
      </c>
    </row>
    <row r="3873" ht="12.75" customHeight="1">
      <c r="A3873" s="5" t="s">
        <v>10973</v>
      </c>
      <c r="B3873" s="5" t="s">
        <v>10974</v>
      </c>
      <c r="C3873" s="5" t="s">
        <v>10973</v>
      </c>
      <c r="D3873" s="5" t="s">
        <v>34</v>
      </c>
      <c r="E3873" s="5" t="s">
        <v>42</v>
      </c>
      <c r="F3873" s="5" t="s">
        <v>83</v>
      </c>
    </row>
    <row r="3874" ht="12.75" customHeight="1">
      <c r="A3874" s="5" t="s">
        <v>10975</v>
      </c>
      <c r="B3874" s="5" t="s">
        <v>10976</v>
      </c>
      <c r="C3874" s="5" t="s">
        <v>10977</v>
      </c>
      <c r="D3874" s="5" t="s">
        <v>34</v>
      </c>
      <c r="E3874" s="5" t="s">
        <v>42</v>
      </c>
      <c r="F3874" s="5" t="s">
        <v>599</v>
      </c>
    </row>
    <row r="3875" ht="12.75" customHeight="1">
      <c r="A3875" s="5" t="s">
        <v>10978</v>
      </c>
      <c r="B3875" s="5" t="s">
        <v>10979</v>
      </c>
      <c r="C3875" s="5" t="s">
        <v>10977</v>
      </c>
      <c r="D3875" s="5" t="s">
        <v>30</v>
      </c>
      <c r="E3875" s="5" t="s">
        <v>42</v>
      </c>
      <c r="F3875" s="5" t="s">
        <v>2771</v>
      </c>
    </row>
    <row r="3876" ht="12.75" customHeight="1">
      <c r="A3876" s="5" t="s">
        <v>10980</v>
      </c>
      <c r="B3876" s="5" t="s">
        <v>10981</v>
      </c>
      <c r="C3876" s="5" t="s">
        <v>10977</v>
      </c>
      <c r="D3876" s="5" t="s">
        <v>30</v>
      </c>
      <c r="E3876" s="5" t="s">
        <v>35</v>
      </c>
      <c r="F3876" s="5" t="s">
        <v>2771</v>
      </c>
    </row>
    <row r="3877" ht="12.75" customHeight="1">
      <c r="A3877" s="5" t="s">
        <v>10982</v>
      </c>
      <c r="B3877" s="5" t="s">
        <v>10983</v>
      </c>
      <c r="C3877" s="5" t="s">
        <v>10977</v>
      </c>
      <c r="D3877" s="5" t="s">
        <v>30</v>
      </c>
      <c r="E3877" s="5" t="s">
        <v>35</v>
      </c>
      <c r="F3877" s="5" t="s">
        <v>2771</v>
      </c>
    </row>
    <row r="3878" ht="12.75" customHeight="1">
      <c r="A3878" s="5" t="s">
        <v>10984</v>
      </c>
      <c r="B3878" s="5" t="s">
        <v>10985</v>
      </c>
      <c r="C3878" s="5" t="s">
        <v>10977</v>
      </c>
      <c r="D3878" s="5" t="s">
        <v>34</v>
      </c>
      <c r="E3878" s="5" t="s">
        <v>42</v>
      </c>
      <c r="F3878" s="5" t="s">
        <v>599</v>
      </c>
    </row>
    <row r="3879" ht="12.75" customHeight="1">
      <c r="A3879" s="5" t="s">
        <v>10986</v>
      </c>
      <c r="B3879" s="5" t="s">
        <v>10987</v>
      </c>
      <c r="C3879" s="5" t="s">
        <v>10977</v>
      </c>
      <c r="D3879" s="5" t="s">
        <v>34</v>
      </c>
      <c r="E3879" s="5" t="s">
        <v>42</v>
      </c>
      <c r="F3879" s="5" t="s">
        <v>599</v>
      </c>
    </row>
    <row r="3880" ht="12.75" customHeight="1">
      <c r="A3880" s="5" t="s">
        <v>10988</v>
      </c>
      <c r="B3880" s="5" t="s">
        <v>10989</v>
      </c>
      <c r="C3880" s="5" t="s">
        <v>10977</v>
      </c>
      <c r="D3880" s="5" t="s">
        <v>34</v>
      </c>
      <c r="E3880" s="5" t="s">
        <v>35</v>
      </c>
      <c r="F3880" s="5" t="s">
        <v>599</v>
      </c>
    </row>
    <row r="3881" ht="12.75" customHeight="1">
      <c r="A3881" s="5" t="s">
        <v>10990</v>
      </c>
      <c r="B3881" s="5" t="s">
        <v>10991</v>
      </c>
      <c r="C3881" s="5" t="s">
        <v>10977</v>
      </c>
      <c r="D3881" s="5" t="s">
        <v>34</v>
      </c>
      <c r="E3881" s="5" t="s">
        <v>35</v>
      </c>
      <c r="F3881" s="5" t="s">
        <v>599</v>
      </c>
    </row>
    <row r="3882" ht="12.75" customHeight="1">
      <c r="A3882" s="5" t="s">
        <v>10992</v>
      </c>
      <c r="B3882" s="5" t="s">
        <v>10993</v>
      </c>
      <c r="C3882" s="5" t="s">
        <v>10977</v>
      </c>
      <c r="D3882" s="5" t="s">
        <v>34</v>
      </c>
      <c r="E3882" s="5" t="s">
        <v>35</v>
      </c>
      <c r="F3882" s="5" t="s">
        <v>599</v>
      </c>
    </row>
    <row r="3883" ht="12.75" customHeight="1">
      <c r="A3883" s="5" t="s">
        <v>10994</v>
      </c>
      <c r="B3883" s="10" t="s">
        <v>10995</v>
      </c>
      <c r="C3883" s="5" t="s">
        <v>10977</v>
      </c>
      <c r="D3883" s="5" t="s">
        <v>50</v>
      </c>
      <c r="E3883" s="5" t="s">
        <v>42</v>
      </c>
      <c r="F3883" s="5" t="s">
        <v>720</v>
      </c>
    </row>
    <row r="3884" ht="12.75" customHeight="1">
      <c r="A3884" s="5" t="s">
        <v>10996</v>
      </c>
      <c r="B3884" s="5" t="s">
        <v>10997</v>
      </c>
      <c r="C3884" s="5" t="s">
        <v>10977</v>
      </c>
      <c r="D3884" s="5" t="s">
        <v>12</v>
      </c>
      <c r="E3884" s="5" t="s">
        <v>42</v>
      </c>
      <c r="F3884" s="5" t="s">
        <v>454</v>
      </c>
    </row>
    <row r="3885" ht="12.75" customHeight="1">
      <c r="A3885" s="5" t="s">
        <v>10998</v>
      </c>
      <c r="B3885" s="5" t="s">
        <v>10999</v>
      </c>
      <c r="C3885" s="5" t="s">
        <v>10977</v>
      </c>
      <c r="D3885" s="5" t="s">
        <v>12</v>
      </c>
      <c r="E3885" s="5" t="s">
        <v>42</v>
      </c>
      <c r="F3885" s="5" t="s">
        <v>454</v>
      </c>
    </row>
    <row r="3886" ht="12.75" customHeight="1">
      <c r="A3886" s="5" t="s">
        <v>10929</v>
      </c>
      <c r="B3886" s="5" t="s">
        <v>11000</v>
      </c>
      <c r="C3886" s="5" t="s">
        <v>4883</v>
      </c>
      <c r="D3886" s="5" t="s">
        <v>34</v>
      </c>
      <c r="E3886" s="5" t="s">
        <v>42</v>
      </c>
      <c r="F3886" s="5" t="s">
        <v>113</v>
      </c>
      <c r="G3886" s="10" t="s">
        <v>72</v>
      </c>
      <c r="H3886" s="5" t="s">
        <v>1153</v>
      </c>
      <c r="K3886" s="5" t="s">
        <v>10927</v>
      </c>
    </row>
    <row r="3887" ht="12.75" customHeight="1">
      <c r="A3887" s="5" t="s">
        <v>11001</v>
      </c>
      <c r="B3887" s="5" t="s">
        <v>11002</v>
      </c>
      <c r="C3887" s="5" t="s">
        <v>691</v>
      </c>
      <c r="D3887" s="5" t="s">
        <v>80</v>
      </c>
      <c r="E3887" s="5" t="s">
        <v>35</v>
      </c>
      <c r="F3887" s="5" t="s">
        <v>1875</v>
      </c>
    </row>
    <row r="3888" ht="12.75" customHeight="1">
      <c r="A3888" s="5" t="s">
        <v>11003</v>
      </c>
      <c r="B3888" s="5" t="s">
        <v>11004</v>
      </c>
      <c r="C3888" s="5" t="s">
        <v>691</v>
      </c>
      <c r="D3888" s="5" t="s">
        <v>80</v>
      </c>
      <c r="E3888" s="5" t="s">
        <v>35</v>
      </c>
      <c r="F3888" s="5" t="s">
        <v>96</v>
      </c>
    </row>
    <row r="3889" ht="12.75" customHeight="1">
      <c r="A3889" s="5" t="s">
        <v>11005</v>
      </c>
      <c r="B3889" s="5" t="s">
        <v>11006</v>
      </c>
      <c r="C3889" s="5" t="s">
        <v>691</v>
      </c>
      <c r="D3889" s="5" t="s">
        <v>80</v>
      </c>
      <c r="E3889" s="5" t="s">
        <v>35</v>
      </c>
      <c r="F3889" s="5" t="s">
        <v>1868</v>
      </c>
    </row>
    <row r="3890" ht="12.75" customHeight="1">
      <c r="A3890" s="5" t="s">
        <v>11007</v>
      </c>
      <c r="B3890" s="5" t="s">
        <v>11008</v>
      </c>
      <c r="C3890" s="5" t="s">
        <v>691</v>
      </c>
      <c r="D3890" s="5" t="s">
        <v>80</v>
      </c>
      <c r="E3890" s="5" t="s">
        <v>35</v>
      </c>
      <c r="F3890" s="5" t="s">
        <v>263</v>
      </c>
    </row>
    <row r="3891" ht="12.75" customHeight="1">
      <c r="A3891" s="5" t="s">
        <v>11009</v>
      </c>
      <c r="B3891" s="5" t="s">
        <v>11010</v>
      </c>
      <c r="C3891" s="5" t="s">
        <v>691</v>
      </c>
      <c r="D3891" s="5" t="s">
        <v>80</v>
      </c>
      <c r="E3891" s="5" t="s">
        <v>35</v>
      </c>
      <c r="F3891" s="5" t="s">
        <v>1831</v>
      </c>
    </row>
    <row r="3892" ht="12.75" customHeight="1">
      <c r="A3892" s="5" t="s">
        <v>11011</v>
      </c>
      <c r="B3892" s="5" t="s">
        <v>11012</v>
      </c>
      <c r="C3892" s="5" t="s">
        <v>691</v>
      </c>
      <c r="D3892" s="5" t="s">
        <v>80</v>
      </c>
      <c r="E3892" s="5" t="s">
        <v>35</v>
      </c>
      <c r="F3892" s="5" t="s">
        <v>1868</v>
      </c>
    </row>
    <row r="3893" ht="12.75" customHeight="1">
      <c r="A3893" s="5" t="s">
        <v>11013</v>
      </c>
      <c r="B3893" s="5" t="s">
        <v>11014</v>
      </c>
      <c r="C3893" s="5" t="s">
        <v>691</v>
      </c>
      <c r="D3893" s="5" t="s">
        <v>80</v>
      </c>
      <c r="E3893" s="5" t="s">
        <v>35</v>
      </c>
      <c r="F3893" s="5" t="s">
        <v>2401</v>
      </c>
    </row>
    <row r="3894" ht="12.75" customHeight="1">
      <c r="A3894" s="5" t="s">
        <v>11015</v>
      </c>
      <c r="B3894" s="5" t="s">
        <v>11016</v>
      </c>
      <c r="C3894" s="5" t="s">
        <v>691</v>
      </c>
      <c r="D3894" s="5" t="s">
        <v>80</v>
      </c>
      <c r="E3894" s="5" t="s">
        <v>35</v>
      </c>
      <c r="F3894" s="5" t="s">
        <v>1324</v>
      </c>
    </row>
    <row r="3895" ht="12.75" customHeight="1">
      <c r="A3895" s="5" t="s">
        <v>11017</v>
      </c>
      <c r="B3895" s="5" t="s">
        <v>11018</v>
      </c>
      <c r="C3895" s="5" t="s">
        <v>691</v>
      </c>
      <c r="D3895" s="5" t="s">
        <v>80</v>
      </c>
      <c r="E3895" s="5" t="s">
        <v>35</v>
      </c>
      <c r="F3895" s="5" t="s">
        <v>3067</v>
      </c>
    </row>
    <row r="3896" ht="12.75" customHeight="1">
      <c r="A3896" s="5" t="s">
        <v>11019</v>
      </c>
      <c r="B3896" s="5" t="s">
        <v>11020</v>
      </c>
      <c r="C3896" s="5" t="s">
        <v>691</v>
      </c>
      <c r="D3896" s="5" t="s">
        <v>80</v>
      </c>
      <c r="E3896" s="5" t="s">
        <v>35</v>
      </c>
      <c r="F3896" s="5" t="s">
        <v>924</v>
      </c>
    </row>
    <row r="3897" ht="12.75" customHeight="1">
      <c r="A3897" s="5" t="s">
        <v>11021</v>
      </c>
      <c r="B3897" s="5" t="s">
        <v>11022</v>
      </c>
      <c r="C3897" s="5" t="s">
        <v>691</v>
      </c>
      <c r="D3897" s="5" t="s">
        <v>80</v>
      </c>
      <c r="E3897" s="5" t="s">
        <v>42</v>
      </c>
      <c r="F3897" s="5" t="s">
        <v>2638</v>
      </c>
    </row>
    <row r="3898" ht="12.75" customHeight="1">
      <c r="A3898" s="5" t="s">
        <v>11023</v>
      </c>
      <c r="B3898" s="5" t="s">
        <v>11024</v>
      </c>
      <c r="C3898" s="5" t="s">
        <v>691</v>
      </c>
      <c r="D3898" s="5" t="s">
        <v>80</v>
      </c>
      <c r="E3898" s="5" t="s">
        <v>42</v>
      </c>
      <c r="F3898" s="5" t="s">
        <v>2771</v>
      </c>
    </row>
    <row r="3899" ht="12.75" customHeight="1">
      <c r="A3899" s="5" t="s">
        <v>11025</v>
      </c>
      <c r="B3899" s="5" t="s">
        <v>11026</v>
      </c>
      <c r="C3899" s="5" t="s">
        <v>691</v>
      </c>
      <c r="D3899" s="5" t="s">
        <v>80</v>
      </c>
      <c r="E3899" s="5" t="s">
        <v>42</v>
      </c>
      <c r="F3899" s="5" t="s">
        <v>1911</v>
      </c>
    </row>
    <row r="3900" ht="12.75" customHeight="1">
      <c r="A3900" s="5" t="s">
        <v>11027</v>
      </c>
      <c r="B3900" s="5" t="s">
        <v>11028</v>
      </c>
      <c r="C3900" s="5" t="s">
        <v>691</v>
      </c>
      <c r="D3900" s="5" t="s">
        <v>80</v>
      </c>
      <c r="E3900" s="5" t="s">
        <v>42</v>
      </c>
      <c r="F3900" s="5" t="s">
        <v>2638</v>
      </c>
    </row>
    <row r="3901" ht="12.75" customHeight="1">
      <c r="A3901" s="5" t="s">
        <v>11029</v>
      </c>
      <c r="B3901" s="5" t="s">
        <v>11030</v>
      </c>
      <c r="C3901" s="5" t="s">
        <v>691</v>
      </c>
      <c r="D3901" s="5" t="s">
        <v>80</v>
      </c>
      <c r="E3901" s="5" t="s">
        <v>42</v>
      </c>
      <c r="F3901" s="5" t="s">
        <v>157</v>
      </c>
    </row>
    <row r="3902" ht="12.75" customHeight="1">
      <c r="A3902" s="5" t="s">
        <v>11031</v>
      </c>
      <c r="B3902" s="5" t="s">
        <v>11032</v>
      </c>
      <c r="C3902" s="5" t="s">
        <v>691</v>
      </c>
      <c r="D3902" s="5" t="s">
        <v>80</v>
      </c>
      <c r="E3902" s="5" t="s">
        <v>42</v>
      </c>
      <c r="F3902" s="5" t="s">
        <v>2420</v>
      </c>
    </row>
    <row r="3903" ht="12.75" customHeight="1">
      <c r="A3903" s="5" t="s">
        <v>11033</v>
      </c>
      <c r="B3903" s="5" t="s">
        <v>11034</v>
      </c>
      <c r="C3903" s="5" t="s">
        <v>691</v>
      </c>
      <c r="D3903" s="5" t="s">
        <v>80</v>
      </c>
      <c r="E3903" s="5" t="s">
        <v>42</v>
      </c>
      <c r="F3903" s="5" t="s">
        <v>211</v>
      </c>
    </row>
    <row r="3904" ht="12.75" customHeight="1">
      <c r="A3904" s="5" t="s">
        <v>11035</v>
      </c>
      <c r="B3904" s="5" t="s">
        <v>11036</v>
      </c>
      <c r="C3904" s="5" t="s">
        <v>691</v>
      </c>
      <c r="D3904" s="5" t="s">
        <v>80</v>
      </c>
      <c r="E3904" s="5" t="s">
        <v>42</v>
      </c>
      <c r="F3904" s="5" t="s">
        <v>1223</v>
      </c>
    </row>
    <row r="3905" ht="12.75" customHeight="1">
      <c r="A3905" s="5" t="s">
        <v>11037</v>
      </c>
      <c r="B3905" s="5" t="s">
        <v>11038</v>
      </c>
      <c r="C3905" s="5" t="s">
        <v>691</v>
      </c>
      <c r="D3905" s="5" t="s">
        <v>80</v>
      </c>
      <c r="E3905" s="5" t="s">
        <v>42</v>
      </c>
      <c r="F3905" s="5" t="s">
        <v>2701</v>
      </c>
    </row>
    <row r="3906" ht="12.75" customHeight="1">
      <c r="A3906" s="5" t="s">
        <v>11039</v>
      </c>
      <c r="B3906" s="5" t="s">
        <v>11040</v>
      </c>
      <c r="C3906" s="5" t="s">
        <v>691</v>
      </c>
      <c r="D3906" s="5" t="s">
        <v>80</v>
      </c>
      <c r="E3906" s="5" t="s">
        <v>42</v>
      </c>
      <c r="F3906" s="5" t="s">
        <v>3107</v>
      </c>
    </row>
    <row r="3907" ht="12.75" customHeight="1">
      <c r="A3907" s="5" t="s">
        <v>11041</v>
      </c>
      <c r="B3907" s="10" t="s">
        <v>11042</v>
      </c>
      <c r="C3907" s="5" t="s">
        <v>11041</v>
      </c>
      <c r="D3907" s="5" t="s">
        <v>12</v>
      </c>
      <c r="E3907" s="5" t="s">
        <v>35</v>
      </c>
      <c r="F3907" s="5" t="s">
        <v>292</v>
      </c>
    </row>
    <row r="3908" ht="12.75" customHeight="1">
      <c r="A3908" s="5" t="s">
        <v>11043</v>
      </c>
      <c r="B3908" s="5" t="s">
        <v>11044</v>
      </c>
      <c r="C3908" s="5" t="s">
        <v>11043</v>
      </c>
      <c r="D3908" s="5" t="s">
        <v>38</v>
      </c>
      <c r="E3908" s="5" t="s">
        <v>42</v>
      </c>
      <c r="F3908" s="5" t="s">
        <v>572</v>
      </c>
    </row>
    <row r="3909" ht="12.75" customHeight="1">
      <c r="A3909" s="5" t="s">
        <v>11045</v>
      </c>
      <c r="B3909" s="10" t="s">
        <v>11046</v>
      </c>
      <c r="C3909" s="5" t="s">
        <v>11047</v>
      </c>
      <c r="D3909" s="5" t="s">
        <v>38</v>
      </c>
      <c r="E3909" s="5" t="s">
        <v>42</v>
      </c>
      <c r="F3909" s="5" t="s">
        <v>228</v>
      </c>
    </row>
    <row r="3910" ht="12.75" customHeight="1">
      <c r="A3910" s="5" t="s">
        <v>11048</v>
      </c>
      <c r="B3910" s="5" t="s">
        <v>11049</v>
      </c>
      <c r="C3910" s="5" t="s">
        <v>11048</v>
      </c>
      <c r="D3910" s="5" t="s">
        <v>80</v>
      </c>
      <c r="E3910" s="5" t="s">
        <v>35</v>
      </c>
      <c r="F3910" s="5" t="s">
        <v>1334</v>
      </c>
    </row>
    <row r="3911" ht="12.75" customHeight="1">
      <c r="A3911" s="5" t="s">
        <v>11050</v>
      </c>
      <c r="B3911" s="5" t="s">
        <v>11051</v>
      </c>
      <c r="C3911" s="5" t="s">
        <v>11052</v>
      </c>
      <c r="D3911" s="5" t="s">
        <v>30</v>
      </c>
      <c r="E3911" s="5" t="s">
        <v>42</v>
      </c>
      <c r="F3911" s="5" t="s">
        <v>211</v>
      </c>
      <c r="G3911" s="10" t="s">
        <v>72</v>
      </c>
      <c r="H3911" s="5" t="s">
        <v>11053</v>
      </c>
    </row>
    <row r="3912" ht="12.75" customHeight="1">
      <c r="A3912" s="5" t="s">
        <v>11054</v>
      </c>
      <c r="B3912" s="5" t="s">
        <v>11055</v>
      </c>
      <c r="C3912" s="5" t="s">
        <v>11056</v>
      </c>
      <c r="D3912" s="5" t="s">
        <v>67</v>
      </c>
      <c r="E3912" s="5" t="s">
        <v>42</v>
      </c>
      <c r="F3912" s="5" t="s">
        <v>654</v>
      </c>
      <c r="G3912" s="10" t="s">
        <v>72</v>
      </c>
    </row>
    <row r="3913" ht="12.75" customHeight="1">
      <c r="A3913" s="5" t="s">
        <v>11057</v>
      </c>
      <c r="B3913" s="5" t="s">
        <v>11058</v>
      </c>
      <c r="C3913" s="5" t="s">
        <v>11057</v>
      </c>
      <c r="D3913" s="5" t="s">
        <v>67</v>
      </c>
      <c r="E3913" s="5" t="s">
        <v>35</v>
      </c>
      <c r="F3913" s="5" t="s">
        <v>4145</v>
      </c>
    </row>
    <row r="3914" ht="12.75" customHeight="1">
      <c r="A3914" s="5" t="s">
        <v>11059</v>
      </c>
      <c r="B3914" s="5" t="s">
        <v>11060</v>
      </c>
      <c r="C3914" s="5" t="s">
        <v>11061</v>
      </c>
      <c r="D3914" s="5" t="s">
        <v>34</v>
      </c>
      <c r="E3914" s="5" t="s">
        <v>42</v>
      </c>
      <c r="F3914" s="5" t="s">
        <v>572</v>
      </c>
      <c r="G3914" s="10" t="s">
        <v>72</v>
      </c>
    </row>
    <row r="3915" ht="12.75" customHeight="1">
      <c r="A3915" s="5" t="s">
        <v>11062</v>
      </c>
      <c r="B3915" s="5" t="s">
        <v>11063</v>
      </c>
      <c r="C3915" s="5" t="s">
        <v>11062</v>
      </c>
      <c r="D3915" s="5" t="s">
        <v>34</v>
      </c>
      <c r="E3915" s="5" t="s">
        <v>35</v>
      </c>
      <c r="F3915" s="5" t="s">
        <v>110</v>
      </c>
    </row>
    <row r="3916" ht="12.75" customHeight="1">
      <c r="A3916" s="5" t="s">
        <v>11064</v>
      </c>
      <c r="B3916" s="5" t="s">
        <v>11065</v>
      </c>
      <c r="C3916" s="5" t="s">
        <v>11064</v>
      </c>
      <c r="D3916" s="5" t="s">
        <v>74</v>
      </c>
      <c r="E3916" s="5" t="s">
        <v>35</v>
      </c>
      <c r="F3916" s="5" t="s">
        <v>267</v>
      </c>
    </row>
    <row r="3917" ht="12.75" customHeight="1">
      <c r="A3917" s="5" t="s">
        <v>11066</v>
      </c>
      <c r="B3917" s="5" t="s">
        <v>11067</v>
      </c>
      <c r="C3917" s="5" t="s">
        <v>11066</v>
      </c>
      <c r="D3917" s="5" t="s">
        <v>55</v>
      </c>
      <c r="E3917" s="5" t="s">
        <v>35</v>
      </c>
      <c r="F3917" s="5" t="s">
        <v>1472</v>
      </c>
    </row>
  </sheetData>
  <printOptions/>
  <pageMargins bottom="0.0" footer="0.0" header="0.0" left="0.0" right="0.0" top="0.0"/>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1.25"/>
    <col customWidth="1" min="2" max="2" width="35.13"/>
    <col customWidth="1" min="3" max="3" width="26.88"/>
    <col customWidth="1" min="4" max="4" width="7.0"/>
    <col customWidth="1" min="5" max="5" width="7.63"/>
    <col customWidth="1" min="6" max="6" width="42.38"/>
    <col customWidth="1" min="7" max="7" width="17.63"/>
    <col customWidth="1" min="8" max="8" width="14.38"/>
    <col customWidth="1" min="9" max="9" width="22.25"/>
    <col customWidth="1" min="10" max="10" width="24.75"/>
    <col customWidth="1" min="11" max="11" width="29.75"/>
    <col customWidth="1" min="12" max="12" width="22.25"/>
  </cols>
  <sheetData>
    <row r="1" ht="15.75" customHeight="1">
      <c r="A1" s="14" t="s">
        <v>1011</v>
      </c>
      <c r="B1" s="14" t="s">
        <v>1016</v>
      </c>
      <c r="C1" s="14" t="s">
        <v>1017</v>
      </c>
      <c r="D1" s="14" t="s">
        <v>1020</v>
      </c>
      <c r="E1" s="14" t="s">
        <v>1021</v>
      </c>
      <c r="F1" s="14" t="s">
        <v>1022</v>
      </c>
      <c r="G1" s="14" t="s">
        <v>1023</v>
      </c>
      <c r="H1" s="14" t="s">
        <v>1026</v>
      </c>
      <c r="I1" s="15" t="s">
        <v>1028</v>
      </c>
      <c r="J1" s="15" t="s">
        <v>1032</v>
      </c>
      <c r="K1" s="1" t="s">
        <v>1034</v>
      </c>
      <c r="L1" s="1" t="s">
        <v>1037</v>
      </c>
      <c r="M1" s="9"/>
      <c r="N1" s="1"/>
      <c r="O1" s="14"/>
      <c r="P1" s="14"/>
    </row>
    <row r="2" ht="15.75" customHeight="1">
      <c r="A2" s="16" t="s">
        <v>1043</v>
      </c>
      <c r="B2" s="3" t="s">
        <v>1044</v>
      </c>
      <c r="C2" s="3" t="s">
        <v>1047</v>
      </c>
      <c r="D2" s="3">
        <v>1.0</v>
      </c>
      <c r="E2" s="8">
        <v>1.0</v>
      </c>
      <c r="F2" s="8" t="s">
        <v>1050</v>
      </c>
      <c r="G2" s="16"/>
      <c r="H2" s="16"/>
      <c r="I2" s="3" t="s">
        <v>1051</v>
      </c>
      <c r="J2" s="3" t="s">
        <v>1053</v>
      </c>
      <c r="L2" s="12" t="str">
        <f t="shared" ref="L2:L655" si="1">SUBSTITUTE(SUBSTITUTE(SUBSTITUTE(SUBSTITUTE(SUBSTITUTE(C2," ",""),"'",""),"(",""),")",""),"-","_")&amp;","&amp;D2&amp;","&amp;E2</f>
        <v>Vanilla_AfroLarge,1,1</v>
      </c>
    </row>
    <row r="3" ht="15.75" customHeight="1">
      <c r="A3" s="16" t="s">
        <v>1043</v>
      </c>
      <c r="B3" s="3" t="s">
        <v>435</v>
      </c>
      <c r="C3" s="3" t="s">
        <v>1080</v>
      </c>
      <c r="D3" s="3">
        <v>1.0</v>
      </c>
      <c r="E3" s="8">
        <v>1.0</v>
      </c>
      <c r="F3" s="8" t="s">
        <v>1082</v>
      </c>
      <c r="G3" s="16"/>
      <c r="H3" s="16"/>
      <c r="I3" s="3" t="s">
        <v>1051</v>
      </c>
      <c r="J3" s="3" t="s">
        <v>1053</v>
      </c>
      <c r="L3" s="12" t="str">
        <f t="shared" si="1"/>
        <v>Vanilla_AfroSmall,1,1</v>
      </c>
    </row>
    <row r="4" ht="15.75" customHeight="1">
      <c r="A4" s="16" t="s">
        <v>1043</v>
      </c>
      <c r="B4" s="3" t="s">
        <v>1087</v>
      </c>
      <c r="C4" s="3" t="s">
        <v>1088</v>
      </c>
      <c r="D4" s="3">
        <v>1.0</v>
      </c>
      <c r="E4" s="8">
        <v>1.0</v>
      </c>
      <c r="F4" s="8" t="s">
        <v>1090</v>
      </c>
      <c r="G4" s="16"/>
      <c r="H4" s="16"/>
      <c r="I4" s="3" t="s">
        <v>1092</v>
      </c>
      <c r="J4" s="3" t="s">
        <v>1053</v>
      </c>
      <c r="L4" s="12" t="str">
        <f t="shared" si="1"/>
        <v>Vanilla_Argonian01,1,1</v>
      </c>
    </row>
    <row r="5" ht="15.75" customHeight="1">
      <c r="A5" s="16" t="s">
        <v>1043</v>
      </c>
      <c r="B5" s="3" t="s">
        <v>1099</v>
      </c>
      <c r="C5" s="3" t="s">
        <v>1101</v>
      </c>
      <c r="D5" s="3">
        <v>1.0</v>
      </c>
      <c r="E5" s="8">
        <v>1.0</v>
      </c>
      <c r="F5" s="8" t="s">
        <v>1102</v>
      </c>
      <c r="G5" s="16"/>
      <c r="H5" s="16"/>
      <c r="I5" s="3" t="s">
        <v>1092</v>
      </c>
      <c r="J5" s="3" t="s">
        <v>1053</v>
      </c>
      <c r="L5" s="12" t="str">
        <f t="shared" si="1"/>
        <v>Vanilla_Argonian02,1,1</v>
      </c>
    </row>
    <row r="6" ht="15.75" customHeight="1">
      <c r="A6" s="16" t="s">
        <v>1043</v>
      </c>
      <c r="B6" s="3" t="s">
        <v>1107</v>
      </c>
      <c r="C6" s="3" t="s">
        <v>1108</v>
      </c>
      <c r="D6" s="3">
        <v>1.0</v>
      </c>
      <c r="E6" s="8">
        <v>1.0</v>
      </c>
      <c r="F6" s="8" t="s">
        <v>1111</v>
      </c>
      <c r="G6" s="16"/>
      <c r="H6" s="16"/>
      <c r="I6" s="3" t="s">
        <v>1092</v>
      </c>
      <c r="J6" s="3" t="s">
        <v>1053</v>
      </c>
      <c r="L6" s="12" t="str">
        <f t="shared" si="1"/>
        <v>Vanilla_Argonian03,1,1</v>
      </c>
    </row>
    <row r="7" ht="15.75" customHeight="1">
      <c r="A7" s="16" t="s">
        <v>1043</v>
      </c>
      <c r="B7" s="3" t="s">
        <v>1115</v>
      </c>
      <c r="C7" s="3" t="s">
        <v>1117</v>
      </c>
      <c r="D7" s="3">
        <v>1.0</v>
      </c>
      <c r="E7" s="8">
        <v>1.0</v>
      </c>
      <c r="F7" s="8" t="s">
        <v>1118</v>
      </c>
      <c r="G7" s="16"/>
      <c r="H7" s="16"/>
      <c r="I7" s="3" t="s">
        <v>1092</v>
      </c>
      <c r="J7" s="3" t="s">
        <v>1053</v>
      </c>
      <c r="L7" s="12" t="str">
        <f t="shared" si="1"/>
        <v>Vanilla_Argonian04,1,1</v>
      </c>
    </row>
    <row r="8" ht="15.75" customHeight="1">
      <c r="A8" s="16" t="s">
        <v>1043</v>
      </c>
      <c r="B8" s="3" t="s">
        <v>1124</v>
      </c>
      <c r="C8" s="3" t="s">
        <v>1125</v>
      </c>
      <c r="D8" s="3">
        <v>1.0</v>
      </c>
      <c r="E8" s="8">
        <v>1.0</v>
      </c>
      <c r="F8" s="8" t="s">
        <v>1127</v>
      </c>
      <c r="G8" s="16"/>
      <c r="H8" s="16"/>
      <c r="I8" s="3" t="s">
        <v>1092</v>
      </c>
      <c r="J8" s="3" t="s">
        <v>1053</v>
      </c>
      <c r="L8" s="12" t="str">
        <f t="shared" si="1"/>
        <v>Vanilla_Argonian05,1,1</v>
      </c>
    </row>
    <row r="9" ht="15.75" customHeight="1">
      <c r="A9" s="16" t="s">
        <v>1043</v>
      </c>
      <c r="B9" s="3" t="s">
        <v>1133</v>
      </c>
      <c r="C9" s="3" t="s">
        <v>1134</v>
      </c>
      <c r="D9" s="3">
        <v>1.0</v>
      </c>
      <c r="E9" s="8">
        <v>1.0</v>
      </c>
      <c r="F9" s="8" t="s">
        <v>1137</v>
      </c>
      <c r="G9" s="16"/>
      <c r="H9" s="16"/>
      <c r="I9" s="3" t="s">
        <v>1092</v>
      </c>
      <c r="J9" s="3" t="s">
        <v>1053</v>
      </c>
      <c r="L9" s="12" t="str">
        <f t="shared" si="1"/>
        <v>Vanilla_Argonian06,1,1</v>
      </c>
    </row>
    <row r="10" ht="15.75" customHeight="1">
      <c r="A10" s="16" t="s">
        <v>1043</v>
      </c>
      <c r="B10" s="3" t="s">
        <v>1142</v>
      </c>
      <c r="C10" s="3" t="s">
        <v>1144</v>
      </c>
      <c r="D10" s="3">
        <v>1.0</v>
      </c>
      <c r="E10" s="8">
        <v>1.0</v>
      </c>
      <c r="F10" s="8" t="s">
        <v>1148</v>
      </c>
      <c r="G10" s="16"/>
      <c r="H10" s="16"/>
      <c r="I10" s="3" t="s">
        <v>1092</v>
      </c>
      <c r="J10" s="3" t="s">
        <v>1053</v>
      </c>
      <c r="L10" s="12" t="str">
        <f t="shared" si="1"/>
        <v>Vanilla_Argonian07,1,1</v>
      </c>
    </row>
    <row r="11" ht="15.75" customHeight="1">
      <c r="A11" s="16" t="s">
        <v>1043</v>
      </c>
      <c r="B11" s="3" t="s">
        <v>1154</v>
      </c>
      <c r="C11" s="3" t="s">
        <v>1155</v>
      </c>
      <c r="D11" s="3">
        <v>1.0</v>
      </c>
      <c r="E11" s="8">
        <v>1.0</v>
      </c>
      <c r="F11" s="8" t="s">
        <v>1158</v>
      </c>
      <c r="G11" s="16"/>
      <c r="H11" s="16"/>
      <c r="I11" s="3" t="s">
        <v>1092</v>
      </c>
      <c r="J11" s="3" t="s">
        <v>1053</v>
      </c>
      <c r="L11" s="12" t="str">
        <f t="shared" si="1"/>
        <v>Vanilla_Argonian08,1,1</v>
      </c>
    </row>
    <row r="12" ht="15.75" customHeight="1">
      <c r="A12" s="16" t="s">
        <v>1043</v>
      </c>
      <c r="B12" s="3" t="s">
        <v>1161</v>
      </c>
      <c r="C12" s="3" t="s">
        <v>1162</v>
      </c>
      <c r="D12" s="3">
        <v>1.0</v>
      </c>
      <c r="E12" s="8">
        <v>1.0</v>
      </c>
      <c r="F12" s="8" t="s">
        <v>1164</v>
      </c>
      <c r="G12" s="16"/>
      <c r="H12" s="16"/>
      <c r="I12" s="3" t="s">
        <v>1092</v>
      </c>
      <c r="J12" s="3" t="s">
        <v>1053</v>
      </c>
      <c r="L12" s="12" t="str">
        <f t="shared" si="1"/>
        <v>Vanilla_Argonian09,1,1</v>
      </c>
    </row>
    <row r="13" ht="15.75" customHeight="1">
      <c r="A13" s="16" t="s">
        <v>1043</v>
      </c>
      <c r="B13" s="3" t="s">
        <v>1169</v>
      </c>
      <c r="C13" s="3" t="s">
        <v>1170</v>
      </c>
      <c r="D13" s="3">
        <v>1.0</v>
      </c>
      <c r="E13" s="8">
        <v>1.0</v>
      </c>
      <c r="F13" s="8" t="s">
        <v>1172</v>
      </c>
      <c r="G13" s="16"/>
      <c r="H13" s="16"/>
      <c r="I13" s="3" t="s">
        <v>1092</v>
      </c>
      <c r="J13" s="3" t="s">
        <v>1053</v>
      </c>
      <c r="L13" s="12" t="str">
        <f t="shared" si="1"/>
        <v>Vanilla_Argonian10,1,1</v>
      </c>
    </row>
    <row r="14" ht="15.75" customHeight="1">
      <c r="A14" s="16" t="s">
        <v>1043</v>
      </c>
      <c r="B14" s="3" t="s">
        <v>1178</v>
      </c>
      <c r="C14" s="3" t="s">
        <v>1179</v>
      </c>
      <c r="D14" s="3">
        <v>1.0</v>
      </c>
      <c r="E14" s="8">
        <v>1.0</v>
      </c>
      <c r="F14" s="8" t="s">
        <v>1183</v>
      </c>
      <c r="G14" s="16"/>
      <c r="H14" s="16"/>
      <c r="I14" s="3" t="s">
        <v>1184</v>
      </c>
      <c r="J14" s="3" t="s">
        <v>1053</v>
      </c>
      <c r="L14" s="12" t="str">
        <f t="shared" si="1"/>
        <v>Vanilla_Argonian11,1,1</v>
      </c>
    </row>
    <row r="15" ht="15.75" customHeight="1">
      <c r="A15" s="16" t="s">
        <v>1043</v>
      </c>
      <c r="B15" s="3" t="s">
        <v>1188</v>
      </c>
      <c r="C15" s="3" t="s">
        <v>1190</v>
      </c>
      <c r="D15" s="3">
        <v>1.0</v>
      </c>
      <c r="E15" s="8">
        <v>1.0</v>
      </c>
      <c r="F15" s="8" t="s">
        <v>1193</v>
      </c>
      <c r="G15" s="16"/>
      <c r="H15" s="16"/>
      <c r="I15" s="3" t="s">
        <v>1184</v>
      </c>
      <c r="J15" s="3" t="s">
        <v>1053</v>
      </c>
      <c r="L15" s="12" t="str">
        <f t="shared" si="1"/>
        <v>Vanilla_Argonian12,1,1</v>
      </c>
    </row>
    <row r="16" ht="15.75" customHeight="1">
      <c r="A16" s="16" t="s">
        <v>1043</v>
      </c>
      <c r="B16" s="3" t="s">
        <v>1198</v>
      </c>
      <c r="C16" s="3" t="s">
        <v>1199</v>
      </c>
      <c r="D16" s="3">
        <v>1.0</v>
      </c>
      <c r="E16" s="8">
        <v>1.0</v>
      </c>
      <c r="F16" s="8" t="s">
        <v>1201</v>
      </c>
      <c r="G16" s="16"/>
      <c r="H16" s="16"/>
      <c r="I16" s="3" t="s">
        <v>1184</v>
      </c>
      <c r="J16" s="3" t="s">
        <v>1053</v>
      </c>
      <c r="L16" s="12" t="str">
        <f t="shared" si="1"/>
        <v>Vanilla_Argonian13,1,1</v>
      </c>
    </row>
    <row r="17" ht="15.75" customHeight="1">
      <c r="A17" s="16" t="s">
        <v>1043</v>
      </c>
      <c r="B17" s="3" t="s">
        <v>1207</v>
      </c>
      <c r="C17" s="3" t="s">
        <v>1208</v>
      </c>
      <c r="D17" s="3">
        <v>1.0</v>
      </c>
      <c r="E17" s="8">
        <v>1.0</v>
      </c>
      <c r="F17" s="8" t="s">
        <v>1210</v>
      </c>
      <c r="G17" s="8"/>
      <c r="H17" s="16"/>
      <c r="I17" s="8" t="s">
        <v>1211</v>
      </c>
      <c r="J17" s="3" t="s">
        <v>1053</v>
      </c>
      <c r="L17" s="12" t="str">
        <f t="shared" si="1"/>
        <v>Vanilla_Bald,1,1</v>
      </c>
    </row>
    <row r="18" ht="15.75" customHeight="1">
      <c r="A18" s="16" t="s">
        <v>1043</v>
      </c>
      <c r="B18" s="3" t="s">
        <v>1215</v>
      </c>
      <c r="C18" s="3" t="s">
        <v>1217</v>
      </c>
      <c r="D18" s="3">
        <v>1.0</v>
      </c>
      <c r="E18" s="8">
        <v>1.0</v>
      </c>
      <c r="F18" s="8" t="s">
        <v>1219</v>
      </c>
      <c r="G18" s="16"/>
      <c r="H18" s="16"/>
      <c r="I18" s="3" t="s">
        <v>1222</v>
      </c>
      <c r="J18" s="3" t="s">
        <v>1053</v>
      </c>
      <c r="L18" s="12" t="str">
        <f t="shared" si="1"/>
        <v>Vanilla_BaldingBun,1,1</v>
      </c>
    </row>
    <row r="19" ht="15.75" customHeight="1">
      <c r="A19" s="16" t="s">
        <v>1043</v>
      </c>
      <c r="B19" s="3" t="s">
        <v>1227</v>
      </c>
      <c r="C19" s="3" t="s">
        <v>1230</v>
      </c>
      <c r="D19" s="3">
        <v>1.0</v>
      </c>
      <c r="E19" s="8">
        <v>1.0</v>
      </c>
      <c r="F19" s="8" t="s">
        <v>1233</v>
      </c>
      <c r="G19" s="16"/>
      <c r="H19" s="16"/>
      <c r="I19" s="3" t="s">
        <v>1234</v>
      </c>
      <c r="J19" s="3" t="s">
        <v>1053</v>
      </c>
      <c r="L19" s="12" t="str">
        <f t="shared" si="1"/>
        <v>Vanilla_BaldingLong,1,1</v>
      </c>
    </row>
    <row r="20" ht="15.75" customHeight="1">
      <c r="A20" s="16" t="s">
        <v>1043</v>
      </c>
      <c r="B20" s="3" t="s">
        <v>1240</v>
      </c>
      <c r="C20" s="3" t="s">
        <v>1242</v>
      </c>
      <c r="D20" s="3">
        <v>1.0</v>
      </c>
      <c r="E20" s="8">
        <v>1.0</v>
      </c>
      <c r="F20" s="8" t="s">
        <v>1245</v>
      </c>
      <c r="G20" s="16"/>
      <c r="H20" s="16"/>
      <c r="I20" s="3" t="s">
        <v>1246</v>
      </c>
      <c r="J20" s="3" t="s">
        <v>1053</v>
      </c>
      <c r="L20" s="12" t="str">
        <f t="shared" si="1"/>
        <v>Vanilla_BaldingPonytailLong,1,1</v>
      </c>
    </row>
    <row r="21" ht="15.75" customHeight="1">
      <c r="A21" s="16" t="s">
        <v>1043</v>
      </c>
      <c r="B21" s="3" t="s">
        <v>1251</v>
      </c>
      <c r="C21" s="3" t="s">
        <v>1252</v>
      </c>
      <c r="D21" s="3">
        <v>1.0</v>
      </c>
      <c r="E21" s="8">
        <v>1.0</v>
      </c>
      <c r="F21" s="8" t="s">
        <v>1255</v>
      </c>
      <c r="G21" s="16"/>
      <c r="H21" s="16"/>
      <c r="I21" s="3" t="s">
        <v>1256</v>
      </c>
      <c r="J21" s="3" t="s">
        <v>1053</v>
      </c>
      <c r="L21" s="12" t="str">
        <f t="shared" si="1"/>
        <v>Vanilla_BaldingPonytailMedium,1,1</v>
      </c>
    </row>
    <row r="22" ht="15.75" customHeight="1">
      <c r="A22" s="16" t="s">
        <v>1043</v>
      </c>
      <c r="B22" s="3" t="s">
        <v>1260</v>
      </c>
      <c r="C22" s="3" t="s">
        <v>1261</v>
      </c>
      <c r="D22" s="3">
        <v>1.0</v>
      </c>
      <c r="E22" s="8">
        <v>1.0</v>
      </c>
      <c r="F22" s="8" t="s">
        <v>1263</v>
      </c>
      <c r="G22" s="16"/>
      <c r="H22" s="16"/>
      <c r="I22" s="3" t="s">
        <v>1256</v>
      </c>
      <c r="J22" s="3" t="s">
        <v>1053</v>
      </c>
      <c r="L22" s="12" t="str">
        <f t="shared" si="1"/>
        <v>Vanilla_BaldingPonytailShort,1,1</v>
      </c>
    </row>
    <row r="23" ht="15.75" customHeight="1">
      <c r="A23" s="16" t="s">
        <v>1043</v>
      </c>
      <c r="B23" s="3" t="s">
        <v>238</v>
      </c>
      <c r="C23" s="3" t="s">
        <v>1268</v>
      </c>
      <c r="D23" s="3">
        <v>1.0</v>
      </c>
      <c r="E23" s="8">
        <v>1.0</v>
      </c>
      <c r="F23" s="8" t="s">
        <v>1269</v>
      </c>
      <c r="G23" s="16"/>
      <c r="H23" s="16"/>
      <c r="I23" s="3" t="s">
        <v>1246</v>
      </c>
      <c r="J23" s="3" t="s">
        <v>1053</v>
      </c>
      <c r="L23" s="12" t="str">
        <f t="shared" si="1"/>
        <v>Vanilla_BaldingShort1,1,1</v>
      </c>
    </row>
    <row r="24" ht="15.75" customHeight="1">
      <c r="A24" s="16" t="s">
        <v>1043</v>
      </c>
      <c r="B24" s="3" t="s">
        <v>878</v>
      </c>
      <c r="C24" s="3" t="s">
        <v>1275</v>
      </c>
      <c r="D24" s="3">
        <v>1.0</v>
      </c>
      <c r="E24" s="8">
        <v>1.0</v>
      </c>
      <c r="F24" s="8" t="s">
        <v>1278</v>
      </c>
      <c r="G24" s="16"/>
      <c r="H24" s="16"/>
      <c r="I24" s="3" t="s">
        <v>1246</v>
      </c>
      <c r="J24" s="3" t="s">
        <v>1053</v>
      </c>
      <c r="L24" s="12" t="str">
        <f t="shared" si="1"/>
        <v>Vanilla_BaldingShort2,1,1</v>
      </c>
    </row>
    <row r="25" ht="15.75" customHeight="1">
      <c r="A25" s="16" t="s">
        <v>1043</v>
      </c>
      <c r="B25" s="3" t="s">
        <v>162</v>
      </c>
      <c r="C25" s="3" t="s">
        <v>1282</v>
      </c>
      <c r="D25" s="3">
        <v>1.0</v>
      </c>
      <c r="E25" s="8">
        <v>1.0</v>
      </c>
      <c r="F25" s="8" t="s">
        <v>1284</v>
      </c>
      <c r="G25" s="16"/>
      <c r="H25" s="16"/>
      <c r="I25" s="3" t="s">
        <v>1246</v>
      </c>
      <c r="J25" s="3" t="s">
        <v>1053</v>
      </c>
      <c r="L25" s="12" t="str">
        <f t="shared" si="1"/>
        <v>Vanilla_BaldingShort3,1,1</v>
      </c>
    </row>
    <row r="26" ht="15.75" customHeight="1">
      <c r="A26" s="16" t="s">
        <v>1043</v>
      </c>
      <c r="B26" s="3" t="s">
        <v>83</v>
      </c>
      <c r="C26" s="3" t="s">
        <v>1291</v>
      </c>
      <c r="D26" s="3">
        <v>1.0</v>
      </c>
      <c r="E26" s="8">
        <v>1.0</v>
      </c>
      <c r="F26" s="8" t="s">
        <v>1293</v>
      </c>
      <c r="G26" s="16"/>
      <c r="H26" s="16"/>
      <c r="I26" s="3" t="s">
        <v>1246</v>
      </c>
      <c r="J26" s="3" t="s">
        <v>1053</v>
      </c>
      <c r="L26" s="12" t="str">
        <f t="shared" si="1"/>
        <v>Vanilla_BaldingShort4,1,1</v>
      </c>
    </row>
    <row r="27" ht="15.75" customHeight="1">
      <c r="A27" s="16" t="s">
        <v>1043</v>
      </c>
      <c r="B27" s="3" t="s">
        <v>610</v>
      </c>
      <c r="C27" s="3" t="s">
        <v>1300</v>
      </c>
      <c r="D27" s="3">
        <v>1.0</v>
      </c>
      <c r="E27" s="8">
        <v>1.0</v>
      </c>
      <c r="F27" s="8" t="s">
        <v>1302</v>
      </c>
      <c r="G27" s="16"/>
      <c r="H27" s="16"/>
      <c r="I27" s="3" t="s">
        <v>1246</v>
      </c>
      <c r="J27" s="3" t="s">
        <v>1053</v>
      </c>
      <c r="L27" s="12" t="str">
        <f t="shared" si="1"/>
        <v>Vanilla_BaldingShort5,1,1</v>
      </c>
    </row>
    <row r="28" ht="15.75" customHeight="1">
      <c r="A28" s="16" t="s">
        <v>1043</v>
      </c>
      <c r="B28" s="3" t="s">
        <v>219</v>
      </c>
      <c r="C28" s="3" t="s">
        <v>1307</v>
      </c>
      <c r="D28" s="3">
        <v>1.0</v>
      </c>
      <c r="E28" s="8">
        <v>1.0</v>
      </c>
      <c r="F28" s="8" t="s">
        <v>1309</v>
      </c>
      <c r="G28" s="16"/>
      <c r="H28" s="16"/>
      <c r="I28" s="3" t="s">
        <v>1310</v>
      </c>
      <c r="J28" s="3" t="s">
        <v>1053</v>
      </c>
      <c r="L28" s="12" t="str">
        <f t="shared" si="1"/>
        <v>Vanilla_CornRowMohawk,1,1</v>
      </c>
    </row>
    <row r="29" ht="15.75" customHeight="1">
      <c r="A29" s="16" t="s">
        <v>1043</v>
      </c>
      <c r="B29" s="3" t="s">
        <v>146</v>
      </c>
      <c r="C29" s="3" t="s">
        <v>1318</v>
      </c>
      <c r="D29" s="3">
        <v>1.0</v>
      </c>
      <c r="E29" s="8">
        <v>1.0</v>
      </c>
      <c r="F29" s="8" t="s">
        <v>1320</v>
      </c>
      <c r="G29" s="16"/>
      <c r="H29" s="16"/>
      <c r="I29" s="3" t="s">
        <v>1051</v>
      </c>
      <c r="J29" s="3" t="s">
        <v>1053</v>
      </c>
      <c r="L29" s="12" t="str">
        <f t="shared" si="1"/>
        <v>Vanilla_CornRows,1,1</v>
      </c>
    </row>
    <row r="30" ht="15.75" customHeight="1">
      <c r="A30" s="16" t="s">
        <v>1043</v>
      </c>
      <c r="B30" s="3" t="s">
        <v>1329</v>
      </c>
      <c r="C30" s="3" t="s">
        <v>1331</v>
      </c>
      <c r="D30" s="3">
        <v>1.0</v>
      </c>
      <c r="E30" s="8">
        <v>1.0</v>
      </c>
      <c r="F30" s="8" t="s">
        <v>1333</v>
      </c>
      <c r="G30" s="16"/>
      <c r="H30" s="16"/>
      <c r="I30" s="3" t="s">
        <v>1310</v>
      </c>
      <c r="J30" s="3" t="s">
        <v>1053</v>
      </c>
      <c r="L30" s="12" t="str">
        <f t="shared" si="1"/>
        <v>Vanilla_DreadlockMohawk,1,1</v>
      </c>
    </row>
    <row r="31" ht="15.75" customHeight="1">
      <c r="A31" s="16" t="s">
        <v>1043</v>
      </c>
      <c r="B31" s="3" t="s">
        <v>1338</v>
      </c>
      <c r="C31" s="3" t="s">
        <v>1341</v>
      </c>
      <c r="D31" s="3">
        <v>1.0</v>
      </c>
      <c r="E31" s="8">
        <v>1.0</v>
      </c>
      <c r="F31" s="8" t="s">
        <v>1343</v>
      </c>
      <c r="G31" s="16"/>
      <c r="H31" s="16"/>
      <c r="I31" s="3" t="s">
        <v>1310</v>
      </c>
      <c r="J31" s="3" t="s">
        <v>1053</v>
      </c>
      <c r="L31" s="12" t="str">
        <f t="shared" si="1"/>
        <v>Vanilla_DreadlockPonytail,1,1</v>
      </c>
    </row>
    <row r="32" ht="15.75" customHeight="1">
      <c r="A32" s="16" t="s">
        <v>1043</v>
      </c>
      <c r="B32" s="3" t="s">
        <v>1349</v>
      </c>
      <c r="C32" s="3" t="s">
        <v>1351</v>
      </c>
      <c r="D32" s="3">
        <v>1.0</v>
      </c>
      <c r="E32" s="8">
        <v>1.0</v>
      </c>
      <c r="F32" s="8" t="s">
        <v>1353</v>
      </c>
      <c r="G32" s="16"/>
      <c r="H32" s="16"/>
      <c r="I32" s="3" t="s">
        <v>1354</v>
      </c>
      <c r="J32" s="3" t="s">
        <v>1053</v>
      </c>
      <c r="L32" s="12" t="str">
        <f t="shared" si="1"/>
        <v>Vanilla_FrenchBraids,1,1</v>
      </c>
    </row>
    <row r="33" ht="15.75" customHeight="1">
      <c r="A33" s="16" t="s">
        <v>1043</v>
      </c>
      <c r="B33" s="3" t="s">
        <v>1358</v>
      </c>
      <c r="C33" s="3" t="s">
        <v>1360</v>
      </c>
      <c r="D33" s="3">
        <v>1.0</v>
      </c>
      <c r="E33" s="8">
        <v>1.0</v>
      </c>
      <c r="F33" s="8" t="s">
        <v>1362</v>
      </c>
      <c r="G33" s="16"/>
      <c r="H33" s="16"/>
      <c r="I33" s="3" t="s">
        <v>1354</v>
      </c>
      <c r="J33" s="3" t="s">
        <v>1053</v>
      </c>
      <c r="L33" s="12" t="str">
        <f t="shared" si="1"/>
        <v>Vanilla_FrenchBraidsHigh,1,1</v>
      </c>
    </row>
    <row r="34" ht="15.75" customHeight="1">
      <c r="A34" s="16" t="s">
        <v>1043</v>
      </c>
      <c r="B34" s="3" t="s">
        <v>90</v>
      </c>
      <c r="C34" s="3" t="s">
        <v>1366</v>
      </c>
      <c r="D34" s="3">
        <v>1.0</v>
      </c>
      <c r="E34" s="8">
        <v>1.0</v>
      </c>
      <c r="F34" s="8" t="s">
        <v>1368</v>
      </c>
      <c r="G34" s="16"/>
      <c r="H34" s="16"/>
      <c r="I34" s="3" t="s">
        <v>1370</v>
      </c>
      <c r="J34" s="3" t="s">
        <v>1053</v>
      </c>
      <c r="L34" s="12" t="str">
        <f t="shared" si="1"/>
        <v>Vanilla_FrenchBraidsPonytail,1,1</v>
      </c>
    </row>
    <row r="35" ht="15.75" customHeight="1">
      <c r="A35" s="16" t="s">
        <v>1043</v>
      </c>
      <c r="B35" s="3" t="s">
        <v>1373</v>
      </c>
      <c r="C35" s="3" t="s">
        <v>1375</v>
      </c>
      <c r="D35" s="3">
        <v>1.0</v>
      </c>
      <c r="E35" s="8">
        <v>1.0</v>
      </c>
      <c r="F35" s="8" t="s">
        <v>1377</v>
      </c>
      <c r="G35" s="16"/>
      <c r="H35" s="16"/>
      <c r="I35" s="3" t="s">
        <v>1380</v>
      </c>
      <c r="J35" s="3" t="s">
        <v>1053</v>
      </c>
      <c r="L35" s="12" t="str">
        <f t="shared" si="1"/>
        <v>Vanilla_FrenchBraidsSmall,1,1</v>
      </c>
    </row>
    <row r="36" ht="15.75" customHeight="1">
      <c r="A36" s="16" t="s">
        <v>1043</v>
      </c>
      <c r="B36" s="3" t="s">
        <v>713</v>
      </c>
      <c r="C36" s="3" t="s">
        <v>1384</v>
      </c>
      <c r="D36" s="3">
        <v>1.0</v>
      </c>
      <c r="E36" s="8">
        <v>1.0</v>
      </c>
      <c r="F36" s="8" t="s">
        <v>1385</v>
      </c>
      <c r="G36" s="16"/>
      <c r="H36" s="16"/>
      <c r="I36" s="3" t="s">
        <v>1387</v>
      </c>
      <c r="J36" s="3" t="s">
        <v>1053</v>
      </c>
      <c r="L36" s="12" t="str">
        <f t="shared" si="1"/>
        <v>Vanilla_LooseBobSidePart,1,1</v>
      </c>
    </row>
    <row r="37" ht="15.75" customHeight="1">
      <c r="A37" s="16" t="s">
        <v>1043</v>
      </c>
      <c r="B37" s="3" t="s">
        <v>1391</v>
      </c>
      <c r="C37" s="3" t="s">
        <v>1392</v>
      </c>
      <c r="D37" s="3">
        <v>1.0</v>
      </c>
      <c r="E37" s="8">
        <v>1.0</v>
      </c>
      <c r="F37" s="8" t="s">
        <v>1394</v>
      </c>
      <c r="G37" s="16"/>
      <c r="H37" s="16"/>
      <c r="I37" s="3" t="s">
        <v>1051</v>
      </c>
      <c r="J37" s="3" t="s">
        <v>1053</v>
      </c>
      <c r="L37" s="12" t="str">
        <f t="shared" si="1"/>
        <v>Vanilla_LooseBun,1,1</v>
      </c>
    </row>
    <row r="38" ht="15.75" customHeight="1">
      <c r="A38" s="16" t="s">
        <v>1043</v>
      </c>
      <c r="B38" s="3" t="s">
        <v>1228</v>
      </c>
      <c r="C38" s="3" t="s">
        <v>1396</v>
      </c>
      <c r="D38" s="3">
        <v>1.0</v>
      </c>
      <c r="E38" s="8">
        <v>1.0</v>
      </c>
      <c r="F38" s="8" t="s">
        <v>1397</v>
      </c>
      <c r="G38" s="16"/>
      <c r="H38" s="16"/>
      <c r="I38" s="3" t="s">
        <v>1400</v>
      </c>
      <c r="J38" s="3" t="s">
        <v>1053</v>
      </c>
      <c r="L38" s="12" t="str">
        <f t="shared" si="1"/>
        <v>Vanilla_MohawkBraidPonytails,1,1</v>
      </c>
    </row>
    <row r="39" ht="15.75" customHeight="1">
      <c r="A39" s="16" t="s">
        <v>1043</v>
      </c>
      <c r="B39" s="3" t="s">
        <v>1403</v>
      </c>
      <c r="C39" s="3" t="s">
        <v>1405</v>
      </c>
      <c r="D39" s="3">
        <v>1.0</v>
      </c>
      <c r="E39" s="8">
        <v>1.0</v>
      </c>
      <c r="F39" s="8" t="s">
        <v>1407</v>
      </c>
      <c r="G39" s="16"/>
      <c r="H39" s="16"/>
      <c r="I39" s="3" t="s">
        <v>1380</v>
      </c>
      <c r="J39" s="3" t="s">
        <v>1053</v>
      </c>
      <c r="L39" s="12" t="str">
        <f t="shared" si="1"/>
        <v>Vanilla_MohawkFrenchBraids,1,1</v>
      </c>
    </row>
    <row r="40" ht="15.75" customHeight="1">
      <c r="A40" s="16" t="s">
        <v>1043</v>
      </c>
      <c r="B40" s="3" t="s">
        <v>1411</v>
      </c>
      <c r="C40" s="3" t="s">
        <v>1412</v>
      </c>
      <c r="D40" s="3">
        <v>1.0</v>
      </c>
      <c r="E40" s="8">
        <v>1.0</v>
      </c>
      <c r="F40" s="8" t="s">
        <v>1414</v>
      </c>
      <c r="G40" s="16"/>
      <c r="H40" s="16"/>
      <c r="I40" s="3" t="s">
        <v>1310</v>
      </c>
      <c r="J40" s="3" t="s">
        <v>1053</v>
      </c>
      <c r="L40" s="12" t="str">
        <f t="shared" si="1"/>
        <v>Vanilla_MohawkLong,1,1</v>
      </c>
    </row>
    <row r="41" ht="15.75" customHeight="1">
      <c r="A41" s="16" t="s">
        <v>1043</v>
      </c>
      <c r="B41" s="3" t="s">
        <v>1417</v>
      </c>
      <c r="C41" s="3" t="s">
        <v>1418</v>
      </c>
      <c r="D41" s="3">
        <v>1.0</v>
      </c>
      <c r="E41" s="8">
        <v>1.0</v>
      </c>
      <c r="F41" s="8" t="s">
        <v>1420</v>
      </c>
      <c r="G41" s="16"/>
      <c r="H41" s="16"/>
      <c r="I41" s="3" t="s">
        <v>1310</v>
      </c>
      <c r="J41" s="3" t="s">
        <v>1053</v>
      </c>
      <c r="L41" s="12" t="str">
        <f t="shared" si="1"/>
        <v>Vanilla_MohawkMessyLongBraid,1,1</v>
      </c>
    </row>
    <row r="42" ht="15.75" customHeight="1">
      <c r="A42" s="16" t="s">
        <v>1043</v>
      </c>
      <c r="B42" s="3" t="s">
        <v>1424</v>
      </c>
      <c r="C42" s="3" t="s">
        <v>1425</v>
      </c>
      <c r="D42" s="3">
        <v>1.0</v>
      </c>
      <c r="E42" s="8">
        <v>1.0</v>
      </c>
      <c r="F42" s="8" t="s">
        <v>1427</v>
      </c>
      <c r="G42" s="16"/>
      <c r="H42" s="16"/>
      <c r="I42" s="3" t="s">
        <v>1310</v>
      </c>
      <c r="J42" s="3" t="s">
        <v>1053</v>
      </c>
      <c r="L42" s="12" t="str">
        <f t="shared" si="1"/>
        <v>Vanilla_MohawkMessyRingedBraids,1,1</v>
      </c>
    </row>
    <row r="43" ht="15.75" customHeight="1">
      <c r="A43" s="16" t="s">
        <v>1043</v>
      </c>
      <c r="B43" s="3" t="s">
        <v>1437</v>
      </c>
      <c r="C43" s="3" t="s">
        <v>1438</v>
      </c>
      <c r="D43" s="3">
        <v>1.0</v>
      </c>
      <c r="E43" s="8">
        <v>1.0</v>
      </c>
      <c r="F43" s="8" t="s">
        <v>1439</v>
      </c>
      <c r="G43" s="16"/>
      <c r="H43" s="16"/>
      <c r="I43" s="3" t="s">
        <v>1310</v>
      </c>
      <c r="J43" s="3" t="s">
        <v>1053</v>
      </c>
      <c r="L43" s="12" t="str">
        <f t="shared" si="1"/>
        <v>Vanilla_MohawkMessySideBraids,1,1</v>
      </c>
    </row>
    <row r="44" ht="15.75" customHeight="1">
      <c r="A44" s="16" t="s">
        <v>1043</v>
      </c>
      <c r="B44" s="3" t="s">
        <v>1194</v>
      </c>
      <c r="C44" s="3" t="s">
        <v>1446</v>
      </c>
      <c r="D44" s="3">
        <v>1.0</v>
      </c>
      <c r="E44" s="8">
        <v>1.0</v>
      </c>
      <c r="F44" s="8" t="s">
        <v>1448</v>
      </c>
      <c r="G44" s="16"/>
      <c r="H44" s="16"/>
      <c r="I44" s="3" t="s">
        <v>1310</v>
      </c>
      <c r="J44" s="3" t="s">
        <v>1053</v>
      </c>
      <c r="L44" s="12" t="str">
        <f t="shared" si="1"/>
        <v>Vanilla_MohawkMullet,1,1</v>
      </c>
    </row>
    <row r="45" ht="15.75" customHeight="1">
      <c r="A45" s="16" t="s">
        <v>1043</v>
      </c>
      <c r="B45" s="3" t="s">
        <v>1454</v>
      </c>
      <c r="C45" s="3" t="s">
        <v>1455</v>
      </c>
      <c r="D45" s="3">
        <v>1.0</v>
      </c>
      <c r="E45" s="8">
        <v>1.0</v>
      </c>
      <c r="F45" s="8" t="s">
        <v>1457</v>
      </c>
      <c r="G45" s="16"/>
      <c r="H45" s="16"/>
      <c r="I45" s="3" t="s">
        <v>1459</v>
      </c>
      <c r="J45" s="3" t="s">
        <v>1053</v>
      </c>
      <c r="L45" s="12" t="str">
        <f t="shared" si="1"/>
        <v>Vanilla_MohawkMulletSideBraids,1,1</v>
      </c>
    </row>
    <row r="46" ht="15.75" customHeight="1">
      <c r="A46" s="16" t="s">
        <v>1043</v>
      </c>
      <c r="B46" s="3" t="s">
        <v>1461</v>
      </c>
      <c r="C46" s="3" t="s">
        <v>1462</v>
      </c>
      <c r="D46" s="3">
        <v>1.0</v>
      </c>
      <c r="E46" s="8">
        <v>1.0</v>
      </c>
      <c r="F46" s="8" t="s">
        <v>1463</v>
      </c>
      <c r="G46" s="16"/>
      <c r="H46" s="16"/>
      <c r="I46" s="3" t="s">
        <v>1400</v>
      </c>
      <c r="J46" s="3" t="s">
        <v>1053</v>
      </c>
      <c r="L46" s="12" t="str">
        <f t="shared" si="1"/>
        <v>Vanilla_MohawkPonytail,1,1</v>
      </c>
    </row>
    <row r="47" ht="15.75" customHeight="1">
      <c r="A47" s="16" t="s">
        <v>1043</v>
      </c>
      <c r="B47" s="3" t="s">
        <v>1465</v>
      </c>
      <c r="C47" s="3" t="s">
        <v>1466</v>
      </c>
      <c r="D47" s="3">
        <v>1.0</v>
      </c>
      <c r="E47" s="8">
        <v>1.0</v>
      </c>
      <c r="F47" s="8" t="s">
        <v>1468</v>
      </c>
      <c r="G47" s="16"/>
      <c r="H47" s="16"/>
      <c r="I47" s="3" t="s">
        <v>1400</v>
      </c>
      <c r="J47" s="3" t="s">
        <v>1053</v>
      </c>
      <c r="L47" s="12" t="str">
        <f t="shared" si="1"/>
        <v>Vanilla_MohawkPonytails,1,1</v>
      </c>
    </row>
    <row r="48" ht="15.75" customHeight="1">
      <c r="A48" s="16" t="s">
        <v>1043</v>
      </c>
      <c r="B48" s="3" t="s">
        <v>1472</v>
      </c>
      <c r="C48" s="3" t="s">
        <v>1473</v>
      </c>
      <c r="D48" s="3">
        <v>1.0</v>
      </c>
      <c r="E48" s="8">
        <v>1.0</v>
      </c>
      <c r="F48" s="8" t="s">
        <v>1476</v>
      </c>
      <c r="G48" s="16"/>
      <c r="H48" s="16"/>
      <c r="I48" s="3" t="s">
        <v>1310</v>
      </c>
      <c r="J48" s="3" t="s">
        <v>1053</v>
      </c>
      <c r="L48" s="12" t="str">
        <f t="shared" si="1"/>
        <v>Vanilla_MohawkSegmentedPonytail,1,1</v>
      </c>
    </row>
    <row r="49" ht="15.75" customHeight="1">
      <c r="A49" s="16" t="s">
        <v>1043</v>
      </c>
      <c r="B49" s="3" t="s">
        <v>1479</v>
      </c>
      <c r="C49" s="3" t="s">
        <v>1480</v>
      </c>
      <c r="D49" s="3">
        <v>1.0</v>
      </c>
      <c r="E49" s="8">
        <v>1.0</v>
      </c>
      <c r="F49" s="8" t="s">
        <v>1483</v>
      </c>
      <c r="G49" s="16"/>
      <c r="H49" s="16"/>
      <c r="I49" s="3" t="s">
        <v>1310</v>
      </c>
      <c r="J49" s="3" t="s">
        <v>1053</v>
      </c>
      <c r="L49" s="12" t="str">
        <f t="shared" si="1"/>
        <v>Vanilla_MohawkShort,1,1</v>
      </c>
    </row>
    <row r="50" ht="15.75" customHeight="1">
      <c r="A50" s="16" t="s">
        <v>1043</v>
      </c>
      <c r="B50" s="3" t="s">
        <v>71</v>
      </c>
      <c r="C50" s="3" t="s">
        <v>1486</v>
      </c>
      <c r="D50" s="3">
        <v>1.0</v>
      </c>
      <c r="E50" s="8">
        <v>1.0</v>
      </c>
      <c r="F50" s="8" t="s">
        <v>1488</v>
      </c>
      <c r="G50" s="16"/>
      <c r="H50" s="16"/>
      <c r="I50" s="3" t="s">
        <v>1387</v>
      </c>
      <c r="J50" s="3" t="s">
        <v>1053</v>
      </c>
      <c r="L50" s="12" t="str">
        <f t="shared" si="1"/>
        <v>Vanilla_PonytailBangsLong,1,1</v>
      </c>
    </row>
    <row r="51" ht="15.75" customHeight="1">
      <c r="A51" s="16" t="s">
        <v>1043</v>
      </c>
      <c r="B51" s="3" t="s">
        <v>167</v>
      </c>
      <c r="C51" s="3" t="s">
        <v>1491</v>
      </c>
      <c r="D51" s="3">
        <v>1.0</v>
      </c>
      <c r="E51" s="8">
        <v>1.0</v>
      </c>
      <c r="F51" s="8" t="s">
        <v>1494</v>
      </c>
      <c r="G51" s="16"/>
      <c r="H51" s="16"/>
      <c r="I51" s="3" t="s">
        <v>1051</v>
      </c>
      <c r="J51" s="3" t="s">
        <v>1053</v>
      </c>
      <c r="L51" s="12" t="str">
        <f t="shared" si="1"/>
        <v>Vanilla_PonytailBangsShort,1,1</v>
      </c>
    </row>
    <row r="52" ht="15.75" customHeight="1">
      <c r="A52" s="16" t="s">
        <v>1043</v>
      </c>
      <c r="B52" s="3" t="s">
        <v>1499</v>
      </c>
      <c r="C52" s="3" t="s">
        <v>1500</v>
      </c>
      <c r="D52" s="3">
        <v>1.0</v>
      </c>
      <c r="E52" s="8">
        <v>1.0</v>
      </c>
      <c r="F52" s="8" t="s">
        <v>1502</v>
      </c>
      <c r="G52" s="16"/>
      <c r="H52" s="16"/>
      <c r="I52" s="3" t="s">
        <v>1387</v>
      </c>
      <c r="J52" s="3" t="s">
        <v>1053</v>
      </c>
      <c r="L52" s="12" t="str">
        <f t="shared" si="1"/>
        <v>Vanilla_PonytailBraidLooped,1,1</v>
      </c>
    </row>
    <row r="53" ht="15.75" customHeight="1">
      <c r="A53" s="16" t="s">
        <v>1043</v>
      </c>
      <c r="B53" s="3" t="s">
        <v>1507</v>
      </c>
      <c r="C53" s="3" t="s">
        <v>1509</v>
      </c>
      <c r="D53" s="3">
        <v>1.0</v>
      </c>
      <c r="E53" s="8">
        <v>1.0</v>
      </c>
      <c r="F53" s="8" t="s">
        <v>1511</v>
      </c>
      <c r="H53" s="16"/>
      <c r="I53" s="3" t="s">
        <v>1513</v>
      </c>
      <c r="J53" s="3" t="s">
        <v>1053</v>
      </c>
      <c r="L53" s="12" t="str">
        <f t="shared" si="1"/>
        <v>Vanilla_PonytailHalf_up,1,1</v>
      </c>
    </row>
    <row r="54" ht="15.75" customHeight="1">
      <c r="A54" s="16" t="s">
        <v>1043</v>
      </c>
      <c r="B54" s="3" t="s">
        <v>118</v>
      </c>
      <c r="C54" s="3" t="s">
        <v>1518</v>
      </c>
      <c r="D54" s="3">
        <v>1.0</v>
      </c>
      <c r="E54" s="8">
        <v>1.0</v>
      </c>
      <c r="F54" s="8" t="s">
        <v>1520</v>
      </c>
      <c r="G54" s="16"/>
      <c r="H54" s="16"/>
      <c r="I54" s="3" t="s">
        <v>1387</v>
      </c>
      <c r="J54" s="3" t="s">
        <v>1053</v>
      </c>
      <c r="L54" s="12" t="str">
        <f t="shared" si="1"/>
        <v>Vanilla_PonytailHalf_upBangs,1,1</v>
      </c>
    </row>
    <row r="55" ht="15.75" customHeight="1">
      <c r="A55" s="16" t="s">
        <v>1043</v>
      </c>
      <c r="B55" s="3" t="s">
        <v>1524</v>
      </c>
      <c r="C55" s="3" t="s">
        <v>1526</v>
      </c>
      <c r="D55" s="3">
        <v>1.0</v>
      </c>
      <c r="E55" s="8">
        <v>1.0</v>
      </c>
      <c r="F55" s="8" t="s">
        <v>1528</v>
      </c>
      <c r="G55" s="16"/>
      <c r="H55" s="16"/>
      <c r="I55" s="3" t="s">
        <v>1380</v>
      </c>
      <c r="J55" s="3" t="s">
        <v>1053</v>
      </c>
      <c r="L55" s="12" t="str">
        <f t="shared" si="1"/>
        <v>Vanilla_PonytailLow,1,1</v>
      </c>
    </row>
    <row r="56" ht="15.75" customHeight="1">
      <c r="A56" s="16" t="s">
        <v>1043</v>
      </c>
      <c r="B56" s="3" t="s">
        <v>1530</v>
      </c>
      <c r="C56" s="3" t="s">
        <v>1531</v>
      </c>
      <c r="D56" s="3">
        <v>1.0</v>
      </c>
      <c r="E56" s="8">
        <v>1.0</v>
      </c>
      <c r="F56" s="8" t="s">
        <v>1533</v>
      </c>
      <c r="G56" s="16"/>
      <c r="H56" s="16"/>
      <c r="I56" s="3" t="s">
        <v>1380</v>
      </c>
      <c r="J56" s="3" t="s">
        <v>1053</v>
      </c>
      <c r="L56" s="12" t="str">
        <f t="shared" si="1"/>
        <v>Vanilla_PulledBackLongBraid,1,1</v>
      </c>
    </row>
    <row r="57" ht="15.75" customHeight="1">
      <c r="A57" s="16" t="s">
        <v>1043</v>
      </c>
      <c r="B57" s="3" t="s">
        <v>1535</v>
      </c>
      <c r="C57" s="3" t="s">
        <v>1536</v>
      </c>
      <c r="D57" s="3">
        <v>1.0</v>
      </c>
      <c r="E57" s="8">
        <v>1.0</v>
      </c>
      <c r="F57" s="8" t="s">
        <v>1537</v>
      </c>
      <c r="G57" s="16"/>
      <c r="H57" s="16"/>
      <c r="I57" s="3" t="s">
        <v>1387</v>
      </c>
      <c r="J57" s="3" t="s">
        <v>1053</v>
      </c>
      <c r="L57" s="12" t="str">
        <f t="shared" si="1"/>
        <v>Vanilla_RoninPinnedBun,1,1</v>
      </c>
    </row>
    <row r="58" ht="15.75" customHeight="1">
      <c r="A58" s="16" t="s">
        <v>1043</v>
      </c>
      <c r="B58" s="3" t="s">
        <v>1541</v>
      </c>
      <c r="C58" s="3" t="s">
        <v>1543</v>
      </c>
      <c r="D58" s="3">
        <v>1.0</v>
      </c>
      <c r="E58" s="8">
        <v>1.0</v>
      </c>
      <c r="F58" s="8" t="s">
        <v>1545</v>
      </c>
      <c r="G58" s="16"/>
      <c r="H58" s="16"/>
      <c r="I58" s="3" t="s">
        <v>1387</v>
      </c>
      <c r="J58" s="3" t="s">
        <v>1053</v>
      </c>
      <c r="L58" s="12" t="str">
        <f t="shared" si="1"/>
        <v>Vanilla_RoninPinnedBunHalf_up,1,1</v>
      </c>
    </row>
    <row r="59" ht="15.75" customHeight="1">
      <c r="A59" s="16" t="s">
        <v>1043</v>
      </c>
      <c r="B59" s="3" t="s">
        <v>1550</v>
      </c>
      <c r="C59" s="3" t="s">
        <v>1551</v>
      </c>
      <c r="D59" s="3">
        <v>1.0</v>
      </c>
      <c r="E59" s="8">
        <v>1.0</v>
      </c>
      <c r="F59" s="8" t="s">
        <v>1552</v>
      </c>
      <c r="G59" s="16"/>
      <c r="H59" s="16"/>
      <c r="I59" s="3" t="s">
        <v>1051</v>
      </c>
      <c r="J59" s="3" t="s">
        <v>1053</v>
      </c>
      <c r="L59" s="12" t="str">
        <f t="shared" si="1"/>
        <v>Vanilla_RoninPonytailBanded,1,1</v>
      </c>
    </row>
    <row r="60" ht="15.75" customHeight="1">
      <c r="A60" s="16" t="s">
        <v>1043</v>
      </c>
      <c r="B60" s="3" t="s">
        <v>1555</v>
      </c>
      <c r="C60" s="3" t="s">
        <v>1557</v>
      </c>
      <c r="D60" s="3">
        <v>1.0</v>
      </c>
      <c r="E60" s="8">
        <v>1.0</v>
      </c>
      <c r="F60" s="8" t="s">
        <v>1558</v>
      </c>
      <c r="G60" s="16"/>
      <c r="H60" s="16"/>
      <c r="I60" s="3" t="s">
        <v>1051</v>
      </c>
      <c r="J60" s="3" t="s">
        <v>1053</v>
      </c>
      <c r="L60" s="12" t="str">
        <f t="shared" si="1"/>
        <v>Vanilla_RoninPonytailBraid,1,1</v>
      </c>
    </row>
    <row r="61" ht="15.75" customHeight="1">
      <c r="A61" s="16" t="s">
        <v>1043</v>
      </c>
      <c r="B61" s="3" t="s">
        <v>1562</v>
      </c>
      <c r="C61" s="3" t="s">
        <v>1563</v>
      </c>
      <c r="D61" s="3">
        <v>1.0</v>
      </c>
      <c r="E61" s="8">
        <v>1.0</v>
      </c>
      <c r="F61" s="8" t="s">
        <v>1566</v>
      </c>
      <c r="G61" s="16"/>
      <c r="H61" s="16"/>
      <c r="I61" s="3" t="s">
        <v>1051</v>
      </c>
      <c r="J61" s="3" t="s">
        <v>1053</v>
      </c>
      <c r="L61" s="12" t="str">
        <f t="shared" si="1"/>
        <v>Vanilla_RoninPonytailHalf_up,1,1</v>
      </c>
    </row>
    <row r="62" ht="15.75" customHeight="1">
      <c r="A62" s="16" t="s">
        <v>1043</v>
      </c>
      <c r="B62" s="3" t="s">
        <v>1570</v>
      </c>
      <c r="C62" s="3" t="s">
        <v>1572</v>
      </c>
      <c r="D62" s="3">
        <v>1.0</v>
      </c>
      <c r="E62" s="8">
        <v>1.0</v>
      </c>
      <c r="F62" s="8" t="s">
        <v>1574</v>
      </c>
      <c r="G62" s="16"/>
      <c r="H62" s="16"/>
      <c r="I62" s="3" t="s">
        <v>1051</v>
      </c>
      <c r="J62" s="3" t="s">
        <v>1053</v>
      </c>
      <c r="L62" s="12" t="str">
        <f t="shared" si="1"/>
        <v>Vanilla_RoninPonytailLong,1,1</v>
      </c>
    </row>
    <row r="63" ht="15.75" customHeight="1">
      <c r="A63" s="16" t="s">
        <v>1043</v>
      </c>
      <c r="B63" s="3" t="s">
        <v>1577</v>
      </c>
      <c r="C63" s="3" t="s">
        <v>1579</v>
      </c>
      <c r="D63" s="3">
        <v>1.0</v>
      </c>
      <c r="E63" s="8">
        <v>1.0</v>
      </c>
      <c r="F63" s="8" t="s">
        <v>1581</v>
      </c>
      <c r="G63" s="16"/>
      <c r="H63" s="16"/>
      <c r="I63" s="3" t="s">
        <v>1583</v>
      </c>
      <c r="J63" s="3" t="s">
        <v>1053</v>
      </c>
      <c r="L63" s="12" t="str">
        <f t="shared" si="1"/>
        <v>Vanilla_RoninPonytailMedium,1,1</v>
      </c>
    </row>
    <row r="64" ht="15.75" customHeight="1">
      <c r="A64" s="16" t="s">
        <v>1043</v>
      </c>
      <c r="B64" s="3" t="s">
        <v>1587</v>
      </c>
      <c r="C64" s="3" t="s">
        <v>1588</v>
      </c>
      <c r="D64" s="3">
        <v>1.0</v>
      </c>
      <c r="E64" s="8">
        <v>1.0</v>
      </c>
      <c r="F64" s="8" t="s">
        <v>1591</v>
      </c>
      <c r="G64" s="16"/>
      <c r="H64" s="16"/>
      <c r="I64" s="3" t="s">
        <v>1593</v>
      </c>
      <c r="J64" s="3" t="s">
        <v>1053</v>
      </c>
      <c r="L64" s="12" t="str">
        <f t="shared" si="1"/>
        <v>Vanilla_RoninPonytailShort,1,1</v>
      </c>
    </row>
    <row r="65" ht="15.75" customHeight="1">
      <c r="A65" s="16" t="s">
        <v>1043</v>
      </c>
      <c r="B65" s="3" t="s">
        <v>642</v>
      </c>
      <c r="C65" s="3" t="s">
        <v>1597</v>
      </c>
      <c r="D65" s="3">
        <v>1.0</v>
      </c>
      <c r="E65" s="8">
        <v>1.0</v>
      </c>
      <c r="F65" s="8" t="s">
        <v>1599</v>
      </c>
      <c r="G65" s="16"/>
      <c r="H65" s="16"/>
      <c r="I65" s="3" t="s">
        <v>1601</v>
      </c>
      <c r="J65" s="3" t="s">
        <v>1053</v>
      </c>
      <c r="L65" s="12" t="str">
        <f t="shared" si="1"/>
        <v>Vanilla_RoninStackedBuns,1,1</v>
      </c>
    </row>
    <row r="66" ht="15.75" customHeight="1">
      <c r="A66" s="16" t="s">
        <v>1043</v>
      </c>
      <c r="B66" s="3" t="s">
        <v>561</v>
      </c>
      <c r="C66" s="3" t="s">
        <v>1603</v>
      </c>
      <c r="D66" s="3">
        <v>1.0</v>
      </c>
      <c r="E66" s="8">
        <v>1.0</v>
      </c>
      <c r="F66" s="8" t="s">
        <v>1604</v>
      </c>
      <c r="G66" s="16"/>
      <c r="H66" s="16"/>
      <c r="I66" s="3" t="s">
        <v>1310</v>
      </c>
      <c r="J66" s="3" t="s">
        <v>1053</v>
      </c>
      <c r="L66" s="12" t="str">
        <f t="shared" si="1"/>
        <v>Vanilla_RoninStackedBunsHalf_up,1,1</v>
      </c>
    </row>
    <row r="67" ht="15.75" customHeight="1">
      <c r="A67" s="16" t="s">
        <v>1043</v>
      </c>
      <c r="B67" s="3" t="s">
        <v>1607</v>
      </c>
      <c r="C67" s="3" t="s">
        <v>1608</v>
      </c>
      <c r="D67" s="3">
        <v>1.0</v>
      </c>
      <c r="E67" s="8">
        <v>1.0</v>
      </c>
      <c r="F67" s="8" t="s">
        <v>1609</v>
      </c>
      <c r="G67" s="16"/>
      <c r="H67" s="16"/>
      <c r="I67" s="3" t="s">
        <v>1051</v>
      </c>
      <c r="J67" s="3" t="s">
        <v>1053</v>
      </c>
      <c r="L67" s="12" t="str">
        <f t="shared" si="1"/>
        <v>Vanilla_RoninTop_knot,1,1</v>
      </c>
    </row>
    <row r="68" ht="15.75" customHeight="1">
      <c r="A68" s="16" t="s">
        <v>1043</v>
      </c>
      <c r="B68" s="3" t="s">
        <v>1615</v>
      </c>
      <c r="C68" s="3" t="s">
        <v>1616</v>
      </c>
      <c r="D68" s="3">
        <v>1.0</v>
      </c>
      <c r="E68" s="8">
        <v>1.0</v>
      </c>
      <c r="F68" s="8" t="s">
        <v>1617</v>
      </c>
      <c r="G68" s="16"/>
      <c r="H68" s="16"/>
      <c r="I68" s="3" t="s">
        <v>1387</v>
      </c>
      <c r="J68" s="3" t="s">
        <v>1053</v>
      </c>
      <c r="L68" s="12" t="str">
        <f t="shared" si="1"/>
        <v>Vanilla_RoninTop_knotHalf_up,1,1</v>
      </c>
    </row>
    <row r="69" ht="15.75" customHeight="1">
      <c r="A69" s="16" t="s">
        <v>1043</v>
      </c>
      <c r="B69" s="3" t="s">
        <v>784</v>
      </c>
      <c r="C69" s="3" t="s">
        <v>1622</v>
      </c>
      <c r="D69" s="3">
        <v>1.0</v>
      </c>
      <c r="E69" s="8">
        <v>1.0</v>
      </c>
      <c r="F69" s="8" t="s">
        <v>1623</v>
      </c>
      <c r="G69" s="16"/>
      <c r="H69" s="16"/>
      <c r="I69" s="3" t="s">
        <v>1051</v>
      </c>
      <c r="J69" s="3" t="s">
        <v>1053</v>
      </c>
      <c r="L69" s="12" t="str">
        <f t="shared" si="1"/>
        <v>Vanilla_RoninUndercutPonytailBanded,1,1</v>
      </c>
    </row>
    <row r="70" ht="15.75" customHeight="1">
      <c r="A70" s="16" t="s">
        <v>1043</v>
      </c>
      <c r="B70" s="3" t="s">
        <v>1214</v>
      </c>
      <c r="C70" s="3" t="s">
        <v>1627</v>
      </c>
      <c r="D70" s="3">
        <v>1.0</v>
      </c>
      <c r="E70" s="8">
        <v>1.0</v>
      </c>
      <c r="F70" s="8" t="s">
        <v>1628</v>
      </c>
      <c r="G70" s="16"/>
      <c r="H70" s="16"/>
      <c r="I70" s="3" t="s">
        <v>1051</v>
      </c>
      <c r="J70" s="3" t="s">
        <v>1053</v>
      </c>
      <c r="L70" s="12" t="str">
        <f t="shared" si="1"/>
        <v>Vanilla_RoninUndercutPonytailLong,1,1</v>
      </c>
    </row>
    <row r="71" ht="15.75" customHeight="1">
      <c r="A71" s="16" t="s">
        <v>1043</v>
      </c>
      <c r="B71" s="3" t="s">
        <v>1634</v>
      </c>
      <c r="C71" s="3" t="s">
        <v>1635</v>
      </c>
      <c r="D71" s="3">
        <v>1.0</v>
      </c>
      <c r="E71" s="8">
        <v>1.0</v>
      </c>
      <c r="F71" s="8" t="s">
        <v>1637</v>
      </c>
      <c r="G71" s="16"/>
      <c r="H71" s="16"/>
      <c r="I71" s="3" t="s">
        <v>1051</v>
      </c>
      <c r="J71" s="3" t="s">
        <v>1053</v>
      </c>
      <c r="L71" s="12" t="str">
        <f t="shared" si="1"/>
        <v>Vanilla_RoninUndercutPonytailShort,1,1</v>
      </c>
    </row>
    <row r="72" ht="15.75" customHeight="1">
      <c r="A72" s="16" t="s">
        <v>1043</v>
      </c>
      <c r="B72" s="3" t="s">
        <v>1642</v>
      </c>
      <c r="C72" s="3" t="s">
        <v>1643</v>
      </c>
      <c r="D72" s="3">
        <v>1.0</v>
      </c>
      <c r="E72" s="8">
        <v>1.0</v>
      </c>
      <c r="F72" s="8" t="s">
        <v>1646</v>
      </c>
      <c r="G72" s="16"/>
      <c r="H72" s="16"/>
      <c r="I72" s="3" t="s">
        <v>1051</v>
      </c>
      <c r="J72" s="3" t="s">
        <v>1053</v>
      </c>
      <c r="L72" s="12" t="str">
        <f t="shared" si="1"/>
        <v>Vanilla_Shaved1,1,1</v>
      </c>
    </row>
    <row r="73" ht="15.75" customHeight="1">
      <c r="A73" s="16" t="s">
        <v>1043</v>
      </c>
      <c r="B73" s="3" t="s">
        <v>1651</v>
      </c>
      <c r="C73" s="3" t="s">
        <v>1652</v>
      </c>
      <c r="D73" s="3">
        <v>1.0</v>
      </c>
      <c r="E73" s="8">
        <v>1.0</v>
      </c>
      <c r="F73" s="8" t="s">
        <v>1654</v>
      </c>
      <c r="G73" s="16"/>
      <c r="H73" s="16"/>
      <c r="I73" s="3" t="s">
        <v>1656</v>
      </c>
      <c r="J73" s="3" t="s">
        <v>1053</v>
      </c>
      <c r="L73" s="12" t="str">
        <f t="shared" si="1"/>
        <v>Vanilla_Shaved2,1,1</v>
      </c>
    </row>
    <row r="74" ht="15.75" customHeight="1">
      <c r="A74" s="16" t="s">
        <v>1043</v>
      </c>
      <c r="B74" s="3" t="s">
        <v>1659</v>
      </c>
      <c r="C74" s="3" t="s">
        <v>1661</v>
      </c>
      <c r="D74" s="3">
        <v>1.0</v>
      </c>
      <c r="E74" s="8">
        <v>1.0</v>
      </c>
      <c r="F74" s="8" t="s">
        <v>1663</v>
      </c>
      <c r="G74" s="16"/>
      <c r="H74" s="16"/>
      <c r="I74" s="3" t="s">
        <v>1310</v>
      </c>
      <c r="J74" s="3" t="s">
        <v>1053</v>
      </c>
      <c r="L74" s="12" t="str">
        <f t="shared" si="1"/>
        <v>Vanilla_ShavedPonytailBandedLong,1,1</v>
      </c>
    </row>
    <row r="75" ht="15.75" customHeight="1">
      <c r="A75" s="16" t="s">
        <v>1043</v>
      </c>
      <c r="B75" s="3" t="s">
        <v>1666</v>
      </c>
      <c r="C75" s="3" t="s">
        <v>1667</v>
      </c>
      <c r="D75" s="3">
        <v>1.0</v>
      </c>
      <c r="E75" s="8">
        <v>1.0</v>
      </c>
      <c r="F75" s="8" t="s">
        <v>1669</v>
      </c>
      <c r="G75" s="16"/>
      <c r="H75" s="16"/>
      <c r="I75" s="3" t="s">
        <v>1670</v>
      </c>
      <c r="J75" s="3" t="s">
        <v>1053</v>
      </c>
      <c r="L75" s="12" t="str">
        <f t="shared" si="1"/>
        <v>Vanilla_ShavedPonytailBandedShort,1,1</v>
      </c>
    </row>
    <row r="76" ht="15.75" customHeight="1">
      <c r="A76" s="16" t="s">
        <v>1043</v>
      </c>
      <c r="B76" s="3" t="s">
        <v>1672</v>
      </c>
      <c r="C76" s="3" t="s">
        <v>1673</v>
      </c>
      <c r="D76" s="3">
        <v>1.0</v>
      </c>
      <c r="E76" s="8">
        <v>1.0</v>
      </c>
      <c r="F76" s="8" t="s">
        <v>1675</v>
      </c>
      <c r="G76" s="16"/>
      <c r="H76" s="16"/>
      <c r="I76" s="3" t="s">
        <v>1310</v>
      </c>
      <c r="J76" s="3" t="s">
        <v>1053</v>
      </c>
      <c r="L76" s="12" t="str">
        <f t="shared" si="1"/>
        <v>Vanilla_ShavedPonytailBraid,1,1</v>
      </c>
    </row>
    <row r="77" ht="15.75" customHeight="1">
      <c r="A77" s="16" t="s">
        <v>1043</v>
      </c>
      <c r="B77" s="3" t="s">
        <v>1679</v>
      </c>
      <c r="C77" s="3" t="s">
        <v>1681</v>
      </c>
      <c r="D77" s="3">
        <v>1.0</v>
      </c>
      <c r="E77" s="8">
        <v>1.0</v>
      </c>
      <c r="F77" s="8" t="s">
        <v>1683</v>
      </c>
      <c r="G77" s="16"/>
      <c r="H77" s="16"/>
      <c r="I77" s="3" t="s">
        <v>1310</v>
      </c>
      <c r="J77" s="3" t="s">
        <v>1053</v>
      </c>
      <c r="L77" s="12" t="str">
        <f t="shared" si="1"/>
        <v>Vanilla_ShavedPonytailLong,1,1</v>
      </c>
    </row>
    <row r="78" ht="15.75" customHeight="1">
      <c r="A78" s="16" t="s">
        <v>1043</v>
      </c>
      <c r="B78" s="3" t="s">
        <v>1688</v>
      </c>
      <c r="C78" s="3" t="s">
        <v>1689</v>
      </c>
      <c r="D78" s="3">
        <v>1.0</v>
      </c>
      <c r="E78" s="8">
        <v>1.0</v>
      </c>
      <c r="F78" s="8" t="s">
        <v>1690</v>
      </c>
      <c r="G78" s="16"/>
      <c r="H78" s="16"/>
      <c r="I78" s="3" t="s">
        <v>1310</v>
      </c>
      <c r="J78" s="3" t="s">
        <v>1053</v>
      </c>
      <c r="L78" s="12" t="str">
        <f t="shared" si="1"/>
        <v>Vanilla_ShavedPonytailMedium,1,1</v>
      </c>
    </row>
    <row r="79" ht="15.75" customHeight="1">
      <c r="A79" s="16" t="s">
        <v>1043</v>
      </c>
      <c r="B79" s="3" t="s">
        <v>1694</v>
      </c>
      <c r="C79" s="3" t="s">
        <v>1695</v>
      </c>
      <c r="D79" s="3">
        <v>1.0</v>
      </c>
      <c r="E79" s="8">
        <v>1.0</v>
      </c>
      <c r="F79" s="8" t="s">
        <v>1696</v>
      </c>
      <c r="G79" s="16"/>
      <c r="H79" s="16"/>
      <c r="I79" s="3" t="s">
        <v>1310</v>
      </c>
      <c r="J79" s="3" t="s">
        <v>1053</v>
      </c>
      <c r="L79" s="12" t="str">
        <f t="shared" si="1"/>
        <v>Vanilla_ShavedPonytailShort,1,1</v>
      </c>
    </row>
    <row r="80" ht="15.75" customHeight="1">
      <c r="A80" s="16" t="s">
        <v>1043</v>
      </c>
      <c r="B80" s="3" t="s">
        <v>1700</v>
      </c>
      <c r="C80" s="3" t="s">
        <v>1702</v>
      </c>
      <c r="D80" s="3">
        <v>1.0</v>
      </c>
      <c r="E80" s="8">
        <v>1.0</v>
      </c>
      <c r="F80" s="8" t="s">
        <v>1704</v>
      </c>
      <c r="G80" s="16"/>
      <c r="H80" s="16"/>
      <c r="I80" s="3" t="s">
        <v>1670</v>
      </c>
      <c r="J80" s="3" t="s">
        <v>1053</v>
      </c>
      <c r="L80" s="12" t="str">
        <f t="shared" si="1"/>
        <v>Vanilla_ShavedTopPonytailBandedLong,1,1</v>
      </c>
    </row>
    <row r="81" ht="15.75" customHeight="1">
      <c r="A81" s="16" t="s">
        <v>1043</v>
      </c>
      <c r="B81" s="3" t="s">
        <v>624</v>
      </c>
      <c r="C81" s="3" t="s">
        <v>1709</v>
      </c>
      <c r="D81" s="3">
        <v>1.0</v>
      </c>
      <c r="E81" s="8">
        <v>1.0</v>
      </c>
      <c r="F81" s="8" t="s">
        <v>1712</v>
      </c>
      <c r="G81" s="16"/>
      <c r="H81" s="16"/>
      <c r="I81" s="3" t="s">
        <v>1670</v>
      </c>
      <c r="J81" s="3" t="s">
        <v>1053</v>
      </c>
      <c r="L81" s="12" t="str">
        <f t="shared" si="1"/>
        <v>Vanilla_ShavedTopPonytailBandedShort,1,1</v>
      </c>
    </row>
    <row r="82" ht="15.75" customHeight="1">
      <c r="A82" s="16" t="s">
        <v>1043</v>
      </c>
      <c r="B82" s="3" t="s">
        <v>1714</v>
      </c>
      <c r="C82" s="3" t="s">
        <v>1715</v>
      </c>
      <c r="D82" s="3">
        <v>1.0</v>
      </c>
      <c r="E82" s="8">
        <v>1.0</v>
      </c>
      <c r="F82" s="8" t="s">
        <v>1719</v>
      </c>
      <c r="G82" s="16"/>
      <c r="H82" s="16"/>
      <c r="I82" s="3" t="s">
        <v>1513</v>
      </c>
      <c r="J82" s="3" t="s">
        <v>1053</v>
      </c>
      <c r="L82" s="12" t="str">
        <f t="shared" si="1"/>
        <v>Vanilla_ShavedTopPonytailLong,1,1</v>
      </c>
    </row>
    <row r="83" ht="15.75" customHeight="1">
      <c r="A83" s="16" t="s">
        <v>1043</v>
      </c>
      <c r="B83" s="3" t="s">
        <v>1722</v>
      </c>
      <c r="C83" s="3" t="s">
        <v>1723</v>
      </c>
      <c r="D83" s="3">
        <v>1.0</v>
      </c>
      <c r="E83" s="8">
        <v>1.0</v>
      </c>
      <c r="F83" s="8" t="s">
        <v>1724</v>
      </c>
      <c r="G83" s="16"/>
      <c r="H83" s="16"/>
      <c r="I83" s="3" t="s">
        <v>1513</v>
      </c>
      <c r="J83" s="3" t="s">
        <v>1053</v>
      </c>
      <c r="L83" s="12" t="str">
        <f t="shared" si="1"/>
        <v>Vanilla_ShavedTopPonytailMedium,1,1</v>
      </c>
    </row>
    <row r="84" ht="15.75" customHeight="1">
      <c r="A84" s="16" t="s">
        <v>1043</v>
      </c>
      <c r="B84" s="3" t="s">
        <v>1727</v>
      </c>
      <c r="C84" s="3" t="s">
        <v>1728</v>
      </c>
      <c r="D84" s="3">
        <v>1.0</v>
      </c>
      <c r="E84" s="8">
        <v>1.0</v>
      </c>
      <c r="F84" s="8" t="s">
        <v>1729</v>
      </c>
      <c r="G84" s="16"/>
      <c r="H84" s="16"/>
      <c r="I84" s="3" t="s">
        <v>1513</v>
      </c>
      <c r="J84" s="3" t="s">
        <v>1053</v>
      </c>
      <c r="L84" s="12" t="str">
        <f t="shared" si="1"/>
        <v>Vanilla_ShavedTopPonytailShort,1,1</v>
      </c>
    </row>
    <row r="85" ht="15.75" customHeight="1">
      <c r="A85" s="16" t="s">
        <v>1043</v>
      </c>
      <c r="B85" s="3" t="s">
        <v>1733</v>
      </c>
      <c r="C85" s="3" t="s">
        <v>1734</v>
      </c>
      <c r="D85" s="3">
        <v>1.0</v>
      </c>
      <c r="E85" s="8">
        <v>1.0</v>
      </c>
      <c r="F85" s="8" t="s">
        <v>1736</v>
      </c>
      <c r="G85" s="16"/>
      <c r="H85" s="16"/>
      <c r="I85" s="3" t="s">
        <v>1737</v>
      </c>
      <c r="J85" s="3" t="s">
        <v>1053</v>
      </c>
      <c r="L85" s="12" t="str">
        <f t="shared" si="1"/>
        <v>Vanilla_Short,1,1</v>
      </c>
    </row>
    <row r="86" ht="15.75" customHeight="1">
      <c r="A86" s="16" t="s">
        <v>1043</v>
      </c>
      <c r="B86" s="3" t="s">
        <v>54</v>
      </c>
      <c r="C86" s="3" t="s">
        <v>1742</v>
      </c>
      <c r="D86" s="3">
        <v>1.0</v>
      </c>
      <c r="E86" s="8">
        <v>1.0</v>
      </c>
      <c r="F86" s="8" t="s">
        <v>1743</v>
      </c>
      <c r="G86" s="16"/>
      <c r="H86" s="16"/>
      <c r="I86" s="3" t="s">
        <v>1051</v>
      </c>
      <c r="J86" s="3" t="s">
        <v>1053</v>
      </c>
      <c r="L86" s="12" t="str">
        <f t="shared" si="1"/>
        <v>Vanilla_ShortLoose,1,1</v>
      </c>
    </row>
    <row r="87" ht="15.75" customHeight="1">
      <c r="A87" s="16" t="s">
        <v>1043</v>
      </c>
      <c r="B87" s="3" t="s">
        <v>599</v>
      </c>
      <c r="C87" s="3" t="s">
        <v>1747</v>
      </c>
      <c r="D87" s="3">
        <v>1.0</v>
      </c>
      <c r="E87" s="8">
        <v>1.0</v>
      </c>
      <c r="F87" s="8" t="s">
        <v>1749</v>
      </c>
      <c r="G87" s="16"/>
      <c r="H87" s="16"/>
      <c r="I87" s="3" t="s">
        <v>1051</v>
      </c>
      <c r="J87" s="3" t="s">
        <v>1053</v>
      </c>
      <c r="L87" s="12" t="str">
        <f t="shared" si="1"/>
        <v>Vanilla_ShortLooseBraids,1,1</v>
      </c>
    </row>
    <row r="88" ht="15.75" customHeight="1">
      <c r="A88" s="16" t="s">
        <v>1043</v>
      </c>
      <c r="B88" s="3" t="s">
        <v>1753</v>
      </c>
      <c r="C88" s="3" t="s">
        <v>1755</v>
      </c>
      <c r="D88" s="3">
        <v>1.0</v>
      </c>
      <c r="E88" s="8">
        <v>1.0</v>
      </c>
      <c r="F88" s="8" t="s">
        <v>1756</v>
      </c>
      <c r="G88" s="16"/>
      <c r="H88" s="16"/>
      <c r="I88" s="3" t="s">
        <v>1758</v>
      </c>
      <c r="J88" s="3" t="s">
        <v>1053</v>
      </c>
      <c r="L88" s="12" t="str">
        <f t="shared" si="1"/>
        <v>Vanilla_SidecutLong,1,1</v>
      </c>
    </row>
    <row r="89" ht="15.75" customHeight="1">
      <c r="A89" s="16" t="s">
        <v>1043</v>
      </c>
      <c r="B89" s="3" t="s">
        <v>1761</v>
      </c>
      <c r="C89" s="3" t="s">
        <v>1762</v>
      </c>
      <c r="D89" s="3">
        <v>1.0</v>
      </c>
      <c r="E89" s="8">
        <v>1.0</v>
      </c>
      <c r="F89" s="8" t="s">
        <v>1763</v>
      </c>
      <c r="G89" s="16"/>
      <c r="H89" s="16"/>
      <c r="I89" s="3" t="s">
        <v>1766</v>
      </c>
      <c r="J89" s="3" t="s">
        <v>1053</v>
      </c>
      <c r="L89" s="12" t="str">
        <f t="shared" si="1"/>
        <v>Vanilla_SidecutShort,1,1</v>
      </c>
    </row>
    <row r="90" ht="15.75" customHeight="1">
      <c r="A90" s="16" t="s">
        <v>1043</v>
      </c>
      <c r="B90" s="3" t="s">
        <v>1769</v>
      </c>
      <c r="C90" s="3" t="s">
        <v>1770</v>
      </c>
      <c r="D90" s="3">
        <v>1.0</v>
      </c>
      <c r="E90" s="8">
        <v>1.0</v>
      </c>
      <c r="F90" s="8" t="s">
        <v>1772</v>
      </c>
      <c r="G90" s="16"/>
      <c r="H90" s="16"/>
      <c r="I90" s="3" t="s">
        <v>1051</v>
      </c>
      <c r="J90" s="3" t="s">
        <v>1053</v>
      </c>
      <c r="L90" s="12" t="str">
        <f t="shared" si="1"/>
        <v>Vanilla_SlickedBackLongSideBraid,1,1</v>
      </c>
    </row>
    <row r="91" ht="15.75" customHeight="1">
      <c r="A91" s="16" t="s">
        <v>1043</v>
      </c>
      <c r="B91" s="3" t="s">
        <v>1779</v>
      </c>
      <c r="C91" s="3" t="s">
        <v>1780</v>
      </c>
      <c r="D91" s="3">
        <v>1.0</v>
      </c>
      <c r="E91" s="8">
        <v>1.0</v>
      </c>
      <c r="F91" s="8" t="s">
        <v>1781</v>
      </c>
      <c r="G91" s="16"/>
      <c r="H91" s="16"/>
      <c r="I91" s="3" t="s">
        <v>1784</v>
      </c>
      <c r="J91" s="3" t="s">
        <v>1053</v>
      </c>
      <c r="L91" s="12" t="str">
        <f t="shared" si="1"/>
        <v>Vanilla_SlickedBackShort,1,1</v>
      </c>
    </row>
    <row r="92" ht="15.75" customHeight="1">
      <c r="A92" s="16" t="s">
        <v>1043</v>
      </c>
      <c r="B92" s="3" t="s">
        <v>1788</v>
      </c>
      <c r="C92" s="3" t="s">
        <v>1790</v>
      </c>
      <c r="D92" s="3">
        <v>1.0</v>
      </c>
      <c r="E92" s="8">
        <v>1.0</v>
      </c>
      <c r="F92" s="8" t="s">
        <v>1791</v>
      </c>
      <c r="G92" s="16"/>
      <c r="H92" s="16"/>
      <c r="I92" s="3" t="s">
        <v>1051</v>
      </c>
      <c r="J92" s="3" t="s">
        <v>1053</v>
      </c>
      <c r="L92" s="12" t="str">
        <f t="shared" si="1"/>
        <v>Vanilla_SlickedBackSideBraids,1,1</v>
      </c>
    </row>
    <row r="93" ht="15.75" customHeight="1">
      <c r="A93" s="16" t="s">
        <v>1043</v>
      </c>
      <c r="B93" s="3" t="s">
        <v>1344</v>
      </c>
      <c r="C93" s="3" t="s">
        <v>1797</v>
      </c>
      <c r="D93" s="3">
        <v>1.0</v>
      </c>
      <c r="E93" s="8">
        <v>1.0</v>
      </c>
      <c r="F93" s="8" t="s">
        <v>1799</v>
      </c>
      <c r="G93" s="16"/>
      <c r="H93" s="16"/>
      <c r="I93" s="3" t="s">
        <v>1380</v>
      </c>
      <c r="J93" s="3" t="s">
        <v>1053</v>
      </c>
      <c r="L93" s="12" t="str">
        <f t="shared" si="1"/>
        <v>Vanilla_SpaceBunsLoose,1,1</v>
      </c>
    </row>
    <row r="94" ht="15.75" customHeight="1">
      <c r="A94" s="16" t="s">
        <v>1043</v>
      </c>
      <c r="B94" s="3" t="s">
        <v>263</v>
      </c>
      <c r="C94" s="3" t="s">
        <v>1806</v>
      </c>
      <c r="D94" s="3">
        <v>1.0</v>
      </c>
      <c r="E94" s="8">
        <v>1.0</v>
      </c>
      <c r="F94" s="8" t="s">
        <v>1810</v>
      </c>
      <c r="G94" s="16"/>
      <c r="H94" s="16"/>
      <c r="I94" s="3" t="s">
        <v>1380</v>
      </c>
      <c r="J94" s="3" t="s">
        <v>1053</v>
      </c>
      <c r="L94" s="12" t="str">
        <f t="shared" si="1"/>
        <v>Vanilla_SpaceBunsTight,1,1</v>
      </c>
    </row>
    <row r="95" ht="15.75" customHeight="1">
      <c r="A95" s="16" t="s">
        <v>1043</v>
      </c>
      <c r="B95" s="3" t="s">
        <v>1815</v>
      </c>
      <c r="C95" s="3" t="s">
        <v>1816</v>
      </c>
      <c r="D95" s="3">
        <v>1.0</v>
      </c>
      <c r="E95" s="8">
        <v>1.0</v>
      </c>
      <c r="F95" s="8" t="s">
        <v>1819</v>
      </c>
      <c r="G95" s="16"/>
      <c r="H95" s="16"/>
      <c r="I95" s="3" t="s">
        <v>1784</v>
      </c>
      <c r="J95" s="3" t="s">
        <v>1053</v>
      </c>
      <c r="L95" s="12" t="str">
        <f t="shared" si="1"/>
        <v>Vanilla_StraightBehindEars,1,1</v>
      </c>
    </row>
    <row r="96" ht="15.75" customHeight="1">
      <c r="A96" s="16" t="s">
        <v>1043</v>
      </c>
      <c r="B96" s="3" t="s">
        <v>1823</v>
      </c>
      <c r="C96" s="3" t="s">
        <v>1824</v>
      </c>
      <c r="D96" s="3">
        <v>1.0</v>
      </c>
      <c r="E96" s="8">
        <v>1.0</v>
      </c>
      <c r="F96" s="8" t="s">
        <v>1827</v>
      </c>
      <c r="G96" s="16"/>
      <c r="H96" s="16"/>
      <c r="I96" s="3" t="s">
        <v>1051</v>
      </c>
      <c r="J96" s="3" t="s">
        <v>1053</v>
      </c>
      <c r="L96" s="12" t="str">
        <f t="shared" si="1"/>
        <v>Vanilla_StraightBehindLeftEar,1,1</v>
      </c>
    </row>
    <row r="97" ht="15.75" customHeight="1">
      <c r="A97" s="16" t="s">
        <v>1043</v>
      </c>
      <c r="B97" s="3" t="s">
        <v>1831</v>
      </c>
      <c r="C97" s="3" t="s">
        <v>1832</v>
      </c>
      <c r="D97" s="3">
        <v>1.0</v>
      </c>
      <c r="E97" s="8">
        <v>1.0</v>
      </c>
      <c r="F97" s="8" t="s">
        <v>1835</v>
      </c>
      <c r="G97" s="16"/>
      <c r="H97" s="16"/>
      <c r="I97" s="3" t="s">
        <v>1837</v>
      </c>
      <c r="J97" s="3" t="s">
        <v>1053</v>
      </c>
      <c r="L97" s="12" t="str">
        <f t="shared" si="1"/>
        <v>Vanilla_StraightBehindRightEar,1,1</v>
      </c>
    </row>
    <row r="98" ht="15.75" customHeight="1">
      <c r="A98" s="16" t="s">
        <v>1043</v>
      </c>
      <c r="B98" s="3" t="s">
        <v>1841</v>
      </c>
      <c r="C98" s="3" t="s">
        <v>1842</v>
      </c>
      <c r="D98" s="3">
        <v>1.0</v>
      </c>
      <c r="E98" s="8">
        <v>1.0</v>
      </c>
      <c r="F98" s="8" t="s">
        <v>1844</v>
      </c>
      <c r="G98" s="16"/>
      <c r="H98" s="16"/>
      <c r="I98" s="3" t="s">
        <v>1051</v>
      </c>
      <c r="J98" s="3" t="s">
        <v>1053</v>
      </c>
      <c r="L98" s="12" t="str">
        <f t="shared" si="1"/>
        <v>Vanilla_StraightLong,1,1</v>
      </c>
    </row>
    <row r="99" ht="15.75" customHeight="1">
      <c r="A99" s="16" t="s">
        <v>1043</v>
      </c>
      <c r="B99" s="3" t="s">
        <v>1848</v>
      </c>
      <c r="C99" s="3" t="s">
        <v>1849</v>
      </c>
      <c r="D99" s="3">
        <v>1.0</v>
      </c>
      <c r="E99" s="8">
        <v>1.0</v>
      </c>
      <c r="F99" s="8" t="s">
        <v>1851</v>
      </c>
      <c r="G99" s="16"/>
      <c r="H99" s="16"/>
      <c r="I99" s="3" t="s">
        <v>1051</v>
      </c>
      <c r="J99" s="3" t="s">
        <v>1053</v>
      </c>
      <c r="L99" s="12" t="str">
        <f t="shared" si="1"/>
        <v>Vanilla_StraightLongBraid,1,1</v>
      </c>
    </row>
    <row r="100" ht="15.75" customHeight="1">
      <c r="A100" s="16" t="s">
        <v>1043</v>
      </c>
      <c r="B100" s="3" t="s">
        <v>1855</v>
      </c>
      <c r="C100" s="3" t="s">
        <v>1856</v>
      </c>
      <c r="D100" s="3">
        <v>1.0</v>
      </c>
      <c r="E100" s="8">
        <v>1.0</v>
      </c>
      <c r="F100" s="8" t="s">
        <v>1860</v>
      </c>
      <c r="G100" s="16"/>
      <c r="H100" s="16"/>
      <c r="I100" s="3" t="s">
        <v>1310</v>
      </c>
      <c r="J100" s="3" t="s">
        <v>1053</v>
      </c>
      <c r="L100" s="12" t="str">
        <f t="shared" si="1"/>
        <v>Vanilla_StraightLongScraggly,1,1</v>
      </c>
    </row>
    <row r="101" ht="15.75" customHeight="1">
      <c r="A101" s="16" t="s">
        <v>1043</v>
      </c>
      <c r="B101" s="3" t="s">
        <v>1866</v>
      </c>
      <c r="C101" s="3" t="s">
        <v>1867</v>
      </c>
      <c r="D101" s="3">
        <v>1.0</v>
      </c>
      <c r="E101" s="8">
        <v>1.0</v>
      </c>
      <c r="F101" s="8" t="s">
        <v>1870</v>
      </c>
      <c r="G101" s="16"/>
      <c r="H101" s="16"/>
      <c r="I101" s="3" t="s">
        <v>1051</v>
      </c>
      <c r="J101" s="3" t="s">
        <v>1053</v>
      </c>
      <c r="L101" s="12" t="str">
        <f t="shared" si="1"/>
        <v>Vanilla_StraightMedium,1,1</v>
      </c>
    </row>
    <row r="102" ht="15.75" customHeight="1">
      <c r="A102" s="16" t="s">
        <v>1043</v>
      </c>
      <c r="B102" s="3" t="s">
        <v>1874</v>
      </c>
      <c r="C102" s="3" t="s">
        <v>1876</v>
      </c>
      <c r="D102" s="3">
        <v>1.0</v>
      </c>
      <c r="E102" s="8">
        <v>1.0</v>
      </c>
      <c r="F102" s="8" t="s">
        <v>1879</v>
      </c>
      <c r="G102" s="16"/>
      <c r="H102" s="16"/>
      <c r="I102" s="3" t="s">
        <v>1051</v>
      </c>
      <c r="J102" s="3" t="s">
        <v>1053</v>
      </c>
      <c r="L102" s="12" t="str">
        <f t="shared" si="1"/>
        <v>Vanilla_TopTiedBackSideBraids,1,1</v>
      </c>
    </row>
    <row r="103" ht="15.75" customHeight="1">
      <c r="A103" s="16" t="s">
        <v>1043</v>
      </c>
      <c r="B103" s="3" t="s">
        <v>411</v>
      </c>
      <c r="C103" s="3" t="s">
        <v>1882</v>
      </c>
      <c r="D103" s="3">
        <v>1.0</v>
      </c>
      <c r="E103" s="8">
        <v>1.0</v>
      </c>
      <c r="F103" s="8" t="s">
        <v>1885</v>
      </c>
      <c r="G103" s="16"/>
      <c r="H103" s="16"/>
      <c r="I103" s="3" t="s">
        <v>1310</v>
      </c>
      <c r="J103" s="3" t="s">
        <v>1053</v>
      </c>
      <c r="L103" s="12" t="str">
        <f t="shared" si="1"/>
        <v>Vanilla_UndercutPonytailBanded,1,1</v>
      </c>
    </row>
    <row r="104" ht="15.75" customHeight="1">
      <c r="A104" s="16" t="s">
        <v>1043</v>
      </c>
      <c r="B104" s="3" t="s">
        <v>1890</v>
      </c>
      <c r="C104" s="3" t="s">
        <v>1892</v>
      </c>
      <c r="D104" s="3">
        <v>1.0</v>
      </c>
      <c r="E104" s="8">
        <v>1.0</v>
      </c>
      <c r="F104" s="8" t="s">
        <v>1893</v>
      </c>
      <c r="G104" s="16"/>
      <c r="H104" s="16"/>
      <c r="I104" s="3" t="s">
        <v>1310</v>
      </c>
      <c r="J104" s="3" t="s">
        <v>1053</v>
      </c>
      <c r="L104" s="12" t="str">
        <f t="shared" si="1"/>
        <v>Vanilla_UndercutPonytailHigh,1,1</v>
      </c>
    </row>
    <row r="105" ht="15.75" customHeight="1">
      <c r="A105" s="16" t="s">
        <v>1043</v>
      </c>
      <c r="B105" s="3" t="s">
        <v>1898</v>
      </c>
      <c r="C105" s="3" t="s">
        <v>1900</v>
      </c>
      <c r="D105" s="3">
        <v>1.0</v>
      </c>
      <c r="E105" s="8">
        <v>1.0</v>
      </c>
      <c r="F105" s="8" t="s">
        <v>1903</v>
      </c>
      <c r="G105" s="16"/>
      <c r="H105" s="16"/>
      <c r="I105" s="3" t="s">
        <v>1246</v>
      </c>
      <c r="J105" s="3" t="s">
        <v>1053</v>
      </c>
      <c r="L105" s="12" t="str">
        <f t="shared" si="1"/>
        <v>Vanilla_UndercutPonytailLong,1,1</v>
      </c>
    </row>
    <row r="106" ht="15.75" customHeight="1">
      <c r="A106" s="16" t="s">
        <v>1043</v>
      </c>
      <c r="B106" s="3" t="s">
        <v>1906</v>
      </c>
      <c r="C106" s="3" t="s">
        <v>1908</v>
      </c>
      <c r="D106" s="3">
        <v>1.0</v>
      </c>
      <c r="E106" s="8">
        <v>1.0</v>
      </c>
      <c r="F106" s="8" t="s">
        <v>1910</v>
      </c>
      <c r="G106" s="16"/>
      <c r="H106" s="16"/>
      <c r="I106" s="3" t="s">
        <v>1310</v>
      </c>
      <c r="J106" s="3" t="s">
        <v>1053</v>
      </c>
      <c r="L106" s="12" t="str">
        <f t="shared" si="1"/>
        <v>Vanilla_UndercutPonytailMedium,1,1</v>
      </c>
    </row>
    <row r="107" ht="15.75" customHeight="1">
      <c r="A107" s="16" t="s">
        <v>1043</v>
      </c>
      <c r="B107" s="3" t="s">
        <v>535</v>
      </c>
      <c r="C107" s="3" t="s">
        <v>1914</v>
      </c>
      <c r="D107" s="3">
        <v>1.0</v>
      </c>
      <c r="E107" s="8">
        <v>1.0</v>
      </c>
      <c r="F107" s="8" t="s">
        <v>1917</v>
      </c>
      <c r="G107" s="16"/>
      <c r="H107" s="16"/>
      <c r="I107" s="3" t="s">
        <v>1246</v>
      </c>
      <c r="J107" s="3" t="s">
        <v>1053</v>
      </c>
      <c r="L107" s="12" t="str">
        <f t="shared" si="1"/>
        <v>Vanilla_UndercutPonytailReceding,1,1</v>
      </c>
    </row>
    <row r="108" ht="15.75" customHeight="1">
      <c r="A108" s="16" t="s">
        <v>1043</v>
      </c>
      <c r="B108" s="3" t="s">
        <v>1308</v>
      </c>
      <c r="C108" s="3" t="s">
        <v>1922</v>
      </c>
      <c r="D108" s="3">
        <v>1.0</v>
      </c>
      <c r="E108" s="8">
        <v>1.0</v>
      </c>
      <c r="F108" s="8" t="s">
        <v>1923</v>
      </c>
      <c r="G108" s="16"/>
      <c r="H108" s="16"/>
      <c r="I108" s="3" t="s">
        <v>1246</v>
      </c>
      <c r="J108" s="3" t="s">
        <v>1053</v>
      </c>
      <c r="L108" s="12" t="str">
        <f t="shared" si="1"/>
        <v>Vanilla_UndercutPonytailShort,1,1</v>
      </c>
    </row>
    <row r="109" ht="15.75" customHeight="1">
      <c r="A109" s="16" t="s">
        <v>1043</v>
      </c>
      <c r="B109" s="3" t="s">
        <v>1928</v>
      </c>
      <c r="C109" s="3" t="s">
        <v>1929</v>
      </c>
      <c r="D109" s="3">
        <v>1.0</v>
      </c>
      <c r="E109" s="8">
        <v>1.0</v>
      </c>
      <c r="F109" s="8" t="s">
        <v>1931</v>
      </c>
      <c r="G109" s="16"/>
      <c r="H109" s="16"/>
      <c r="I109" s="3" t="s">
        <v>1051</v>
      </c>
      <c r="J109" s="3" t="s">
        <v>1053</v>
      </c>
      <c r="L109" s="12" t="str">
        <f t="shared" si="1"/>
        <v>Vanilla_WidowsPeakLong,1,1</v>
      </c>
    </row>
    <row r="110" ht="15.75" customHeight="1">
      <c r="A110" s="16" t="s">
        <v>1043</v>
      </c>
      <c r="B110" s="3" t="s">
        <v>1938</v>
      </c>
      <c r="C110" s="3" t="s">
        <v>1940</v>
      </c>
      <c r="D110" s="3">
        <v>1.0</v>
      </c>
      <c r="E110" s="8">
        <v>1.0</v>
      </c>
      <c r="F110" s="8" t="s">
        <v>1942</v>
      </c>
      <c r="G110" s="16"/>
      <c r="H110" s="16"/>
      <c r="I110" s="3" t="s">
        <v>1944</v>
      </c>
      <c r="J110" s="3" t="s">
        <v>1053</v>
      </c>
      <c r="L110" s="12" t="str">
        <f t="shared" si="1"/>
        <v>Vanilla_WidowsPeakMedium,1,1</v>
      </c>
    </row>
    <row r="111" ht="15.75" customHeight="1">
      <c r="A111" s="16" t="s">
        <v>1043</v>
      </c>
      <c r="B111" s="3" t="s">
        <v>1951</v>
      </c>
      <c r="C111" s="3" t="s">
        <v>1952</v>
      </c>
      <c r="D111" s="3">
        <v>1.0</v>
      </c>
      <c r="E111" s="8">
        <v>1.0</v>
      </c>
      <c r="F111" s="8" t="s">
        <v>1954</v>
      </c>
      <c r="G111" s="16"/>
      <c r="H111" s="16"/>
      <c r="I111" s="3" t="s">
        <v>1051</v>
      </c>
      <c r="J111" s="3" t="s">
        <v>1053</v>
      </c>
      <c r="L111" s="12" t="str">
        <f t="shared" si="1"/>
        <v>Vanilla_WidowsPeakShort,1,1</v>
      </c>
    </row>
    <row r="112" ht="15.75" customHeight="1">
      <c r="A112" s="16" t="s">
        <v>1043</v>
      </c>
      <c r="B112" s="3" t="s">
        <v>1960</v>
      </c>
      <c r="C112" s="3" t="s">
        <v>1963</v>
      </c>
      <c r="D112" s="3">
        <v>1.0</v>
      </c>
      <c r="E112" s="8">
        <v>1.0</v>
      </c>
      <c r="F112" s="8" t="s">
        <v>1964</v>
      </c>
      <c r="G112" s="16"/>
      <c r="H112" s="16"/>
      <c r="I112" s="3" t="s">
        <v>1310</v>
      </c>
      <c r="J112" s="3" t="s">
        <v>1053</v>
      </c>
      <c r="L112" s="12" t="str">
        <f t="shared" si="1"/>
        <v>Vanilla_WidowsPeakWindswept,1,1</v>
      </c>
    </row>
    <row r="113" ht="15.75" customHeight="1">
      <c r="A113" s="5" t="s">
        <v>143</v>
      </c>
      <c r="B113" s="17"/>
      <c r="C113" s="5" t="s">
        <v>1976</v>
      </c>
      <c r="D113" s="5">
        <v>2.0</v>
      </c>
      <c r="E113" s="5">
        <v>2.0</v>
      </c>
      <c r="F113" s="5" t="s">
        <v>1978</v>
      </c>
      <c r="G113" s="8" t="s">
        <v>1979</v>
      </c>
      <c r="H113" s="5" t="s">
        <v>35</v>
      </c>
      <c r="I113" s="8" t="str">
        <f>IFERROR(__xludf.DUMMYFUNCTION("IF(OR(TRIM(G113)="""",TRIM(H113)=""""),"""",TEXTJOIN("", "",TRUE,ARRAYFORMULA(TRANSPOSE(TRIM(SPLIT(G113,"","")))&amp;""_""&amp;TRIM(SPLIT(H113,"","")))))"),"Elf_Female, Human_Female, Orc_Female")</f>
        <v>Elf_Female, Human_Female, Orc_Female</v>
      </c>
      <c r="J113" s="5" t="s">
        <v>141</v>
      </c>
      <c r="L113" s="12" t="str">
        <f t="shared" si="1"/>
        <v>DintBDOR_Alany,2,2</v>
      </c>
    </row>
    <row r="114" ht="15.75" customHeight="1">
      <c r="A114" s="5" t="s">
        <v>143</v>
      </c>
      <c r="B114" s="18"/>
      <c r="C114" s="5" t="s">
        <v>2006</v>
      </c>
      <c r="D114" s="5">
        <v>2.0</v>
      </c>
      <c r="E114" s="5">
        <v>3.0</v>
      </c>
      <c r="F114" s="5" t="s">
        <v>2008</v>
      </c>
      <c r="G114" s="8" t="s">
        <v>1979</v>
      </c>
      <c r="H114" s="5" t="s">
        <v>35</v>
      </c>
      <c r="I114" s="8" t="str">
        <f>IFERROR(__xludf.DUMMYFUNCTION("IF(OR(TRIM(G114)="""",TRIM(H114)=""""),"""",TEXTJOIN("", "",TRUE,ARRAYFORMULA(TRANSPOSE(TRIM(SPLIT(G114,"","")))&amp;""_""&amp;TRIM(SPLIT(H114,"","")))))"),"Elf_Female, Human_Female, Orc_Female")</f>
        <v>Elf_Female, Human_Female, Orc_Female</v>
      </c>
      <c r="J114" s="5" t="s">
        <v>141</v>
      </c>
      <c r="L114" s="12" t="str">
        <f t="shared" si="1"/>
        <v>DintBDOR_Alisterra,2,3</v>
      </c>
    </row>
    <row r="115" ht="15.75" customHeight="1">
      <c r="A115" s="5" t="s">
        <v>143</v>
      </c>
      <c r="B115" s="18"/>
      <c r="C115" s="5" t="s">
        <v>2018</v>
      </c>
      <c r="D115" s="5">
        <v>1.0</v>
      </c>
      <c r="E115" s="5">
        <v>2.0</v>
      </c>
      <c r="F115" s="5" t="s">
        <v>2022</v>
      </c>
      <c r="G115" s="8" t="s">
        <v>1979</v>
      </c>
      <c r="H115" s="5" t="s">
        <v>35</v>
      </c>
      <c r="I115" s="8" t="str">
        <f>IFERROR(__xludf.DUMMYFUNCTION("IF(OR(TRIM(G115)="""",TRIM(H115)=""""),"""",TEXTJOIN("", "",TRUE,ARRAYFORMULA(TRANSPOSE(TRIM(SPLIT(G115,"","")))&amp;""_""&amp;TRIM(SPLIT(H115,"","")))))"),"Elf_Female, Human_Female, Orc_Female")</f>
        <v>Elf_Female, Human_Female, Orc_Female</v>
      </c>
      <c r="J115" s="5" t="s">
        <v>141</v>
      </c>
      <c r="L115" s="12" t="str">
        <f t="shared" si="1"/>
        <v>DintBDOR_Ampharry,1,2</v>
      </c>
    </row>
    <row r="116" ht="15.75" customHeight="1">
      <c r="A116" s="5" t="s">
        <v>143</v>
      </c>
      <c r="B116" s="18"/>
      <c r="C116" s="5" t="s">
        <v>2032</v>
      </c>
      <c r="D116" s="5">
        <v>1.0</v>
      </c>
      <c r="E116" s="5">
        <v>3.0</v>
      </c>
      <c r="F116" s="5" t="s">
        <v>2035</v>
      </c>
      <c r="G116" s="8" t="s">
        <v>1979</v>
      </c>
      <c r="H116" s="5" t="s">
        <v>35</v>
      </c>
      <c r="I116" s="8" t="str">
        <f>IFERROR(__xludf.DUMMYFUNCTION("IF(OR(TRIM(G116)="""",TRIM(H116)=""""),"""",TEXTJOIN("", "",TRUE,ARRAYFORMULA(TRANSPOSE(TRIM(SPLIT(G116,"","")))&amp;""_""&amp;TRIM(SPLIT(H116,"","")))))"),"Elf_Female, Human_Female, Orc_Female")</f>
        <v>Elf_Female, Human_Female, Orc_Female</v>
      </c>
      <c r="J116" s="5" t="s">
        <v>141</v>
      </c>
      <c r="L116" s="12" t="str">
        <f t="shared" si="1"/>
        <v>DintBDOR_Amprelie,1,3</v>
      </c>
    </row>
    <row r="117" ht="15.75" customHeight="1">
      <c r="A117" s="5" t="s">
        <v>143</v>
      </c>
      <c r="B117" s="18"/>
      <c r="C117" s="5" t="s">
        <v>2044</v>
      </c>
      <c r="D117" s="5">
        <v>1.0</v>
      </c>
      <c r="E117" s="5">
        <v>2.0</v>
      </c>
      <c r="F117" s="5" t="s">
        <v>2047</v>
      </c>
      <c r="G117" s="8" t="s">
        <v>1979</v>
      </c>
      <c r="H117" s="5" t="s">
        <v>35</v>
      </c>
      <c r="I117" s="8" t="str">
        <f>IFERROR(__xludf.DUMMYFUNCTION("IF(OR(TRIM(G117)="""",TRIM(H117)=""""),"""",TEXTJOIN("", "",TRUE,ARRAYFORMULA(TRANSPOSE(TRIM(SPLIT(G117,"","")))&amp;""_""&amp;TRIM(SPLIT(H117,"","")))))"),"Elf_Female, Human_Female, Orc_Female")</f>
        <v>Elf_Female, Human_Female, Orc_Female</v>
      </c>
      <c r="J117" s="5" t="s">
        <v>141</v>
      </c>
      <c r="L117" s="12" t="str">
        <f t="shared" si="1"/>
        <v>DintBDOR_Ampy,1,2</v>
      </c>
    </row>
    <row r="118" ht="15.75" customHeight="1">
      <c r="A118" s="5" t="s">
        <v>143</v>
      </c>
      <c r="B118" s="18"/>
      <c r="C118" s="5" t="s">
        <v>2057</v>
      </c>
      <c r="D118" s="5">
        <v>1.0</v>
      </c>
      <c r="E118" s="5">
        <v>3.0</v>
      </c>
      <c r="F118" s="5" t="s">
        <v>2058</v>
      </c>
      <c r="G118" s="8" t="s">
        <v>1979</v>
      </c>
      <c r="H118" s="5" t="s">
        <v>35</v>
      </c>
      <c r="I118" s="8" t="str">
        <f>IFERROR(__xludf.DUMMYFUNCTION("IF(OR(TRIM(G118)="""",TRIM(H118)=""""),"""",TEXTJOIN("", "",TRUE,ARRAYFORMULA(TRANSPOSE(TRIM(SPLIT(G118,"","")))&amp;""_""&amp;TRIM(SPLIT(H118,"","")))))"),"Elf_Female, Human_Female, Orc_Female")</f>
        <v>Elf_Female, Human_Female, Orc_Female</v>
      </c>
      <c r="J118" s="5" t="s">
        <v>141</v>
      </c>
      <c r="L118" s="12" t="str">
        <f t="shared" si="1"/>
        <v>DintBDOR_Annabelle,1,3</v>
      </c>
    </row>
    <row r="119" ht="15.75" customHeight="1">
      <c r="A119" s="5" t="s">
        <v>143</v>
      </c>
      <c r="B119" s="17"/>
      <c r="C119" s="5" t="s">
        <v>2067</v>
      </c>
      <c r="D119" s="5">
        <v>2.0</v>
      </c>
      <c r="E119" s="5">
        <v>3.0</v>
      </c>
      <c r="F119" s="5" t="s">
        <v>2069</v>
      </c>
      <c r="G119" s="8" t="s">
        <v>1979</v>
      </c>
      <c r="H119" s="5" t="s">
        <v>35</v>
      </c>
      <c r="I119" s="8" t="str">
        <f>IFERROR(__xludf.DUMMYFUNCTION("IF(OR(TRIM(G119)="""",TRIM(H119)=""""),"""",TEXTJOIN("", "",TRUE,ARRAYFORMULA(TRANSPOSE(TRIM(SPLIT(G119,"","")))&amp;""_""&amp;TRIM(SPLIT(H119,"","")))))"),"Elf_Female, Human_Female, Orc_Female")</f>
        <v>Elf_Female, Human_Female, Orc_Female</v>
      </c>
      <c r="J119" s="5" t="s">
        <v>141</v>
      </c>
      <c r="L119" s="12" t="str">
        <f t="shared" si="1"/>
        <v>DintBDOR_AnnyJ,2,3</v>
      </c>
    </row>
    <row r="120" ht="15.75" customHeight="1">
      <c r="A120" s="5" t="s">
        <v>143</v>
      </c>
      <c r="B120" s="17"/>
      <c r="C120" s="5" t="s">
        <v>2075</v>
      </c>
      <c r="D120" s="5">
        <v>2.0</v>
      </c>
      <c r="E120" s="5">
        <v>3.0</v>
      </c>
      <c r="F120" s="5" t="s">
        <v>2078</v>
      </c>
      <c r="G120" s="8" t="s">
        <v>1979</v>
      </c>
      <c r="H120" s="5" t="s">
        <v>35</v>
      </c>
      <c r="I120" s="8" t="str">
        <f>IFERROR(__xludf.DUMMYFUNCTION("IF(OR(TRIM(G120)="""",TRIM(H120)=""""),"""",TEXTJOIN("", "",TRUE,ARRAYFORMULA(TRANSPOSE(TRIM(SPLIT(G120,"","")))&amp;""_""&amp;TRIM(SPLIT(H120,"","")))))"),"Elf_Female, Human_Female, Orc_Female")</f>
        <v>Elf_Female, Human_Female, Orc_Female</v>
      </c>
      <c r="J120" s="5" t="s">
        <v>141</v>
      </c>
      <c r="L120" s="12" t="str">
        <f t="shared" si="1"/>
        <v>DintBDOR_Apprelia,2,3</v>
      </c>
    </row>
    <row r="121" ht="15.75" customHeight="1">
      <c r="A121" s="5" t="s">
        <v>143</v>
      </c>
      <c r="B121" s="18"/>
      <c r="C121" s="5" t="s">
        <v>2086</v>
      </c>
      <c r="D121" s="5">
        <v>2.0</v>
      </c>
      <c r="E121" s="5">
        <v>2.0</v>
      </c>
      <c r="F121" s="5" t="s">
        <v>2089</v>
      </c>
      <c r="G121" s="8" t="s">
        <v>1979</v>
      </c>
      <c r="H121" s="5" t="s">
        <v>35</v>
      </c>
      <c r="I121" s="8" t="str">
        <f>IFERROR(__xludf.DUMMYFUNCTION("IF(OR(TRIM(G121)="""",TRIM(H121)=""""),"""",TEXTJOIN("", "",TRUE,ARRAYFORMULA(TRANSPOSE(TRIM(SPLIT(G121,"","")))&amp;""_""&amp;TRIM(SPLIT(H121,"","")))))"),"Elf_Female, Human_Female, Orc_Female")</f>
        <v>Elf_Female, Human_Female, Orc_Female</v>
      </c>
      <c r="J121" s="5" t="s">
        <v>141</v>
      </c>
      <c r="L121" s="12" t="str">
        <f t="shared" si="1"/>
        <v>DintBDOR_Ayren,2,2</v>
      </c>
    </row>
    <row r="122" ht="15.75" customHeight="1">
      <c r="A122" s="5" t="s">
        <v>143</v>
      </c>
      <c r="B122" s="18"/>
      <c r="C122" s="5" t="s">
        <v>2100</v>
      </c>
      <c r="D122" s="5">
        <v>2.0</v>
      </c>
      <c r="E122" s="5">
        <v>2.0</v>
      </c>
      <c r="F122" s="5" t="s">
        <v>2102</v>
      </c>
      <c r="G122" s="8" t="s">
        <v>1979</v>
      </c>
      <c r="H122" s="5" t="s">
        <v>35</v>
      </c>
      <c r="I122" s="8" t="str">
        <f>IFERROR(__xludf.DUMMYFUNCTION("IF(OR(TRIM(G122)="""",TRIM(H122)=""""),"""",TEXTJOIN("", "",TRUE,ARRAYFORMULA(TRANSPOSE(TRIM(SPLIT(G122,"","")))&amp;""_""&amp;TRIM(SPLIT(H122,"","")))))"),"Elf_Female, Human_Female, Orc_Female")</f>
        <v>Elf_Female, Human_Female, Orc_Female</v>
      </c>
      <c r="J122" s="5" t="s">
        <v>141</v>
      </c>
      <c r="L122" s="12" t="str">
        <f t="shared" si="1"/>
        <v>DintBDOR_Bearma,2,2</v>
      </c>
    </row>
    <row r="123" ht="15.75" customHeight="1">
      <c r="A123" s="5" t="s">
        <v>143</v>
      </c>
      <c r="B123" s="18"/>
      <c r="C123" s="5" t="s">
        <v>2113</v>
      </c>
      <c r="D123" s="5">
        <v>3.0</v>
      </c>
      <c r="E123" s="5">
        <v>3.0</v>
      </c>
      <c r="F123" s="5" t="s">
        <v>2114</v>
      </c>
      <c r="G123" s="8" t="s">
        <v>1979</v>
      </c>
      <c r="H123" s="5" t="s">
        <v>35</v>
      </c>
      <c r="I123" s="8" t="str">
        <f>IFERROR(__xludf.DUMMYFUNCTION("IF(OR(TRIM(G123)="""",TRIM(H123)=""""),"""",TEXTJOIN("", "",TRUE,ARRAYFORMULA(TRANSPOSE(TRIM(SPLIT(G123,"","")))&amp;""_""&amp;TRIM(SPLIT(H123,"","")))))"),"Elf_Female, Human_Female, Orc_Female")</f>
        <v>Elf_Female, Human_Female, Orc_Female</v>
      </c>
      <c r="J123" s="5" t="s">
        <v>141</v>
      </c>
      <c r="L123" s="12" t="str">
        <f t="shared" si="1"/>
        <v>DintBDOR_Bellafy,3,3</v>
      </c>
    </row>
    <row r="124" ht="15.75" customHeight="1">
      <c r="A124" s="5" t="s">
        <v>143</v>
      </c>
      <c r="B124" s="17"/>
      <c r="C124" s="5" t="s">
        <v>2122</v>
      </c>
      <c r="D124" s="5">
        <v>1.0</v>
      </c>
      <c r="E124" s="5">
        <v>1.0</v>
      </c>
      <c r="F124" s="5" t="s">
        <v>2124</v>
      </c>
      <c r="G124" s="8" t="s">
        <v>1979</v>
      </c>
      <c r="H124" s="5" t="s">
        <v>35</v>
      </c>
      <c r="I124" s="8" t="str">
        <f>IFERROR(__xludf.DUMMYFUNCTION("IF(OR(TRIM(G124)="""",TRIM(H124)=""""),"""",TEXTJOIN("", "",TRUE,ARRAYFORMULA(TRANSPOSE(TRIM(SPLIT(G124,"","")))&amp;""_""&amp;TRIM(SPLIT(H124,"","")))))"),"Elf_Female, Human_Female, Orc_Female")</f>
        <v>Elf_Female, Human_Female, Orc_Female</v>
      </c>
      <c r="J124" s="5" t="s">
        <v>141</v>
      </c>
      <c r="L124" s="12" t="str">
        <f t="shared" si="1"/>
        <v>DintBDOR_Bewffy,1,1</v>
      </c>
    </row>
    <row r="125" ht="15.75" customHeight="1">
      <c r="A125" s="5" t="s">
        <v>143</v>
      </c>
      <c r="B125" s="18"/>
      <c r="C125" s="5" t="s">
        <v>2130</v>
      </c>
      <c r="D125" s="5">
        <v>1.0</v>
      </c>
      <c r="E125" s="5">
        <v>3.0</v>
      </c>
      <c r="F125" s="5" t="s">
        <v>2132</v>
      </c>
      <c r="G125" s="8" t="s">
        <v>1979</v>
      </c>
      <c r="H125" s="5" t="s">
        <v>35</v>
      </c>
      <c r="I125" s="8" t="str">
        <f>IFERROR(__xludf.DUMMYFUNCTION("IF(OR(TRIM(G125)="""",TRIM(H125)=""""),"""",TEXTJOIN("", "",TRUE,ARRAYFORMULA(TRANSPOSE(TRIM(SPLIT(G125,"","")))&amp;""_""&amp;TRIM(SPLIT(H125,"","")))))"),"Elf_Female, Human_Female, Orc_Female")</f>
        <v>Elf_Female, Human_Female, Orc_Female</v>
      </c>
      <c r="J125" s="5" t="s">
        <v>141</v>
      </c>
      <c r="L125" s="12" t="str">
        <f t="shared" si="1"/>
        <v>DintBDOR_Branzhette,1,3</v>
      </c>
    </row>
    <row r="126" ht="15.75" customHeight="1">
      <c r="A126" s="5" t="s">
        <v>143</v>
      </c>
      <c r="B126" s="18"/>
      <c r="C126" s="5" t="s">
        <v>2139</v>
      </c>
      <c r="D126" s="5">
        <v>1.0</v>
      </c>
      <c r="E126" s="5">
        <v>3.0</v>
      </c>
      <c r="F126" s="5" t="s">
        <v>2140</v>
      </c>
      <c r="G126" s="8" t="s">
        <v>1979</v>
      </c>
      <c r="H126" s="5" t="s">
        <v>35</v>
      </c>
      <c r="I126" s="8" t="str">
        <f>IFERROR(__xludf.DUMMYFUNCTION("IF(OR(TRIM(G126)="""",TRIM(H126)=""""),"""",TEXTJOIN("", "",TRUE,ARRAYFORMULA(TRANSPOSE(TRIM(SPLIT(G126,"","")))&amp;""_""&amp;TRIM(SPLIT(H126,"","")))))"),"Elf_Female, Human_Female, Orc_Female")</f>
        <v>Elf_Female, Human_Female, Orc_Female</v>
      </c>
      <c r="J126" s="5" t="s">
        <v>141</v>
      </c>
      <c r="L126" s="12" t="str">
        <f t="shared" si="1"/>
        <v>DintBDOR_Debbie,1,3</v>
      </c>
    </row>
    <row r="127" ht="15.75" customHeight="1">
      <c r="A127" s="5" t="s">
        <v>143</v>
      </c>
      <c r="B127" s="18"/>
      <c r="C127" s="5" t="s">
        <v>2148</v>
      </c>
      <c r="D127" s="5">
        <v>1.0</v>
      </c>
      <c r="E127" s="5">
        <v>2.0</v>
      </c>
      <c r="F127" s="5" t="s">
        <v>2149</v>
      </c>
      <c r="G127" s="8" t="s">
        <v>1979</v>
      </c>
      <c r="H127" s="5" t="s">
        <v>35</v>
      </c>
      <c r="I127" s="8" t="str">
        <f>IFERROR(__xludf.DUMMYFUNCTION("IF(OR(TRIM(G127)="""",TRIM(H127)=""""),"""",TEXTJOIN("", "",TRUE,ARRAYFORMULA(TRANSPOSE(TRIM(SPLIT(G127,"","")))&amp;""_""&amp;TRIM(SPLIT(H127,"","")))))"),"Elf_Female, Human_Female, Orc_Female")</f>
        <v>Elf_Female, Human_Female, Orc_Female</v>
      </c>
      <c r="J127" s="5" t="s">
        <v>141</v>
      </c>
      <c r="L127" s="12" t="str">
        <f t="shared" si="1"/>
        <v>DintBDOR_Debbry,1,2</v>
      </c>
    </row>
    <row r="128" ht="15.75" customHeight="1">
      <c r="A128" s="5" t="s">
        <v>143</v>
      </c>
      <c r="B128" s="18"/>
      <c r="C128" s="5" t="s">
        <v>2157</v>
      </c>
      <c r="D128" s="5">
        <v>1.0</v>
      </c>
      <c r="E128" s="5">
        <v>2.0</v>
      </c>
      <c r="F128" s="5" t="s">
        <v>2158</v>
      </c>
      <c r="G128" s="8" t="s">
        <v>1979</v>
      </c>
      <c r="H128" s="5" t="s">
        <v>35</v>
      </c>
      <c r="I128" s="8" t="str">
        <f>IFERROR(__xludf.DUMMYFUNCTION("IF(OR(TRIM(G128)="""",TRIM(H128)=""""),"""",TEXTJOIN("", "",TRUE,ARRAYFORMULA(TRANSPOSE(TRIM(SPLIT(G128,"","")))&amp;""_""&amp;TRIM(SPLIT(H128,"","")))))"),"Elf_Female, Human_Female, Orc_Female")</f>
        <v>Elf_Female, Human_Female, Orc_Female</v>
      </c>
      <c r="J128" s="5" t="s">
        <v>141</v>
      </c>
      <c r="L128" s="12" t="str">
        <f t="shared" si="1"/>
        <v>DintBDOR_Ebra,1,2</v>
      </c>
    </row>
    <row r="129" ht="15.75" customHeight="1">
      <c r="A129" s="5" t="s">
        <v>143</v>
      </c>
      <c r="B129" s="18"/>
      <c r="C129" s="5" t="s">
        <v>2166</v>
      </c>
      <c r="D129" s="5">
        <v>2.0</v>
      </c>
      <c r="E129" s="5">
        <v>2.0</v>
      </c>
      <c r="F129" s="5" t="s">
        <v>2168</v>
      </c>
      <c r="G129" s="8" t="s">
        <v>1979</v>
      </c>
      <c r="H129" s="5" t="s">
        <v>35</v>
      </c>
      <c r="I129" s="8" t="str">
        <f>IFERROR(__xludf.DUMMYFUNCTION("IF(OR(TRIM(G129)="""",TRIM(H129)=""""),"""",TEXTJOIN("", "",TRUE,ARRAYFORMULA(TRANSPOSE(TRIM(SPLIT(G129,"","")))&amp;""_""&amp;TRIM(SPLIT(H129,"","")))))"),"Elf_Female, Human_Female, Orc_Female")</f>
        <v>Elf_Female, Human_Female, Orc_Female</v>
      </c>
      <c r="J129" s="5" t="s">
        <v>141</v>
      </c>
      <c r="L129" s="12" t="str">
        <f t="shared" si="1"/>
        <v>DintBDOR_Eilener,2,2</v>
      </c>
    </row>
    <row r="130" ht="15.75" customHeight="1">
      <c r="A130" s="5" t="s">
        <v>143</v>
      </c>
      <c r="B130" s="18"/>
      <c r="C130" s="5" t="s">
        <v>2175</v>
      </c>
      <c r="D130" s="5">
        <v>2.0</v>
      </c>
      <c r="E130" s="5">
        <v>3.0</v>
      </c>
      <c r="F130" s="5" t="s">
        <v>2176</v>
      </c>
      <c r="G130" s="8" t="s">
        <v>1979</v>
      </c>
      <c r="H130" s="5" t="s">
        <v>35</v>
      </c>
      <c r="I130" s="8" t="str">
        <f>IFERROR(__xludf.DUMMYFUNCTION("IF(OR(TRIM(G130)="""",TRIM(H130)=""""),"""",TEXTJOIN("", "",TRUE,ARRAYFORMULA(TRANSPOSE(TRIM(SPLIT(G130,"","")))&amp;""_""&amp;TRIM(SPLIT(H130,"","")))))"),"Elf_Female, Human_Female, Orc_Female")</f>
        <v>Elf_Female, Human_Female, Orc_Female</v>
      </c>
      <c r="J130" s="5" t="s">
        <v>141</v>
      </c>
      <c r="L130" s="12" t="str">
        <f t="shared" si="1"/>
        <v>DintBDOR_Ellajane,2,3</v>
      </c>
    </row>
    <row r="131" ht="15.75" customHeight="1">
      <c r="A131" s="5" t="s">
        <v>143</v>
      </c>
      <c r="B131" s="17"/>
      <c r="C131" s="5" t="s">
        <v>2183</v>
      </c>
      <c r="D131" s="5">
        <v>3.0</v>
      </c>
      <c r="E131" s="5">
        <v>4.0</v>
      </c>
      <c r="F131" s="5" t="s">
        <v>2184</v>
      </c>
      <c r="G131" s="8" t="s">
        <v>1979</v>
      </c>
      <c r="H131" s="5" t="s">
        <v>35</v>
      </c>
      <c r="I131" s="8" t="str">
        <f>IFERROR(__xludf.DUMMYFUNCTION("IF(OR(TRIM(G131)="""",TRIM(H131)=""""),"""",TEXTJOIN("", "",TRUE,ARRAYFORMULA(TRANSPOSE(TRIM(SPLIT(G131,"","")))&amp;""_""&amp;TRIM(SPLIT(H131,"","")))))"),"Elf_Female, Human_Female, Orc_Female")</f>
        <v>Elf_Female, Human_Female, Orc_Female</v>
      </c>
      <c r="J131" s="5" t="s">
        <v>141</v>
      </c>
      <c r="L131" s="12" t="str">
        <f t="shared" si="1"/>
        <v>DintBDOR_Ellaia,3,4</v>
      </c>
    </row>
    <row r="132" ht="15.75" customHeight="1">
      <c r="A132" s="5" t="s">
        <v>143</v>
      </c>
      <c r="B132" s="17"/>
      <c r="C132" s="5" t="s">
        <v>2190</v>
      </c>
      <c r="D132" s="5">
        <v>2.0</v>
      </c>
      <c r="E132" s="5">
        <v>3.0</v>
      </c>
      <c r="F132" s="5" t="s">
        <v>2193</v>
      </c>
      <c r="G132" s="8" t="s">
        <v>1979</v>
      </c>
      <c r="H132" s="5" t="s">
        <v>35</v>
      </c>
      <c r="I132" s="8" t="str">
        <f>IFERROR(__xludf.DUMMYFUNCTION("IF(OR(TRIM(G132)="""",TRIM(H132)=""""),"""",TEXTJOIN("", "",TRUE,ARRAYFORMULA(TRANSPOSE(TRIM(SPLIT(G132,"","")))&amp;""_""&amp;TRIM(SPLIT(H132,"","")))))"),"Elf_Female, Human_Female, Orc_Female")</f>
        <v>Elf_Female, Human_Female, Orc_Female</v>
      </c>
      <c r="J132" s="5" t="s">
        <v>141</v>
      </c>
      <c r="L132" s="12" t="str">
        <f t="shared" si="1"/>
        <v>DintBDOR_Ellamedji,2,3</v>
      </c>
    </row>
    <row r="133" ht="15.75" customHeight="1">
      <c r="A133" s="5" t="s">
        <v>143</v>
      </c>
      <c r="B133" s="18"/>
      <c r="C133" s="5" t="s">
        <v>2201</v>
      </c>
      <c r="D133" s="5">
        <v>2.0</v>
      </c>
      <c r="E133" s="5">
        <v>2.0</v>
      </c>
      <c r="F133" s="5" t="s">
        <v>2204</v>
      </c>
      <c r="G133" s="8" t="s">
        <v>1979</v>
      </c>
      <c r="H133" s="5" t="s">
        <v>35</v>
      </c>
      <c r="I133" s="8" t="str">
        <f>IFERROR(__xludf.DUMMYFUNCTION("IF(OR(TRIM(G133)="""",TRIM(H133)=""""),"""",TEXTJOIN("", "",TRUE,ARRAYFORMULA(TRANSPOSE(TRIM(SPLIT(G133,"","")))&amp;""_""&amp;TRIM(SPLIT(H133,"","")))))"),"Elf_Female, Human_Female, Orc_Female")</f>
        <v>Elf_Female, Human_Female, Orc_Female</v>
      </c>
      <c r="J133" s="5" t="s">
        <v>141</v>
      </c>
      <c r="L133" s="12" t="str">
        <f t="shared" si="1"/>
        <v>DintBDOR_Emmerin,2,2</v>
      </c>
    </row>
    <row r="134" ht="15.75" customHeight="1">
      <c r="A134" s="5" t="s">
        <v>143</v>
      </c>
      <c r="B134" s="18"/>
      <c r="C134" s="5" t="s">
        <v>2213</v>
      </c>
      <c r="D134" s="5">
        <v>2.0</v>
      </c>
      <c r="E134" s="5">
        <v>2.0</v>
      </c>
      <c r="F134" s="5" t="s">
        <v>2214</v>
      </c>
      <c r="G134" s="8" t="s">
        <v>1979</v>
      </c>
      <c r="H134" s="5" t="s">
        <v>35</v>
      </c>
      <c r="I134" s="8" t="str">
        <f>IFERROR(__xludf.DUMMYFUNCTION("IF(OR(TRIM(G134)="""",TRIM(H134)=""""),"""",TEXTJOIN("", "",TRUE,ARRAYFORMULA(TRANSPOSE(TRIM(SPLIT(G134,"","")))&amp;""_""&amp;TRIM(SPLIT(H134,"","")))))"),"Elf_Female, Human_Female, Orc_Female")</f>
        <v>Elf_Female, Human_Female, Orc_Female</v>
      </c>
      <c r="J134" s="5" t="s">
        <v>141</v>
      </c>
      <c r="L134" s="12" t="str">
        <f t="shared" si="1"/>
        <v>DintBDOR_Evalen,2,2</v>
      </c>
    </row>
    <row r="135" ht="15.75" customHeight="1">
      <c r="A135" s="5" t="s">
        <v>143</v>
      </c>
      <c r="B135" s="18"/>
      <c r="C135" s="5" t="s">
        <v>2224</v>
      </c>
      <c r="D135" s="5">
        <v>1.0</v>
      </c>
      <c r="E135" s="5">
        <v>2.0</v>
      </c>
      <c r="F135" s="5" t="s">
        <v>2226</v>
      </c>
      <c r="G135" s="8" t="s">
        <v>1979</v>
      </c>
      <c r="H135" s="5" t="s">
        <v>35</v>
      </c>
      <c r="I135" s="8" t="str">
        <f>IFERROR(__xludf.DUMMYFUNCTION("IF(OR(TRIM(G135)="""",TRIM(H135)=""""),"""",TEXTJOIN("", "",TRUE,ARRAYFORMULA(TRANSPOSE(TRIM(SPLIT(G135,"","")))&amp;""_""&amp;TRIM(SPLIT(H135,"","")))))"),"Elf_Female, Human_Female, Orc_Female")</f>
        <v>Elf_Female, Human_Female, Orc_Female</v>
      </c>
      <c r="J135" s="5" t="s">
        <v>141</v>
      </c>
      <c r="L135" s="12" t="str">
        <f t="shared" si="1"/>
        <v>DintBDOR_Fliex,1,2</v>
      </c>
    </row>
    <row r="136" ht="15.75" customHeight="1">
      <c r="A136" s="5" t="s">
        <v>143</v>
      </c>
      <c r="B136" s="17"/>
      <c r="C136" s="5" t="s">
        <v>2234</v>
      </c>
      <c r="D136" s="5">
        <v>2.0</v>
      </c>
      <c r="E136" s="5">
        <v>3.0</v>
      </c>
      <c r="F136" s="5" t="s">
        <v>2238</v>
      </c>
      <c r="G136" s="8" t="s">
        <v>1979</v>
      </c>
      <c r="H136" s="5" t="s">
        <v>35</v>
      </c>
      <c r="I136" s="8" t="str">
        <f>IFERROR(__xludf.DUMMYFUNCTION("IF(OR(TRIM(G136)="""",TRIM(H136)=""""),"""",TEXTJOIN("", "",TRUE,ARRAYFORMULA(TRANSPOSE(TRIM(SPLIT(G136,"","")))&amp;""_""&amp;TRIM(SPLIT(H136,"","")))))"),"Elf_Female, Human_Female, Orc_Female")</f>
        <v>Elf_Female, Human_Female, Orc_Female</v>
      </c>
      <c r="J136" s="5" t="s">
        <v>141</v>
      </c>
      <c r="L136" s="12" t="str">
        <f t="shared" si="1"/>
        <v>DintBDOR_Fullmewei,2,3</v>
      </c>
    </row>
    <row r="137" ht="15.75" customHeight="1">
      <c r="A137" s="5" t="s">
        <v>143</v>
      </c>
      <c r="B137" s="18"/>
      <c r="C137" s="5" t="s">
        <v>2247</v>
      </c>
      <c r="D137" s="5">
        <v>2.0</v>
      </c>
      <c r="E137" s="5">
        <v>3.0</v>
      </c>
      <c r="F137" s="5" t="s">
        <v>2248</v>
      </c>
      <c r="G137" s="8" t="s">
        <v>1979</v>
      </c>
      <c r="H137" s="5" t="s">
        <v>35</v>
      </c>
      <c r="I137" s="8" t="str">
        <f>IFERROR(__xludf.DUMMYFUNCTION("IF(OR(TRIM(G137)="""",TRIM(H137)=""""),"""",TEXTJOIN("", "",TRUE,ARRAYFORMULA(TRANSPOSE(TRIM(SPLIT(G137,"","")))&amp;""_""&amp;TRIM(SPLIT(H137,"","")))))"),"Elf_Female, Human_Female, Orc_Female")</f>
        <v>Elf_Female, Human_Female, Orc_Female</v>
      </c>
      <c r="J137" s="5" t="s">
        <v>141</v>
      </c>
      <c r="L137" s="12" t="str">
        <f t="shared" si="1"/>
        <v>DintBDOR_Grendfelhna,2,3</v>
      </c>
    </row>
    <row r="138" ht="15.75" customHeight="1">
      <c r="A138" s="5" t="s">
        <v>143</v>
      </c>
      <c r="B138" s="18"/>
      <c r="C138" s="5" t="s">
        <v>2257</v>
      </c>
      <c r="D138" s="5">
        <v>1.0</v>
      </c>
      <c r="E138" s="5">
        <v>2.0</v>
      </c>
      <c r="F138" s="5" t="s">
        <v>2260</v>
      </c>
      <c r="G138" s="8" t="s">
        <v>1979</v>
      </c>
      <c r="H138" s="5" t="s">
        <v>35</v>
      </c>
      <c r="I138" s="8" t="str">
        <f>IFERROR(__xludf.DUMMYFUNCTION("IF(OR(TRIM(G138)="""",TRIM(H138)=""""),"""",TEXTJOIN("", "",TRUE,ARRAYFORMULA(TRANSPOSE(TRIM(SPLIT(G138,"","")))&amp;""_""&amp;TRIM(SPLIT(H138,"","")))))"),"Elf_Female, Human_Female, Orc_Female")</f>
        <v>Elf_Female, Human_Female, Orc_Female</v>
      </c>
      <c r="J138" s="5" t="s">
        <v>141</v>
      </c>
      <c r="L138" s="12" t="str">
        <f t="shared" si="1"/>
        <v>DintBDOR_Groony,1,2</v>
      </c>
    </row>
    <row r="139" ht="15.75" customHeight="1">
      <c r="A139" s="5" t="s">
        <v>143</v>
      </c>
      <c r="B139" s="17"/>
      <c r="C139" s="5" t="s">
        <v>2265</v>
      </c>
      <c r="D139" s="5">
        <v>1.0</v>
      </c>
      <c r="E139" s="5">
        <v>1.0</v>
      </c>
      <c r="F139" s="5" t="s">
        <v>2267</v>
      </c>
      <c r="G139" s="8" t="s">
        <v>1979</v>
      </c>
      <c r="H139" s="5" t="s">
        <v>35</v>
      </c>
      <c r="I139" s="8" t="str">
        <f>IFERROR(__xludf.DUMMYFUNCTION("IF(OR(TRIM(G139)="""",TRIM(H139)=""""),"""",TEXTJOIN("", "",TRUE,ARRAYFORMULA(TRANSPOSE(TRIM(SPLIT(G139,"","")))&amp;""_""&amp;TRIM(SPLIT(H139,"","")))))"),"Elf_Female, Human_Female, Orc_Female")</f>
        <v>Elf_Female, Human_Female, Orc_Female</v>
      </c>
      <c r="J139" s="5" t="s">
        <v>141</v>
      </c>
      <c r="L139" s="12" t="str">
        <f t="shared" si="1"/>
        <v>DintBDOR_Hemi,1,1</v>
      </c>
    </row>
    <row r="140" ht="15.75" customHeight="1">
      <c r="A140" s="5" t="s">
        <v>143</v>
      </c>
      <c r="B140" s="17"/>
      <c r="C140" s="5" t="s">
        <v>2273</v>
      </c>
      <c r="D140" s="5">
        <v>1.0</v>
      </c>
      <c r="E140" s="5">
        <v>1.0</v>
      </c>
      <c r="F140" s="5" t="s">
        <v>2277</v>
      </c>
      <c r="G140" s="8" t="s">
        <v>1979</v>
      </c>
      <c r="H140" s="5" t="s">
        <v>35</v>
      </c>
      <c r="I140" s="8" t="str">
        <f>IFERROR(__xludf.DUMMYFUNCTION("IF(OR(TRIM(G140)="""",TRIM(H140)=""""),"""",TEXTJOIN("", "",TRUE,ARRAYFORMULA(TRANSPOSE(TRIM(SPLIT(G140,"","")))&amp;""_""&amp;TRIM(SPLIT(H140,"","")))))"),"Elf_Female, Human_Female, Orc_Female")</f>
        <v>Elf_Female, Human_Female, Orc_Female</v>
      </c>
      <c r="J140" s="5" t="s">
        <v>141</v>
      </c>
      <c r="L140" s="12" t="str">
        <f t="shared" si="1"/>
        <v>DintBDOR_Homny,1,1</v>
      </c>
    </row>
    <row r="141" ht="15.75" customHeight="1">
      <c r="A141" s="5" t="s">
        <v>143</v>
      </c>
      <c r="B141" s="17"/>
      <c r="C141" s="5" t="s">
        <v>2284</v>
      </c>
      <c r="D141" s="5">
        <v>2.0</v>
      </c>
      <c r="E141" s="5">
        <v>3.0</v>
      </c>
      <c r="F141" s="5" t="s">
        <v>2286</v>
      </c>
      <c r="G141" s="8" t="s">
        <v>1979</v>
      </c>
      <c r="H141" s="5" t="s">
        <v>35</v>
      </c>
      <c r="I141" s="8" t="str">
        <f>IFERROR(__xludf.DUMMYFUNCTION("IF(OR(TRIM(G141)="""",TRIM(H141)=""""),"""",TEXTJOIN("", "",TRUE,ARRAYFORMULA(TRANSPOSE(TRIM(SPLIT(G141,"","")))&amp;""_""&amp;TRIM(SPLIT(H141,"","")))))"),"Elf_Female, Human_Female, Orc_Female")</f>
        <v>Elf_Female, Human_Female, Orc_Female</v>
      </c>
      <c r="J141" s="5" t="s">
        <v>141</v>
      </c>
      <c r="L141" s="12" t="str">
        <f t="shared" si="1"/>
        <v>DintBDOR_Innira,2,3</v>
      </c>
    </row>
    <row r="142" ht="15.75" customHeight="1">
      <c r="A142" s="5" t="s">
        <v>143</v>
      </c>
      <c r="B142" s="18"/>
      <c r="C142" s="5" t="s">
        <v>2295</v>
      </c>
      <c r="D142" s="5">
        <v>1.0</v>
      </c>
      <c r="E142" s="5">
        <v>3.0</v>
      </c>
      <c r="F142" s="5" t="s">
        <v>2296</v>
      </c>
      <c r="G142" s="8" t="s">
        <v>1979</v>
      </c>
      <c r="H142" s="5" t="s">
        <v>35</v>
      </c>
      <c r="I142" s="8" t="str">
        <f>IFERROR(__xludf.DUMMYFUNCTION("IF(OR(TRIM(G142)="""",TRIM(H142)=""""),"""",TEXTJOIN("", "",TRUE,ARRAYFORMULA(TRANSPOSE(TRIM(SPLIT(G142,"","")))&amp;""_""&amp;TRIM(SPLIT(H142,"","")))))"),"Elf_Female, Human_Female, Orc_Female")</f>
        <v>Elf_Female, Human_Female, Orc_Female</v>
      </c>
      <c r="J142" s="5" t="s">
        <v>141</v>
      </c>
      <c r="L142" s="12" t="str">
        <f t="shared" si="1"/>
        <v>DintBDOR_Janny,1,3</v>
      </c>
    </row>
    <row r="143" ht="15.75" customHeight="1">
      <c r="A143" s="5" t="s">
        <v>143</v>
      </c>
      <c r="B143" s="18"/>
      <c r="C143" s="5" t="s">
        <v>2305</v>
      </c>
      <c r="D143" s="5">
        <v>1.0</v>
      </c>
      <c r="E143" s="5">
        <v>2.0</v>
      </c>
      <c r="F143" s="5" t="s">
        <v>2308</v>
      </c>
      <c r="G143" s="8" t="s">
        <v>1979</v>
      </c>
      <c r="H143" s="5" t="s">
        <v>35</v>
      </c>
      <c r="I143" s="8" t="str">
        <f>IFERROR(__xludf.DUMMYFUNCTION("IF(OR(TRIM(G143)="""",TRIM(H143)=""""),"""",TEXTJOIN("", "",TRUE,ARRAYFORMULA(TRANSPOSE(TRIM(SPLIT(G143,"","")))&amp;""_""&amp;TRIM(SPLIT(H143,"","")))))"),"Elf_Female, Human_Female, Orc_Female")</f>
        <v>Elf_Female, Human_Female, Orc_Female</v>
      </c>
      <c r="J143" s="5" t="s">
        <v>141</v>
      </c>
      <c r="L143" s="12" t="str">
        <f t="shared" si="1"/>
        <v>DintBDOR_Kami,1,2</v>
      </c>
    </row>
    <row r="144" ht="15.75" customHeight="1">
      <c r="A144" s="5" t="s">
        <v>143</v>
      </c>
      <c r="B144" s="18"/>
      <c r="C144" s="5" t="s">
        <v>2318</v>
      </c>
      <c r="D144" s="5">
        <v>2.0</v>
      </c>
      <c r="E144" s="5">
        <v>2.0</v>
      </c>
      <c r="F144" s="5" t="s">
        <v>2320</v>
      </c>
      <c r="G144" s="8" t="s">
        <v>1979</v>
      </c>
      <c r="H144" s="5" t="s">
        <v>35</v>
      </c>
      <c r="I144" s="8" t="str">
        <f>IFERROR(__xludf.DUMMYFUNCTION("IF(OR(TRIM(G144)="""",TRIM(H144)=""""),"""",TEXTJOIN("", "",TRUE,ARRAYFORMULA(TRANSPOSE(TRIM(SPLIT(G144,"","")))&amp;""_""&amp;TRIM(SPLIT(H144,"","")))))"),"Elf_Female, Human_Female, Orc_Female")</f>
        <v>Elf_Female, Human_Female, Orc_Female</v>
      </c>
      <c r="J144" s="5" t="s">
        <v>141</v>
      </c>
      <c r="L144" s="12" t="str">
        <f t="shared" si="1"/>
        <v>DintBDOR_Kao,2,2</v>
      </c>
    </row>
    <row r="145" ht="15.75" customHeight="1">
      <c r="A145" s="5" t="s">
        <v>143</v>
      </c>
      <c r="B145" s="18"/>
      <c r="C145" s="5" t="s">
        <v>2330</v>
      </c>
      <c r="D145" s="5">
        <v>1.0</v>
      </c>
      <c r="E145" s="5">
        <v>2.0</v>
      </c>
      <c r="F145" s="5" t="s">
        <v>2331</v>
      </c>
      <c r="G145" s="8" t="s">
        <v>1979</v>
      </c>
      <c r="H145" s="5" t="s">
        <v>35</v>
      </c>
      <c r="I145" s="8" t="str">
        <f>IFERROR(__xludf.DUMMYFUNCTION("IF(OR(TRIM(G145)="""",TRIM(H145)=""""),"""",TEXTJOIN("", "",TRUE,ARRAYFORMULA(TRANSPOSE(TRIM(SPLIT(G145,"","")))&amp;""_""&amp;TRIM(SPLIT(H145,"","")))))"),"Elf_Female, Human_Female, Orc_Female")</f>
        <v>Elf_Female, Human_Female, Orc_Female</v>
      </c>
      <c r="J145" s="5" t="s">
        <v>141</v>
      </c>
      <c r="L145" s="12" t="str">
        <f t="shared" si="1"/>
        <v>DintBDOR_Kara,1,2</v>
      </c>
    </row>
    <row r="146" ht="15.75" customHeight="1">
      <c r="A146" s="5" t="s">
        <v>143</v>
      </c>
      <c r="B146" s="17"/>
      <c r="C146" s="5" t="s">
        <v>2338</v>
      </c>
      <c r="D146" s="5">
        <v>1.0</v>
      </c>
      <c r="E146" s="5">
        <v>3.0</v>
      </c>
      <c r="F146" s="5" t="s">
        <v>2340</v>
      </c>
      <c r="G146" s="8" t="s">
        <v>1979</v>
      </c>
      <c r="H146" s="5" t="s">
        <v>35</v>
      </c>
      <c r="I146" s="8" t="str">
        <f>IFERROR(__xludf.DUMMYFUNCTION("IF(OR(TRIM(G146)="""",TRIM(H146)=""""),"""",TEXTJOIN("", "",TRUE,ARRAYFORMULA(TRANSPOSE(TRIM(SPLIT(G146,"","")))&amp;""_""&amp;TRIM(SPLIT(H146,"","")))))"),"Elf_Female, Human_Female, Orc_Female")</f>
        <v>Elf_Female, Human_Female, Orc_Female</v>
      </c>
      <c r="J146" s="5" t="s">
        <v>141</v>
      </c>
      <c r="L146" s="12" t="str">
        <f t="shared" si="1"/>
        <v>DintBDOR_Karamella,1,3</v>
      </c>
    </row>
    <row r="147" ht="15.75" customHeight="1">
      <c r="A147" s="5" t="s">
        <v>143</v>
      </c>
      <c r="B147" s="18"/>
      <c r="C147" s="5" t="s">
        <v>2347</v>
      </c>
      <c r="D147" s="5">
        <v>1.0</v>
      </c>
      <c r="E147" s="5">
        <v>1.0</v>
      </c>
      <c r="F147" s="5" t="s">
        <v>2349</v>
      </c>
      <c r="G147" s="8" t="s">
        <v>1979</v>
      </c>
      <c r="H147" s="5" t="s">
        <v>35</v>
      </c>
      <c r="I147" s="8" t="str">
        <f>IFERROR(__xludf.DUMMYFUNCTION("IF(OR(TRIM(G147)="""",TRIM(H147)=""""),"""",TEXTJOIN("", "",TRUE,ARRAYFORMULA(TRANSPOSE(TRIM(SPLIT(G147,"","")))&amp;""_""&amp;TRIM(SPLIT(H147,"","")))))"),"Elf_Female, Human_Female, Orc_Female")</f>
        <v>Elf_Female, Human_Female, Orc_Female</v>
      </c>
      <c r="J147" s="5" t="s">
        <v>141</v>
      </c>
      <c r="L147" s="12" t="str">
        <f t="shared" si="1"/>
        <v>DintBDOR_Kayris,1,1</v>
      </c>
    </row>
    <row r="148" ht="15.75" customHeight="1">
      <c r="A148" s="5" t="s">
        <v>143</v>
      </c>
      <c r="B148" s="17"/>
      <c r="C148" s="5" t="s">
        <v>2356</v>
      </c>
      <c r="D148" s="5">
        <v>1.0</v>
      </c>
      <c r="E148" s="5">
        <v>2.0</v>
      </c>
      <c r="F148" s="5" t="s">
        <v>2358</v>
      </c>
      <c r="G148" s="8" t="s">
        <v>1979</v>
      </c>
      <c r="H148" s="5" t="s">
        <v>35</v>
      </c>
      <c r="I148" s="8" t="str">
        <f>IFERROR(__xludf.DUMMYFUNCTION("IF(OR(TRIM(G148)="""",TRIM(H148)=""""),"""",TEXTJOIN("", "",TRUE,ARRAYFORMULA(TRANSPOSE(TRIM(SPLIT(G148,"","")))&amp;""_""&amp;TRIM(SPLIT(H148,"","")))))"),"Elf_Female, Human_Female, Orc_Female")</f>
        <v>Elf_Female, Human_Female, Orc_Female</v>
      </c>
      <c r="J148" s="5" t="s">
        <v>141</v>
      </c>
      <c r="L148" s="12" t="str">
        <f t="shared" si="1"/>
        <v>DintBDOR_Khyon,1,2</v>
      </c>
    </row>
    <row r="149" ht="15.75" customHeight="1">
      <c r="A149" s="5" t="s">
        <v>143</v>
      </c>
      <c r="B149" s="17"/>
      <c r="C149" s="5" t="s">
        <v>2365</v>
      </c>
      <c r="D149" s="5">
        <v>1.0</v>
      </c>
      <c r="E149" s="5">
        <v>1.0</v>
      </c>
      <c r="F149" s="5" t="s">
        <v>2366</v>
      </c>
      <c r="G149" s="8" t="s">
        <v>1979</v>
      </c>
      <c r="H149" s="5" t="s">
        <v>35</v>
      </c>
      <c r="I149" s="8" t="str">
        <f>IFERROR(__xludf.DUMMYFUNCTION("IF(OR(TRIM(G149)="""",TRIM(H149)=""""),"""",TEXTJOIN("", "",TRUE,ARRAYFORMULA(TRANSPOSE(TRIM(SPLIT(G149,"","")))&amp;""_""&amp;TRIM(SPLIT(H149,"","")))))"),"Elf_Female, Human_Female, Orc_Female")</f>
        <v>Elf_Female, Human_Female, Orc_Female</v>
      </c>
      <c r="J149" s="5" t="s">
        <v>141</v>
      </c>
      <c r="L149" s="12" t="str">
        <f t="shared" si="1"/>
        <v>DintBDOR_Klary,1,1</v>
      </c>
    </row>
    <row r="150" ht="15.75" customHeight="1">
      <c r="A150" s="5" t="s">
        <v>143</v>
      </c>
      <c r="B150" s="18"/>
      <c r="C150" s="5" t="s">
        <v>2374</v>
      </c>
      <c r="D150" s="5">
        <v>1.0</v>
      </c>
      <c r="E150" s="5">
        <v>2.0</v>
      </c>
      <c r="F150" s="5" t="s">
        <v>2375</v>
      </c>
      <c r="G150" s="8" t="s">
        <v>1979</v>
      </c>
      <c r="H150" s="5" t="s">
        <v>35</v>
      </c>
      <c r="I150" s="8" t="str">
        <f>IFERROR(__xludf.DUMMYFUNCTION("IF(OR(TRIM(G150)="""",TRIM(H150)=""""),"""",TEXTJOIN("", "",TRUE,ARRAYFORMULA(TRANSPOSE(TRIM(SPLIT(G150,"","")))&amp;""_""&amp;TRIM(SPLIT(H150,"","")))))"),"Elf_Female, Human_Female, Orc_Female")</f>
        <v>Elf_Female, Human_Female, Orc_Female</v>
      </c>
      <c r="J150" s="5" t="s">
        <v>141</v>
      </c>
      <c r="L150" s="12" t="str">
        <f t="shared" si="1"/>
        <v>DintBDOR_Lambretta,1,2</v>
      </c>
    </row>
    <row r="151" ht="15.75" customHeight="1">
      <c r="A151" s="5" t="s">
        <v>143</v>
      </c>
      <c r="B151" s="18"/>
      <c r="C151" s="5" t="s">
        <v>2381</v>
      </c>
      <c r="D151" s="5">
        <v>2.0</v>
      </c>
      <c r="E151" s="5">
        <v>3.0</v>
      </c>
      <c r="F151" s="5" t="s">
        <v>2384</v>
      </c>
      <c r="G151" s="8" t="s">
        <v>1979</v>
      </c>
      <c r="H151" s="5" t="s">
        <v>35</v>
      </c>
      <c r="I151" s="8" t="str">
        <f>IFERROR(__xludf.DUMMYFUNCTION("IF(OR(TRIM(G151)="""",TRIM(H151)=""""),"""",TEXTJOIN("", "",TRUE,ARRAYFORMULA(TRANSPOSE(TRIM(SPLIT(G151,"","")))&amp;""_""&amp;TRIM(SPLIT(H151,"","")))))"),"Elf_Female, Human_Female, Orc_Female")</f>
        <v>Elf_Female, Human_Female, Orc_Female</v>
      </c>
      <c r="J151" s="5" t="s">
        <v>141</v>
      </c>
      <c r="L151" s="12" t="str">
        <f t="shared" si="1"/>
        <v>DintBDOR_Lankra,2,3</v>
      </c>
    </row>
    <row r="152" ht="15.75" customHeight="1">
      <c r="A152" s="5" t="s">
        <v>143</v>
      </c>
      <c r="B152" s="18"/>
      <c r="C152" s="5" t="s">
        <v>2391</v>
      </c>
      <c r="D152" s="5">
        <v>1.0</v>
      </c>
      <c r="E152" s="5">
        <v>1.0</v>
      </c>
      <c r="F152" s="5" t="s">
        <v>2394</v>
      </c>
      <c r="G152" s="8" t="s">
        <v>1979</v>
      </c>
      <c r="H152" s="5" t="s">
        <v>35</v>
      </c>
      <c r="I152" s="8" t="str">
        <f>IFERROR(__xludf.DUMMYFUNCTION("IF(OR(TRIM(G152)="""",TRIM(H152)=""""),"""",TEXTJOIN("", "",TRUE,ARRAYFORMULA(TRANSPOSE(TRIM(SPLIT(G152,"","")))&amp;""_""&amp;TRIM(SPLIT(H152,"","")))))"),"Elf_Female, Human_Female, Orc_Female")</f>
        <v>Elf_Female, Human_Female, Orc_Female</v>
      </c>
      <c r="J152" s="5" t="s">
        <v>141</v>
      </c>
      <c r="L152" s="12" t="str">
        <f t="shared" si="1"/>
        <v>DintBDOR_Leesie,1,1</v>
      </c>
    </row>
    <row r="153" ht="15.75" customHeight="1">
      <c r="A153" s="5" t="s">
        <v>143</v>
      </c>
      <c r="B153" s="17"/>
      <c r="C153" s="5" t="s">
        <v>2400</v>
      </c>
      <c r="D153" s="5">
        <v>3.0</v>
      </c>
      <c r="E153" s="5">
        <v>3.0</v>
      </c>
      <c r="F153" s="5" t="s">
        <v>2402</v>
      </c>
      <c r="G153" s="8" t="s">
        <v>1979</v>
      </c>
      <c r="H153" s="5" t="s">
        <v>35</v>
      </c>
      <c r="I153" s="8" t="str">
        <f>IFERROR(__xludf.DUMMYFUNCTION("IF(OR(TRIM(G153)="""",TRIM(H153)=""""),"""",TEXTJOIN("", "",TRUE,ARRAYFORMULA(TRANSPOSE(TRIM(SPLIT(G153,"","")))&amp;""_""&amp;TRIM(SPLIT(H153,"","")))))"),"Elf_Female, Human_Female, Orc_Female")</f>
        <v>Elf_Female, Human_Female, Orc_Female</v>
      </c>
      <c r="J153" s="5" t="s">
        <v>141</v>
      </c>
      <c r="L153" s="12" t="str">
        <f t="shared" si="1"/>
        <v>DintBDOR_Leona,3,3</v>
      </c>
    </row>
    <row r="154" ht="15.75" customHeight="1">
      <c r="A154" s="5" t="s">
        <v>143</v>
      </c>
      <c r="B154" s="18"/>
      <c r="C154" s="5" t="s">
        <v>2410</v>
      </c>
      <c r="D154" s="5">
        <v>1.0</v>
      </c>
      <c r="E154" s="5">
        <v>3.0</v>
      </c>
      <c r="F154" s="5" t="s">
        <v>2411</v>
      </c>
      <c r="G154" s="8" t="s">
        <v>1979</v>
      </c>
      <c r="H154" s="5" t="s">
        <v>35</v>
      </c>
      <c r="I154" s="8" t="str">
        <f>IFERROR(__xludf.DUMMYFUNCTION("IF(OR(TRIM(G154)="""",TRIM(H154)=""""),"""",TEXTJOIN("", "",TRUE,ARRAYFORMULA(TRANSPOSE(TRIM(SPLIT(G154,"","")))&amp;""_""&amp;TRIM(SPLIT(H154,"","")))))"),"Elf_Female, Human_Female, Orc_Female")</f>
        <v>Elf_Female, Human_Female, Orc_Female</v>
      </c>
      <c r="J154" s="5" t="s">
        <v>141</v>
      </c>
      <c r="L154" s="12" t="str">
        <f t="shared" si="1"/>
        <v>DintBDOR_Lexar,1,3</v>
      </c>
    </row>
    <row r="155" ht="15.75" customHeight="1">
      <c r="A155" s="5" t="s">
        <v>143</v>
      </c>
      <c r="B155" s="18"/>
      <c r="C155" s="5" t="s">
        <v>2419</v>
      </c>
      <c r="D155" s="5">
        <v>2.0</v>
      </c>
      <c r="E155" s="5">
        <v>2.0</v>
      </c>
      <c r="F155" s="5" t="s">
        <v>2421</v>
      </c>
      <c r="G155" s="8" t="s">
        <v>1979</v>
      </c>
      <c r="H155" s="5" t="s">
        <v>35</v>
      </c>
      <c r="I155" s="8" t="str">
        <f>IFERROR(__xludf.DUMMYFUNCTION("IF(OR(TRIM(G155)="""",TRIM(H155)=""""),"""",TEXTJOIN("", "",TRUE,ARRAYFORMULA(TRANSPOSE(TRIM(SPLIT(G155,"","")))&amp;""_""&amp;TRIM(SPLIT(H155,"","")))))"),"Elf_Female, Human_Female, Orc_Female")</f>
        <v>Elf_Female, Human_Female, Orc_Female</v>
      </c>
      <c r="J155" s="5" t="s">
        <v>141</v>
      </c>
      <c r="L155" s="12" t="str">
        <f t="shared" si="1"/>
        <v>DintBDOR_Limn,2,2</v>
      </c>
    </row>
    <row r="156" ht="15.75" customHeight="1">
      <c r="A156" s="5" t="s">
        <v>143</v>
      </c>
      <c r="B156" s="18"/>
      <c r="C156" s="5" t="s">
        <v>2428</v>
      </c>
      <c r="D156" s="5">
        <v>2.0</v>
      </c>
      <c r="E156" s="5">
        <v>3.0</v>
      </c>
      <c r="F156" s="5" t="s">
        <v>2431</v>
      </c>
      <c r="G156" s="8" t="s">
        <v>1979</v>
      </c>
      <c r="H156" s="5" t="s">
        <v>35</v>
      </c>
      <c r="I156" s="8" t="str">
        <f>IFERROR(__xludf.DUMMYFUNCTION("IF(OR(TRIM(G156)="""",TRIM(H156)=""""),"""",TEXTJOIN("", "",TRUE,ARRAYFORMULA(TRANSPOSE(TRIM(SPLIT(G156,"","")))&amp;""_""&amp;TRIM(SPLIT(H156,"","")))))"),"Elf_Female, Human_Female, Orc_Female")</f>
        <v>Elf_Female, Human_Female, Orc_Female</v>
      </c>
      <c r="J156" s="5" t="s">
        <v>141</v>
      </c>
      <c r="L156" s="12" t="str">
        <f t="shared" si="1"/>
        <v>DintBDOR_Luanda,2,3</v>
      </c>
    </row>
    <row r="157" ht="15.75" customHeight="1">
      <c r="A157" s="5" t="s">
        <v>143</v>
      </c>
      <c r="B157" s="17"/>
      <c r="C157" s="5" t="s">
        <v>2437</v>
      </c>
      <c r="D157" s="5">
        <v>1.0</v>
      </c>
      <c r="E157" s="5">
        <v>1.0</v>
      </c>
      <c r="F157" s="5" t="s">
        <v>2438</v>
      </c>
      <c r="G157" s="8" t="s">
        <v>1979</v>
      </c>
      <c r="H157" s="5" t="s">
        <v>35</v>
      </c>
      <c r="I157" s="8" t="str">
        <f>IFERROR(__xludf.DUMMYFUNCTION("IF(OR(TRIM(G157)="""",TRIM(H157)=""""),"""",TEXTJOIN("", "",TRUE,ARRAYFORMULA(TRANSPOSE(TRIM(SPLIT(G157,"","")))&amp;""_""&amp;TRIM(SPLIT(H157,"","")))))"),"Elf_Female, Human_Female, Orc_Female")</f>
        <v>Elf_Female, Human_Female, Orc_Female</v>
      </c>
      <c r="J157" s="5" t="s">
        <v>141</v>
      </c>
      <c r="L157" s="12" t="str">
        <f t="shared" si="1"/>
        <v>DintBDOR_Maarin,1,1</v>
      </c>
    </row>
    <row r="158" ht="15.75" customHeight="1">
      <c r="A158" s="5" t="s">
        <v>143</v>
      </c>
      <c r="B158" s="18"/>
      <c r="C158" s="5" t="s">
        <v>2447</v>
      </c>
      <c r="D158" s="5">
        <v>1.0</v>
      </c>
      <c r="E158" s="5">
        <v>3.0</v>
      </c>
      <c r="F158" s="5" t="s">
        <v>2450</v>
      </c>
      <c r="G158" s="8" t="s">
        <v>1979</v>
      </c>
      <c r="H158" s="5" t="s">
        <v>35</v>
      </c>
      <c r="I158" s="8" t="str">
        <f>IFERROR(__xludf.DUMMYFUNCTION("IF(OR(TRIM(G158)="""",TRIM(H158)=""""),"""",TEXTJOIN("", "",TRUE,ARRAYFORMULA(TRANSPOSE(TRIM(SPLIT(G158,"","")))&amp;""_""&amp;TRIM(SPLIT(H158,"","")))))"),"Elf_Female, Human_Female, Orc_Female")</f>
        <v>Elf_Female, Human_Female, Orc_Female</v>
      </c>
      <c r="J158" s="5" t="s">
        <v>141</v>
      </c>
      <c r="L158" s="12" t="str">
        <f t="shared" si="1"/>
        <v>DintBDOR_Magdalena,1,3</v>
      </c>
    </row>
    <row r="159" ht="15.75" customHeight="1">
      <c r="A159" s="5" t="s">
        <v>143</v>
      </c>
      <c r="B159" s="18"/>
      <c r="C159" s="5" t="s">
        <v>2460</v>
      </c>
      <c r="D159" s="5">
        <v>1.0</v>
      </c>
      <c r="E159" s="5">
        <v>3.0</v>
      </c>
      <c r="F159" s="5" t="s">
        <v>2461</v>
      </c>
      <c r="G159" s="8" t="s">
        <v>1979</v>
      </c>
      <c r="H159" s="5" t="s">
        <v>35</v>
      </c>
      <c r="I159" s="8" t="str">
        <f>IFERROR(__xludf.DUMMYFUNCTION("IF(OR(TRIM(G159)="""",TRIM(H159)=""""),"""",TEXTJOIN("", "",TRUE,ARRAYFORMULA(TRANSPOSE(TRIM(SPLIT(G159,"","")))&amp;""_""&amp;TRIM(SPLIT(H159,"","")))))"),"Elf_Female, Human_Female, Orc_Female")</f>
        <v>Elf_Female, Human_Female, Orc_Female</v>
      </c>
      <c r="J159" s="5" t="s">
        <v>141</v>
      </c>
      <c r="L159" s="12" t="str">
        <f t="shared" si="1"/>
        <v>DintBDOR_Magnifeta,1,3</v>
      </c>
    </row>
    <row r="160" ht="15.75" customHeight="1">
      <c r="A160" s="5" t="s">
        <v>143</v>
      </c>
      <c r="B160" s="18"/>
      <c r="C160" s="5" t="s">
        <v>2469</v>
      </c>
      <c r="D160" s="5">
        <v>1.0</v>
      </c>
      <c r="E160" s="5">
        <v>3.0</v>
      </c>
      <c r="F160" s="5" t="s">
        <v>2471</v>
      </c>
      <c r="G160" s="8" t="s">
        <v>1979</v>
      </c>
      <c r="H160" s="5" t="s">
        <v>35</v>
      </c>
      <c r="I160" s="8" t="str">
        <f>IFERROR(__xludf.DUMMYFUNCTION("IF(OR(TRIM(G160)="""",TRIM(H160)=""""),"""",TEXTJOIN("", "",TRUE,ARRAYFORMULA(TRANSPOSE(TRIM(SPLIT(G160,"","")))&amp;""_""&amp;TRIM(SPLIT(H160,"","")))))"),"Elf_Female, Human_Female, Orc_Female")</f>
        <v>Elf_Female, Human_Female, Orc_Female</v>
      </c>
      <c r="J160" s="5" t="s">
        <v>141</v>
      </c>
      <c r="L160" s="12" t="str">
        <f t="shared" si="1"/>
        <v>DintBDOR_Magnolia,1,3</v>
      </c>
    </row>
    <row r="161" ht="15.75" customHeight="1">
      <c r="A161" s="5" t="s">
        <v>143</v>
      </c>
      <c r="B161" s="18"/>
      <c r="C161" s="5" t="s">
        <v>2482</v>
      </c>
      <c r="D161" s="5">
        <v>1.0</v>
      </c>
      <c r="E161" s="5">
        <v>3.0</v>
      </c>
      <c r="F161" s="5" t="s">
        <v>2483</v>
      </c>
      <c r="G161" s="8" t="s">
        <v>1979</v>
      </c>
      <c r="H161" s="5" t="s">
        <v>35</v>
      </c>
      <c r="I161" s="8" t="str">
        <f>IFERROR(__xludf.DUMMYFUNCTION("IF(OR(TRIM(G161)="""",TRIM(H161)=""""),"""",TEXTJOIN("", "",TRUE,ARRAYFORMULA(TRANSPOSE(TRIM(SPLIT(G161,"","")))&amp;""_""&amp;TRIM(SPLIT(H161,"","")))))"),"Elf_Female, Human_Female, Orc_Female")</f>
        <v>Elf_Female, Human_Female, Orc_Female</v>
      </c>
      <c r="J161" s="5" t="s">
        <v>141</v>
      </c>
      <c r="L161" s="12" t="str">
        <f t="shared" si="1"/>
        <v>DintBDOR_Marianne,1,3</v>
      </c>
    </row>
    <row r="162" ht="15.75" customHeight="1">
      <c r="A162" s="5" t="s">
        <v>143</v>
      </c>
      <c r="B162" s="18"/>
      <c r="C162" s="5" t="s">
        <v>2490</v>
      </c>
      <c r="D162" s="5">
        <v>2.0</v>
      </c>
      <c r="E162" s="5">
        <v>3.0</v>
      </c>
      <c r="F162" s="5" t="s">
        <v>2491</v>
      </c>
      <c r="G162" s="8" t="s">
        <v>1979</v>
      </c>
      <c r="H162" s="5" t="s">
        <v>35</v>
      </c>
      <c r="I162" s="8" t="str">
        <f>IFERROR(__xludf.DUMMYFUNCTION("IF(OR(TRIM(G162)="""",TRIM(H162)=""""),"""",TEXTJOIN("", "",TRUE,ARRAYFORMULA(TRANSPOSE(TRIM(SPLIT(G162,"","")))&amp;""_""&amp;TRIM(SPLIT(H162,"","")))))"),"Elf_Female, Human_Female, Orc_Female")</f>
        <v>Elf_Female, Human_Female, Orc_Female</v>
      </c>
      <c r="J162" s="5" t="s">
        <v>141</v>
      </c>
      <c r="L162" s="12" t="str">
        <f t="shared" si="1"/>
        <v>DintBDOR_Maverna,2,3</v>
      </c>
    </row>
    <row r="163" ht="15.75" customHeight="1">
      <c r="A163" s="5" t="s">
        <v>143</v>
      </c>
      <c r="B163" s="17"/>
      <c r="C163" s="5" t="s">
        <v>2497</v>
      </c>
      <c r="D163" s="5">
        <v>1.0</v>
      </c>
      <c r="E163" s="5">
        <v>1.0</v>
      </c>
      <c r="F163" s="5" t="s">
        <v>2501</v>
      </c>
      <c r="G163" s="8" t="s">
        <v>1979</v>
      </c>
      <c r="H163" s="5" t="s">
        <v>35</v>
      </c>
      <c r="I163" s="8" t="str">
        <f>IFERROR(__xludf.DUMMYFUNCTION("IF(OR(TRIM(G163)="""",TRIM(H163)=""""),"""",TEXTJOIN("", "",TRUE,ARRAYFORMULA(TRANSPOSE(TRIM(SPLIT(G163,"","")))&amp;""_""&amp;TRIM(SPLIT(H163,"","")))))"),"Elf_Female, Human_Female, Orc_Female")</f>
        <v>Elf_Female, Human_Female, Orc_Female</v>
      </c>
      <c r="J163" s="5" t="s">
        <v>141</v>
      </c>
      <c r="L163" s="12" t="str">
        <f t="shared" si="1"/>
        <v>DintBDOR_May,1,1</v>
      </c>
    </row>
    <row r="164" ht="15.75" customHeight="1">
      <c r="A164" s="5" t="s">
        <v>143</v>
      </c>
      <c r="B164" s="17"/>
      <c r="C164" s="5" t="s">
        <v>2509</v>
      </c>
      <c r="D164" s="5">
        <v>1.0</v>
      </c>
      <c r="E164" s="5">
        <v>1.0</v>
      </c>
      <c r="F164" s="5" t="s">
        <v>2510</v>
      </c>
      <c r="G164" s="8" t="s">
        <v>1979</v>
      </c>
      <c r="H164" s="5" t="s">
        <v>35</v>
      </c>
      <c r="I164" s="8" t="str">
        <f>IFERROR(__xludf.DUMMYFUNCTION("IF(OR(TRIM(G164)="""",TRIM(H164)=""""),"""",TEXTJOIN("", "",TRUE,ARRAYFORMULA(TRANSPOSE(TRIM(SPLIT(G164,"","")))&amp;""_""&amp;TRIM(SPLIT(H164,"","")))))"),"Elf_Female, Human_Female, Orc_Female")</f>
        <v>Elf_Female, Human_Female, Orc_Female</v>
      </c>
      <c r="J164" s="5" t="s">
        <v>141</v>
      </c>
      <c r="L164" s="12" t="str">
        <f t="shared" si="1"/>
        <v>DintBDOR_Meyvet,1,1</v>
      </c>
    </row>
    <row r="165" ht="15.75" customHeight="1">
      <c r="A165" s="5" t="s">
        <v>143</v>
      </c>
      <c r="B165" s="18"/>
      <c r="C165" s="5" t="s">
        <v>2518</v>
      </c>
      <c r="D165" s="5">
        <v>1.0</v>
      </c>
      <c r="E165" s="5">
        <v>3.0</v>
      </c>
      <c r="F165" s="5" t="s">
        <v>2519</v>
      </c>
      <c r="G165" s="8" t="s">
        <v>1979</v>
      </c>
      <c r="H165" s="5" t="s">
        <v>35</v>
      </c>
      <c r="I165" s="8" t="str">
        <f>IFERROR(__xludf.DUMMYFUNCTION("IF(OR(TRIM(G165)="""",TRIM(H165)=""""),"""",TEXTJOIN("", "",TRUE,ARRAYFORMULA(TRANSPOSE(TRIM(SPLIT(G165,"","")))&amp;""_""&amp;TRIM(SPLIT(H165,"","")))))"),"Elf_Female, Human_Female, Orc_Female")</f>
        <v>Elf_Female, Human_Female, Orc_Female</v>
      </c>
      <c r="J165" s="5" t="s">
        <v>141</v>
      </c>
      <c r="L165" s="12" t="str">
        <f t="shared" si="1"/>
        <v>DintBDOR_Millay,1,3</v>
      </c>
    </row>
    <row r="166" ht="15.75" customHeight="1">
      <c r="A166" s="5" t="s">
        <v>143</v>
      </c>
      <c r="B166" s="18"/>
      <c r="C166" s="5" t="s">
        <v>2529</v>
      </c>
      <c r="D166" s="5">
        <v>1.0</v>
      </c>
      <c r="E166" s="5">
        <v>3.0</v>
      </c>
      <c r="F166" s="5" t="s">
        <v>2532</v>
      </c>
      <c r="G166" s="8" t="s">
        <v>1979</v>
      </c>
      <c r="H166" s="5" t="s">
        <v>35</v>
      </c>
      <c r="I166" s="8" t="str">
        <f>IFERROR(__xludf.DUMMYFUNCTION("IF(OR(TRIM(G166)="""",TRIM(H166)=""""),"""",TEXTJOIN("", "",TRUE,ARRAYFORMULA(TRANSPOSE(TRIM(SPLIT(G166,"","")))&amp;""_""&amp;TRIM(SPLIT(H166,"","")))))"),"Elf_Female, Human_Female, Orc_Female")</f>
        <v>Elf_Female, Human_Female, Orc_Female</v>
      </c>
      <c r="J166" s="5" t="s">
        <v>141</v>
      </c>
      <c r="L166" s="12" t="str">
        <f t="shared" si="1"/>
        <v>DintBDOR_Mivileya,1,3</v>
      </c>
    </row>
    <row r="167" ht="15.75" customHeight="1">
      <c r="A167" s="5" t="s">
        <v>143</v>
      </c>
      <c r="B167" s="18"/>
      <c r="C167" s="5" t="s">
        <v>2543</v>
      </c>
      <c r="D167" s="5">
        <v>1.0</v>
      </c>
      <c r="E167" s="5">
        <v>2.0</v>
      </c>
      <c r="F167" s="5" t="s">
        <v>2545</v>
      </c>
      <c r="G167" s="8" t="s">
        <v>1979</v>
      </c>
      <c r="H167" s="5" t="s">
        <v>35</v>
      </c>
      <c r="I167" s="8" t="str">
        <f>IFERROR(__xludf.DUMMYFUNCTION("IF(OR(TRIM(G167)="""",TRIM(H167)=""""),"""",TEXTJOIN("", "",TRUE,ARRAYFORMULA(TRANSPOSE(TRIM(SPLIT(G167,"","")))&amp;""_""&amp;TRIM(SPLIT(H167,"","")))))"),"Elf_Female, Human_Female, Orc_Female")</f>
        <v>Elf_Female, Human_Female, Orc_Female</v>
      </c>
      <c r="J167" s="5" t="s">
        <v>141</v>
      </c>
      <c r="L167" s="12" t="str">
        <f t="shared" si="1"/>
        <v>DintBDOR_Mowol,1,2</v>
      </c>
    </row>
    <row r="168" ht="15.75" customHeight="1">
      <c r="A168" s="5" t="s">
        <v>143</v>
      </c>
      <c r="B168" s="18"/>
      <c r="C168" s="5" t="s">
        <v>2550</v>
      </c>
      <c r="D168" s="5">
        <v>1.0</v>
      </c>
      <c r="E168" s="5">
        <v>3.0</v>
      </c>
      <c r="F168" s="5" t="s">
        <v>2551</v>
      </c>
      <c r="G168" s="8" t="s">
        <v>1979</v>
      </c>
      <c r="H168" s="5" t="s">
        <v>35</v>
      </c>
      <c r="I168" s="8" t="str">
        <f>IFERROR(__xludf.DUMMYFUNCTION("IF(OR(TRIM(G168)="""",TRIM(H168)=""""),"""",TEXTJOIN("", "",TRUE,ARRAYFORMULA(TRANSPOSE(TRIM(SPLIT(G168,"","")))&amp;""_""&amp;TRIM(SPLIT(H168,"","")))))"),"Elf_Female, Human_Female, Orc_Female")</f>
        <v>Elf_Female, Human_Female, Orc_Female</v>
      </c>
      <c r="J168" s="5" t="s">
        <v>141</v>
      </c>
      <c r="L168" s="12" t="str">
        <f t="shared" si="1"/>
        <v>DintBDOR_Myriad,1,3</v>
      </c>
    </row>
    <row r="169" ht="15.75" customHeight="1">
      <c r="A169" s="5" t="s">
        <v>143</v>
      </c>
      <c r="B169" s="17"/>
      <c r="C169" s="5" t="s">
        <v>2558</v>
      </c>
      <c r="D169" s="5">
        <v>1.0</v>
      </c>
      <c r="E169" s="5">
        <v>1.0</v>
      </c>
      <c r="F169" s="5" t="s">
        <v>2559</v>
      </c>
      <c r="G169" s="8" t="s">
        <v>1979</v>
      </c>
      <c r="H169" s="5" t="s">
        <v>35</v>
      </c>
      <c r="I169" s="8" t="str">
        <f>IFERROR(__xludf.DUMMYFUNCTION("IF(OR(TRIM(G169)="""",TRIM(H169)=""""),"""",TEXTJOIN("", "",TRUE,ARRAYFORMULA(TRANSPOSE(TRIM(SPLIT(G169,"","")))&amp;""_""&amp;TRIM(SPLIT(H169,"","")))))"),"Elf_Female, Human_Female, Orc_Female")</f>
        <v>Elf_Female, Human_Female, Orc_Female</v>
      </c>
      <c r="J169" s="5" t="s">
        <v>141</v>
      </c>
      <c r="L169" s="12" t="str">
        <f t="shared" si="1"/>
        <v>DintBDOR_Naniri,1,1</v>
      </c>
    </row>
    <row r="170" ht="15.75" customHeight="1">
      <c r="A170" s="5" t="s">
        <v>143</v>
      </c>
      <c r="B170" s="18"/>
      <c r="C170" s="5" t="s">
        <v>2566</v>
      </c>
      <c r="D170" s="5">
        <v>1.0</v>
      </c>
      <c r="E170" s="5">
        <v>2.0</v>
      </c>
      <c r="F170" s="5" t="s">
        <v>2567</v>
      </c>
      <c r="G170" s="8" t="s">
        <v>1979</v>
      </c>
      <c r="H170" s="5" t="s">
        <v>35</v>
      </c>
      <c r="I170" s="8" t="str">
        <f>IFERROR(__xludf.DUMMYFUNCTION("IF(OR(TRIM(G170)="""",TRIM(H170)=""""),"""",TEXTJOIN("", "",TRUE,ARRAYFORMULA(TRANSPOSE(TRIM(SPLIT(G170,"","")))&amp;""_""&amp;TRIM(SPLIT(H170,"","")))))"),"Elf_Female, Human_Female, Orc_Female")</f>
        <v>Elf_Female, Human_Female, Orc_Female</v>
      </c>
      <c r="J170" s="5" t="s">
        <v>141</v>
      </c>
      <c r="L170" s="12" t="str">
        <f t="shared" si="1"/>
        <v>DintBDOR_Nerane,1,2</v>
      </c>
    </row>
    <row r="171" ht="15.75" customHeight="1">
      <c r="A171" s="5" t="s">
        <v>143</v>
      </c>
      <c r="B171" s="18"/>
      <c r="C171" s="5" t="s">
        <v>2573</v>
      </c>
      <c r="D171" s="5">
        <v>1.0</v>
      </c>
      <c r="E171" s="5">
        <v>2.0</v>
      </c>
      <c r="F171" s="5" t="s">
        <v>2575</v>
      </c>
      <c r="G171" s="8" t="s">
        <v>1979</v>
      </c>
      <c r="H171" s="5" t="s">
        <v>35</v>
      </c>
      <c r="I171" s="8" t="str">
        <f>IFERROR(__xludf.DUMMYFUNCTION("IF(OR(TRIM(G171)="""",TRIM(H171)=""""),"""",TEXTJOIN("", "",TRUE,ARRAYFORMULA(TRANSPOSE(TRIM(SPLIT(G171,"","")))&amp;""_""&amp;TRIM(SPLIT(H171,"","")))))"),"Elf_Female, Human_Female, Orc_Female")</f>
        <v>Elf_Female, Human_Female, Orc_Female</v>
      </c>
      <c r="J171" s="5" t="s">
        <v>141</v>
      </c>
      <c r="L171" s="12" t="str">
        <f t="shared" si="1"/>
        <v>DintBDOR_Nerra,1,2</v>
      </c>
    </row>
    <row r="172" ht="15.75" customHeight="1">
      <c r="A172" s="5" t="s">
        <v>143</v>
      </c>
      <c r="B172" s="17"/>
      <c r="C172" s="5" t="s">
        <v>2584</v>
      </c>
      <c r="D172" s="5">
        <v>1.0</v>
      </c>
      <c r="E172" s="5">
        <v>1.0</v>
      </c>
      <c r="F172" s="5" t="s">
        <v>2587</v>
      </c>
      <c r="G172" s="8" t="s">
        <v>1979</v>
      </c>
      <c r="H172" s="5" t="s">
        <v>35</v>
      </c>
      <c r="I172" s="8" t="str">
        <f>IFERROR(__xludf.DUMMYFUNCTION("IF(OR(TRIM(G172)="""",TRIM(H172)=""""),"""",TEXTJOIN("", "",TRUE,ARRAYFORMULA(TRANSPOSE(TRIM(SPLIT(G172,"","")))&amp;""_""&amp;TRIM(SPLIT(H172,"","")))))"),"Elf_Female, Human_Female, Orc_Female")</f>
        <v>Elf_Female, Human_Female, Orc_Female</v>
      </c>
      <c r="J172" s="5" t="s">
        <v>141</v>
      </c>
      <c r="L172" s="12" t="str">
        <f t="shared" si="1"/>
        <v>DintBDOR_Norren,1,1</v>
      </c>
    </row>
    <row r="173" ht="15.75" customHeight="1">
      <c r="A173" s="5" t="s">
        <v>143</v>
      </c>
      <c r="B173" s="18"/>
      <c r="C173" s="5" t="s">
        <v>2592</v>
      </c>
      <c r="D173" s="5">
        <v>2.0</v>
      </c>
      <c r="E173" s="5">
        <v>2.0</v>
      </c>
      <c r="F173" s="5" t="s">
        <v>2595</v>
      </c>
      <c r="G173" s="8" t="s">
        <v>1979</v>
      </c>
      <c r="H173" s="5" t="s">
        <v>35</v>
      </c>
      <c r="I173" s="8" t="str">
        <f>IFERROR(__xludf.DUMMYFUNCTION("IF(OR(TRIM(G173)="""",TRIM(H173)=""""),"""",TEXTJOIN("", "",TRUE,ARRAYFORMULA(TRANSPOSE(TRIM(SPLIT(G173,"","")))&amp;""_""&amp;TRIM(SPLIT(H173,"","")))))"),"Elf_Female, Human_Female, Orc_Female")</f>
        <v>Elf_Female, Human_Female, Orc_Female</v>
      </c>
      <c r="J173" s="5" t="s">
        <v>141</v>
      </c>
      <c r="L173" s="12" t="str">
        <f t="shared" si="1"/>
        <v>DintBDOR_Nyx,2,2</v>
      </c>
    </row>
    <row r="174" ht="15.75" customHeight="1">
      <c r="A174" s="5" t="s">
        <v>143</v>
      </c>
      <c r="B174" s="18"/>
      <c r="C174" s="5" t="s">
        <v>2599</v>
      </c>
      <c r="D174" s="5">
        <v>2.0</v>
      </c>
      <c r="E174" s="5">
        <v>2.0</v>
      </c>
      <c r="F174" s="5" t="s">
        <v>2602</v>
      </c>
      <c r="G174" s="8" t="s">
        <v>1979</v>
      </c>
      <c r="H174" s="5" t="s">
        <v>35</v>
      </c>
      <c r="I174" s="8" t="str">
        <f>IFERROR(__xludf.DUMMYFUNCTION("IF(OR(TRIM(G174)="""",TRIM(H174)=""""),"""",TEXTJOIN("", "",TRUE,ARRAYFORMULA(TRANSPOSE(TRIM(SPLIT(G174,"","")))&amp;""_""&amp;TRIM(SPLIT(H174,"","")))))"),"Elf_Female, Human_Female, Orc_Female")</f>
        <v>Elf_Female, Human_Female, Orc_Female</v>
      </c>
      <c r="J174" s="5" t="s">
        <v>141</v>
      </c>
      <c r="L174" s="12" t="str">
        <f t="shared" si="1"/>
        <v>DintBDOR_Ollivfiera,2,2</v>
      </c>
    </row>
    <row r="175" ht="15.75" customHeight="1">
      <c r="A175" s="5" t="s">
        <v>143</v>
      </c>
      <c r="B175" s="18"/>
      <c r="C175" s="5" t="s">
        <v>2608</v>
      </c>
      <c r="D175" s="5">
        <v>2.0</v>
      </c>
      <c r="E175" s="5">
        <v>2.0</v>
      </c>
      <c r="F175" s="5" t="s">
        <v>2610</v>
      </c>
      <c r="G175" s="8" t="s">
        <v>1979</v>
      </c>
      <c r="H175" s="5" t="s">
        <v>35</v>
      </c>
      <c r="I175" s="8" t="str">
        <f>IFERROR(__xludf.DUMMYFUNCTION("IF(OR(TRIM(G175)="""",TRIM(H175)=""""),"""",TEXTJOIN("", "",TRUE,ARRAYFORMULA(TRANSPOSE(TRIM(SPLIT(G175,"","")))&amp;""_""&amp;TRIM(SPLIT(H175,"","")))))"),"Elf_Female, Human_Female, Orc_Female")</f>
        <v>Elf_Female, Human_Female, Orc_Female</v>
      </c>
      <c r="J175" s="5" t="s">
        <v>141</v>
      </c>
      <c r="L175" s="12" t="str">
        <f t="shared" si="1"/>
        <v>DintBDOR_Palnm,2,2</v>
      </c>
    </row>
    <row r="176" ht="15.75" customHeight="1">
      <c r="A176" s="5" t="s">
        <v>143</v>
      </c>
      <c r="B176" s="18"/>
      <c r="C176" s="5" t="s">
        <v>2617</v>
      </c>
      <c r="D176" s="5">
        <v>2.0</v>
      </c>
      <c r="E176" s="5">
        <v>3.0</v>
      </c>
      <c r="F176" s="5" t="s">
        <v>2620</v>
      </c>
      <c r="G176" s="8" t="s">
        <v>1979</v>
      </c>
      <c r="H176" s="5" t="s">
        <v>35</v>
      </c>
      <c r="I176" s="8" t="str">
        <f>IFERROR(__xludf.DUMMYFUNCTION("IF(OR(TRIM(G176)="""",TRIM(H176)=""""),"""",TEXTJOIN("", "",TRUE,ARRAYFORMULA(TRANSPOSE(TRIM(SPLIT(G176,"","")))&amp;""_""&amp;TRIM(SPLIT(H176,"","")))))"),"Elf_Female, Human_Female, Orc_Female")</f>
        <v>Elf_Female, Human_Female, Orc_Female</v>
      </c>
      <c r="J176" s="5" t="s">
        <v>141</v>
      </c>
      <c r="L176" s="12" t="str">
        <f t="shared" si="1"/>
        <v>DintBDOR_Paramella,2,3</v>
      </c>
    </row>
    <row r="177" ht="15.75" customHeight="1">
      <c r="A177" s="5" t="s">
        <v>143</v>
      </c>
      <c r="B177" s="17"/>
      <c r="C177" s="5" t="s">
        <v>2627</v>
      </c>
      <c r="D177" s="5">
        <v>1.0</v>
      </c>
      <c r="E177" s="5">
        <v>1.0</v>
      </c>
      <c r="F177" s="5" t="s">
        <v>2629</v>
      </c>
      <c r="G177" s="8" t="s">
        <v>1979</v>
      </c>
      <c r="H177" s="5" t="s">
        <v>35</v>
      </c>
      <c r="I177" s="8" t="str">
        <f>IFERROR(__xludf.DUMMYFUNCTION("IF(OR(TRIM(G177)="""",TRIM(H177)=""""),"""",TEXTJOIN("", "",TRUE,ARRAYFORMULA(TRANSPOSE(TRIM(SPLIT(G177,"","")))&amp;""_""&amp;TRIM(SPLIT(H177,"","")))))"),"Elf_Female, Human_Female, Orc_Female")</f>
        <v>Elf_Female, Human_Female, Orc_Female</v>
      </c>
      <c r="J177" s="5" t="s">
        <v>141</v>
      </c>
      <c r="L177" s="12" t="str">
        <f t="shared" si="1"/>
        <v>DintBDOR_Pimpy,1,1</v>
      </c>
    </row>
    <row r="178" ht="15.75" customHeight="1">
      <c r="A178" s="5" t="s">
        <v>143</v>
      </c>
      <c r="B178" s="18"/>
      <c r="C178" s="5" t="s">
        <v>2637</v>
      </c>
      <c r="D178" s="5">
        <v>1.0</v>
      </c>
      <c r="E178" s="5">
        <v>3.0</v>
      </c>
      <c r="F178" s="5" t="s">
        <v>2639</v>
      </c>
      <c r="G178" s="8" t="s">
        <v>1979</v>
      </c>
      <c r="H178" s="5" t="s">
        <v>35</v>
      </c>
      <c r="I178" s="8" t="str">
        <f>IFERROR(__xludf.DUMMYFUNCTION("IF(OR(TRIM(G178)="""",TRIM(H178)=""""),"""",TEXTJOIN("", "",TRUE,ARRAYFORMULA(TRANSPOSE(TRIM(SPLIT(G178,"","")))&amp;""_""&amp;TRIM(SPLIT(H178,"","")))))"),"Elf_Female, Human_Female, Orc_Female")</f>
        <v>Elf_Female, Human_Female, Orc_Female</v>
      </c>
      <c r="J178" s="5" t="s">
        <v>141</v>
      </c>
      <c r="L178" s="12" t="str">
        <f t="shared" si="1"/>
        <v>DintBDOR_Plennie,1,3</v>
      </c>
    </row>
    <row r="179" ht="15.75" customHeight="1">
      <c r="A179" s="5" t="s">
        <v>143</v>
      </c>
      <c r="B179" s="18"/>
      <c r="C179" s="5" t="s">
        <v>2647</v>
      </c>
      <c r="D179" s="5">
        <v>2.0</v>
      </c>
      <c r="E179" s="5">
        <v>2.0</v>
      </c>
      <c r="F179" s="5" t="s">
        <v>2649</v>
      </c>
      <c r="G179" s="8" t="s">
        <v>1979</v>
      </c>
      <c r="H179" s="5" t="s">
        <v>35</v>
      </c>
      <c r="I179" s="8" t="str">
        <f>IFERROR(__xludf.DUMMYFUNCTION("IF(OR(TRIM(G179)="""",TRIM(H179)=""""),"""",TEXTJOIN("", "",TRUE,ARRAYFORMULA(TRANSPOSE(TRIM(SPLIT(G179,"","")))&amp;""_""&amp;TRIM(SPLIT(H179,"","")))))"),"Elf_Female, Human_Female, Orc_Female")</f>
        <v>Elf_Female, Human_Female, Orc_Female</v>
      </c>
      <c r="J179" s="5" t="s">
        <v>141</v>
      </c>
      <c r="L179" s="12" t="str">
        <f t="shared" si="1"/>
        <v>DintBDOR_Rhine,2,2</v>
      </c>
    </row>
    <row r="180" ht="15.75" customHeight="1">
      <c r="A180" s="5" t="s">
        <v>143</v>
      </c>
      <c r="B180" s="18"/>
      <c r="C180" s="5" t="s">
        <v>2656</v>
      </c>
      <c r="D180" s="5">
        <v>2.0</v>
      </c>
      <c r="E180" s="5">
        <v>3.0</v>
      </c>
      <c r="F180" s="5" t="s">
        <v>2658</v>
      </c>
      <c r="G180" s="8" t="s">
        <v>1979</v>
      </c>
      <c r="H180" s="5" t="s">
        <v>35</v>
      </c>
      <c r="I180" s="8" t="str">
        <f>IFERROR(__xludf.DUMMYFUNCTION("IF(OR(TRIM(G180)="""",TRIM(H180)=""""),"""",TEXTJOIN("", "",TRUE,ARRAYFORMULA(TRANSPOSE(TRIM(SPLIT(G180,"","")))&amp;""_""&amp;TRIM(SPLIT(H180,"","")))))"),"Elf_Female, Human_Female, Orc_Female")</f>
        <v>Elf_Female, Human_Female, Orc_Female</v>
      </c>
      <c r="J180" s="5" t="s">
        <v>141</v>
      </c>
      <c r="L180" s="12" t="str">
        <f t="shared" si="1"/>
        <v>DintBDOR_Rosally,2,3</v>
      </c>
    </row>
    <row r="181" ht="15.75" customHeight="1">
      <c r="A181" s="5" t="s">
        <v>143</v>
      </c>
      <c r="B181" s="17"/>
      <c r="C181" s="5" t="s">
        <v>2665</v>
      </c>
      <c r="D181" s="5">
        <v>1.0</v>
      </c>
      <c r="E181" s="5">
        <v>1.0</v>
      </c>
      <c r="F181" s="5" t="s">
        <v>2668</v>
      </c>
      <c r="G181" s="8" t="s">
        <v>1979</v>
      </c>
      <c r="H181" s="5" t="s">
        <v>35</v>
      </c>
      <c r="I181" s="8" t="str">
        <f>IFERROR(__xludf.DUMMYFUNCTION("IF(OR(TRIM(G181)="""",TRIM(H181)=""""),"""",TEXTJOIN("", "",TRUE,ARRAYFORMULA(TRANSPOSE(TRIM(SPLIT(G181,"","")))&amp;""_""&amp;TRIM(SPLIT(H181,"","")))))"),"Elf_Female, Human_Female, Orc_Female")</f>
        <v>Elf_Female, Human_Female, Orc_Female</v>
      </c>
      <c r="J181" s="5" t="s">
        <v>141</v>
      </c>
      <c r="L181" s="12" t="str">
        <f t="shared" si="1"/>
        <v>DintBDOR_Roxy,1,1</v>
      </c>
    </row>
    <row r="182" ht="15.75" customHeight="1">
      <c r="A182" s="5" t="s">
        <v>143</v>
      </c>
      <c r="B182" s="17"/>
      <c r="C182" s="5" t="s">
        <v>2680</v>
      </c>
      <c r="D182" s="5">
        <v>3.0</v>
      </c>
      <c r="E182" s="5">
        <v>4.0</v>
      </c>
      <c r="F182" s="5" t="s">
        <v>2681</v>
      </c>
      <c r="G182" s="8" t="s">
        <v>1979</v>
      </c>
      <c r="H182" s="5" t="s">
        <v>35</v>
      </c>
      <c r="I182" s="8" t="str">
        <f>IFERROR(__xludf.DUMMYFUNCTION("IF(OR(TRIM(G182)="""",TRIM(H182)=""""),"""",TEXTJOIN("", "",TRUE,ARRAYFORMULA(TRANSPOSE(TRIM(SPLIT(G182,"","")))&amp;""_""&amp;TRIM(SPLIT(H182,"","")))))"),"Elf_Female, Human_Female, Orc_Female")</f>
        <v>Elf_Female, Human_Female, Orc_Female</v>
      </c>
      <c r="J182" s="5" t="s">
        <v>141</v>
      </c>
      <c r="L182" s="12" t="str">
        <f t="shared" si="1"/>
        <v>DintBDOR_Saphira,3,4</v>
      </c>
    </row>
    <row r="183" ht="15.75" customHeight="1">
      <c r="A183" s="5" t="s">
        <v>143</v>
      </c>
      <c r="B183" s="18"/>
      <c r="C183" s="5" t="s">
        <v>2686</v>
      </c>
      <c r="D183" s="5">
        <v>1.0</v>
      </c>
      <c r="E183" s="5">
        <v>1.0</v>
      </c>
      <c r="F183" s="5" t="s">
        <v>2687</v>
      </c>
      <c r="G183" s="8" t="s">
        <v>1979</v>
      </c>
      <c r="H183" s="5" t="s">
        <v>35</v>
      </c>
      <c r="I183" s="8" t="str">
        <f>IFERROR(__xludf.DUMMYFUNCTION("IF(OR(TRIM(G183)="""",TRIM(H183)=""""),"""",TEXTJOIN("", "",TRUE,ARRAYFORMULA(TRANSPOSE(TRIM(SPLIT(G183,"","")))&amp;""_""&amp;TRIM(SPLIT(H183,"","")))))"),"Elf_Female, Human_Female, Orc_Female")</f>
        <v>Elf_Female, Human_Female, Orc_Female</v>
      </c>
      <c r="J183" s="5" t="s">
        <v>141</v>
      </c>
      <c r="L183" s="12" t="str">
        <f t="shared" si="1"/>
        <v>DintBDOR_Sharwin,1,1</v>
      </c>
    </row>
    <row r="184" ht="15.75" customHeight="1">
      <c r="A184" s="5" t="s">
        <v>143</v>
      </c>
      <c r="B184" s="18"/>
      <c r="C184" s="5" t="s">
        <v>2696</v>
      </c>
      <c r="D184" s="5">
        <v>1.0</v>
      </c>
      <c r="E184" s="5">
        <v>1.0</v>
      </c>
      <c r="F184" s="5" t="s">
        <v>2697</v>
      </c>
      <c r="G184" s="8" t="s">
        <v>1979</v>
      </c>
      <c r="H184" s="5" t="s">
        <v>35</v>
      </c>
      <c r="I184" s="8" t="str">
        <f>IFERROR(__xludf.DUMMYFUNCTION("IF(OR(TRIM(G184)="""",TRIM(H184)=""""),"""",TEXTJOIN("", "",TRUE,ARRAYFORMULA(TRANSPOSE(TRIM(SPLIT(G184,"","")))&amp;""_""&amp;TRIM(SPLIT(H184,"","")))))"),"Elf_Female, Human_Female, Orc_Female")</f>
        <v>Elf_Female, Human_Female, Orc_Female</v>
      </c>
      <c r="J184" s="5" t="s">
        <v>141</v>
      </c>
      <c r="L184" s="12" t="str">
        <f t="shared" si="1"/>
        <v>DintBDOR_Shelvey,1,1</v>
      </c>
    </row>
    <row r="185" ht="15.75" customHeight="1">
      <c r="A185" s="5" t="s">
        <v>143</v>
      </c>
      <c r="B185" s="18"/>
      <c r="C185" s="5" t="s">
        <v>2704</v>
      </c>
      <c r="D185" s="5">
        <v>1.0</v>
      </c>
      <c r="E185" s="5">
        <v>1.0</v>
      </c>
      <c r="F185" s="5" t="s">
        <v>2706</v>
      </c>
      <c r="G185" s="8" t="s">
        <v>1979</v>
      </c>
      <c r="H185" s="5" t="s">
        <v>35</v>
      </c>
      <c r="I185" s="8" t="str">
        <f>IFERROR(__xludf.DUMMYFUNCTION("IF(OR(TRIM(G185)="""",TRIM(H185)=""""),"""",TEXTJOIN("", "",TRUE,ARRAYFORMULA(TRANSPOSE(TRIM(SPLIT(G185,"","")))&amp;""_""&amp;TRIM(SPLIT(H185,"","")))))"),"Elf_Female, Human_Female, Orc_Female")</f>
        <v>Elf_Female, Human_Female, Orc_Female</v>
      </c>
      <c r="J185" s="5" t="s">
        <v>141</v>
      </c>
      <c r="L185" s="12" t="str">
        <f t="shared" si="1"/>
        <v>DintBDOR_Shounoby,1,1</v>
      </c>
    </row>
    <row r="186" ht="15.75" customHeight="1">
      <c r="A186" s="5" t="s">
        <v>143</v>
      </c>
      <c r="B186" s="18"/>
      <c r="C186" s="5" t="s">
        <v>2710</v>
      </c>
      <c r="D186" s="5">
        <v>2.0</v>
      </c>
      <c r="E186" s="5">
        <v>3.0</v>
      </c>
      <c r="F186" s="5" t="s">
        <v>2711</v>
      </c>
      <c r="G186" s="8" t="s">
        <v>1979</v>
      </c>
      <c r="H186" s="5" t="s">
        <v>35</v>
      </c>
      <c r="I186" s="8" t="str">
        <f>IFERROR(__xludf.DUMMYFUNCTION("IF(OR(TRIM(G186)="""",TRIM(H186)=""""),"""",TEXTJOIN("", "",TRUE,ARRAYFORMULA(TRANSPOSE(TRIM(SPLIT(G186,"","")))&amp;""_""&amp;TRIM(SPLIT(H186,"","")))))"),"Elf_Female, Human_Female, Orc_Female")</f>
        <v>Elf_Female, Human_Female, Orc_Female</v>
      </c>
      <c r="J186" s="5" t="s">
        <v>141</v>
      </c>
      <c r="L186" s="12" t="str">
        <f t="shared" si="1"/>
        <v>DintBDOR_Skaady,2,3</v>
      </c>
    </row>
    <row r="187" ht="15.75" customHeight="1">
      <c r="A187" s="5" t="s">
        <v>143</v>
      </c>
      <c r="B187" s="18"/>
      <c r="C187" s="5" t="s">
        <v>2716</v>
      </c>
      <c r="D187" s="5">
        <v>2.0</v>
      </c>
      <c r="E187" s="5">
        <v>2.0</v>
      </c>
      <c r="F187" s="5" t="s">
        <v>2717</v>
      </c>
      <c r="G187" s="8" t="s">
        <v>1979</v>
      </c>
      <c r="H187" s="5" t="s">
        <v>35</v>
      </c>
      <c r="I187" s="8" t="str">
        <f>IFERROR(__xludf.DUMMYFUNCTION("IF(OR(TRIM(G187)="""",TRIM(H187)=""""),"""",TEXTJOIN("", "",TRUE,ARRAYFORMULA(TRANSPOSE(TRIM(SPLIT(G187,"","")))&amp;""_""&amp;TRIM(SPLIT(H187,"","")))))"),"Elf_Female, Human_Female, Orc_Female")</f>
        <v>Elf_Female, Human_Female, Orc_Female</v>
      </c>
      <c r="J187" s="5" t="s">
        <v>141</v>
      </c>
      <c r="L187" s="12" t="str">
        <f t="shared" si="1"/>
        <v>DintBDOR_Smeare,2,2</v>
      </c>
    </row>
    <row r="188" ht="15.75" customHeight="1">
      <c r="A188" s="5" t="s">
        <v>143</v>
      </c>
      <c r="B188" s="18"/>
      <c r="C188" s="5" t="s">
        <v>2724</v>
      </c>
      <c r="D188" s="5">
        <v>2.0</v>
      </c>
      <c r="E188" s="5">
        <v>2.0</v>
      </c>
      <c r="F188" s="5" t="s">
        <v>2725</v>
      </c>
      <c r="G188" s="8" t="s">
        <v>1979</v>
      </c>
      <c r="H188" s="5" t="s">
        <v>35</v>
      </c>
      <c r="I188" s="8" t="str">
        <f>IFERROR(__xludf.DUMMYFUNCTION("IF(OR(TRIM(G188)="""",TRIM(H188)=""""),"""",TEXTJOIN("", "",TRUE,ARRAYFORMULA(TRANSPOSE(TRIM(SPLIT(G188,"","")))&amp;""_""&amp;TRIM(SPLIT(H188,"","")))))"),"Elf_Female, Human_Female, Orc_Female")</f>
        <v>Elf_Female, Human_Female, Orc_Female</v>
      </c>
      <c r="J188" s="5" t="s">
        <v>141</v>
      </c>
      <c r="L188" s="12" t="str">
        <f t="shared" si="1"/>
        <v>DintBDOR_Smyx,2,2</v>
      </c>
    </row>
    <row r="189" ht="15.75" customHeight="1">
      <c r="A189" s="5" t="s">
        <v>143</v>
      </c>
      <c r="B189" s="18"/>
      <c r="C189" s="5" t="s">
        <v>2732</v>
      </c>
      <c r="D189" s="5">
        <v>1.0</v>
      </c>
      <c r="E189" s="5">
        <v>3.0</v>
      </c>
      <c r="F189" s="5" t="s">
        <v>2733</v>
      </c>
      <c r="G189" s="8" t="s">
        <v>1979</v>
      </c>
      <c r="H189" s="5" t="s">
        <v>35</v>
      </c>
      <c r="I189" s="8" t="str">
        <f>IFERROR(__xludf.DUMMYFUNCTION("IF(OR(TRIM(G189)="""",TRIM(H189)=""""),"""",TEXTJOIN("", "",TRUE,ARRAYFORMULA(TRANSPOSE(TRIM(SPLIT(G189,"","")))&amp;""_""&amp;TRIM(SPLIT(H189,"","")))))"),"Elf_Female, Human_Female, Orc_Female")</f>
        <v>Elf_Female, Human_Female, Orc_Female</v>
      </c>
      <c r="J189" s="5" t="s">
        <v>141</v>
      </c>
      <c r="L189" s="12" t="str">
        <f t="shared" si="1"/>
        <v>DintBDOR_Stacy,1,3</v>
      </c>
    </row>
    <row r="190" ht="15.75" customHeight="1">
      <c r="A190" s="5" t="s">
        <v>143</v>
      </c>
      <c r="B190" s="18"/>
      <c r="C190" s="5" t="s">
        <v>2740</v>
      </c>
      <c r="D190" s="5">
        <v>1.0</v>
      </c>
      <c r="E190" s="5">
        <v>3.0</v>
      </c>
      <c r="F190" s="5" t="s">
        <v>2741</v>
      </c>
      <c r="G190" s="8" t="s">
        <v>1979</v>
      </c>
      <c r="H190" s="5" t="s">
        <v>35</v>
      </c>
      <c r="I190" s="8" t="str">
        <f>IFERROR(__xludf.DUMMYFUNCTION("IF(OR(TRIM(G190)="""",TRIM(H190)=""""),"""",TEXTJOIN("", "",TRUE,ARRAYFORMULA(TRANSPOSE(TRIM(SPLIT(G190,"","")))&amp;""_""&amp;TRIM(SPLIT(H190,"","")))))"),"Elf_Female, Human_Female, Orc_Female")</f>
        <v>Elf_Female, Human_Female, Orc_Female</v>
      </c>
      <c r="J190" s="5" t="s">
        <v>141</v>
      </c>
      <c r="L190" s="12" t="str">
        <f t="shared" si="1"/>
        <v>DintBDOR_Stafy,1,3</v>
      </c>
    </row>
    <row r="191" ht="15.75" customHeight="1">
      <c r="A191" s="5" t="s">
        <v>143</v>
      </c>
      <c r="B191" s="18"/>
      <c r="C191" s="5" t="s">
        <v>2748</v>
      </c>
      <c r="D191" s="5">
        <v>1.0</v>
      </c>
      <c r="E191" s="5">
        <v>3.0</v>
      </c>
      <c r="F191" s="5" t="s">
        <v>2749</v>
      </c>
      <c r="G191" s="8" t="s">
        <v>1979</v>
      </c>
      <c r="H191" s="5" t="s">
        <v>35</v>
      </c>
      <c r="I191" s="8" t="str">
        <f>IFERROR(__xludf.DUMMYFUNCTION("IF(OR(TRIM(G191)="""",TRIM(H191)=""""),"""",TEXTJOIN("", "",TRUE,ARRAYFORMULA(TRANSPOSE(TRIM(SPLIT(G191,"","")))&amp;""_""&amp;TRIM(SPLIT(H191,"","")))))"),"Elf_Female, Human_Female, Orc_Female")</f>
        <v>Elf_Female, Human_Female, Orc_Female</v>
      </c>
      <c r="J191" s="5" t="s">
        <v>141</v>
      </c>
      <c r="L191" s="12" t="str">
        <f t="shared" si="1"/>
        <v>DintBDOR_Stenshi,1,3</v>
      </c>
    </row>
    <row r="192" ht="15.75" customHeight="1">
      <c r="A192" s="5" t="s">
        <v>143</v>
      </c>
      <c r="B192" s="18"/>
      <c r="C192" s="5" t="s">
        <v>2758</v>
      </c>
      <c r="D192" s="5">
        <v>2.0</v>
      </c>
      <c r="E192" s="5">
        <v>3.0</v>
      </c>
      <c r="F192" s="5" t="s">
        <v>2762</v>
      </c>
      <c r="G192" s="8" t="s">
        <v>1979</v>
      </c>
      <c r="H192" s="5" t="s">
        <v>35</v>
      </c>
      <c r="I192" s="8" t="str">
        <f>IFERROR(__xludf.DUMMYFUNCTION("IF(OR(TRIM(G192)="""",TRIM(H192)=""""),"""",TEXTJOIN("", "",TRUE,ARRAYFORMULA(TRANSPOSE(TRIM(SPLIT(G192,"","")))&amp;""_""&amp;TRIM(SPLIT(H192,"","")))))"),"Elf_Female, Human_Female, Orc_Female")</f>
        <v>Elf_Female, Human_Female, Orc_Female</v>
      </c>
      <c r="J192" s="5" t="s">
        <v>141</v>
      </c>
      <c r="L192" s="12" t="str">
        <f t="shared" si="1"/>
        <v>DintBDOR_Tira,2,3</v>
      </c>
    </row>
    <row r="193" ht="15.75" customHeight="1">
      <c r="A193" s="5" t="s">
        <v>143</v>
      </c>
      <c r="B193" s="18"/>
      <c r="C193" s="5" t="s">
        <v>2766</v>
      </c>
      <c r="D193" s="5">
        <v>2.0</v>
      </c>
      <c r="E193" s="5">
        <v>2.0</v>
      </c>
      <c r="F193" s="5" t="s">
        <v>2767</v>
      </c>
      <c r="G193" s="8" t="s">
        <v>1979</v>
      </c>
      <c r="H193" s="5" t="s">
        <v>35</v>
      </c>
      <c r="I193" s="8" t="str">
        <f>IFERROR(__xludf.DUMMYFUNCTION("IF(OR(TRIM(G193)="""",TRIM(H193)=""""),"""",TEXTJOIN("", "",TRUE,ARRAYFORMULA(TRANSPOSE(TRIM(SPLIT(G193,"","")))&amp;""_""&amp;TRIM(SPLIT(H193,"","")))))"),"Elf_Female, Human_Female, Orc_Female")</f>
        <v>Elf_Female, Human_Female, Orc_Female</v>
      </c>
      <c r="J193" s="5" t="s">
        <v>141</v>
      </c>
      <c r="L193" s="12" t="str">
        <f t="shared" si="1"/>
        <v>DintBDOR_Tumerlin,2,2</v>
      </c>
    </row>
    <row r="194" ht="15.75" customHeight="1">
      <c r="A194" s="5" t="s">
        <v>143</v>
      </c>
      <c r="B194" s="18"/>
      <c r="C194" s="5" t="s">
        <v>2775</v>
      </c>
      <c r="D194" s="5">
        <v>2.0</v>
      </c>
      <c r="E194" s="5">
        <v>2.0</v>
      </c>
      <c r="F194" s="5" t="s">
        <v>2776</v>
      </c>
      <c r="G194" s="8" t="s">
        <v>1979</v>
      </c>
      <c r="H194" s="5" t="s">
        <v>35</v>
      </c>
      <c r="I194" s="8" t="str">
        <f>IFERROR(__xludf.DUMMYFUNCTION("IF(OR(TRIM(G194)="""",TRIM(H194)=""""),"""",TEXTJOIN("", "",TRUE,ARRAYFORMULA(TRANSPOSE(TRIM(SPLIT(G194,"","")))&amp;""_""&amp;TRIM(SPLIT(H194,"","")))))"),"Elf_Female, Human_Female, Orc_Female")</f>
        <v>Elf_Female, Human_Female, Orc_Female</v>
      </c>
      <c r="J194" s="5" t="s">
        <v>141</v>
      </c>
      <c r="L194" s="12" t="str">
        <f t="shared" si="1"/>
        <v>DintBDOR_Velina,2,2</v>
      </c>
    </row>
    <row r="195" ht="15.75" customHeight="1">
      <c r="A195" s="5" t="s">
        <v>143</v>
      </c>
      <c r="B195" s="18"/>
      <c r="C195" s="5" t="s">
        <v>2783</v>
      </c>
      <c r="D195" s="5">
        <v>1.0</v>
      </c>
      <c r="E195" s="5">
        <v>1.0</v>
      </c>
      <c r="F195" s="5" t="s">
        <v>2785</v>
      </c>
      <c r="G195" s="8" t="s">
        <v>1979</v>
      </c>
      <c r="H195" s="5" t="s">
        <v>35</v>
      </c>
      <c r="I195" s="8" t="str">
        <f>IFERROR(__xludf.DUMMYFUNCTION("IF(OR(TRIM(G195)="""",TRIM(H195)=""""),"""",TEXTJOIN("", "",TRUE,ARRAYFORMULA(TRANSPOSE(TRIM(SPLIT(G195,"","")))&amp;""_""&amp;TRIM(SPLIT(H195,"","")))))"),"Elf_Female, Human_Female, Orc_Female")</f>
        <v>Elf_Female, Human_Female, Orc_Female</v>
      </c>
      <c r="J195" s="5" t="s">
        <v>141</v>
      </c>
      <c r="L195" s="12" t="str">
        <f t="shared" si="1"/>
        <v>DintBDOR_Vex,1,1</v>
      </c>
    </row>
    <row r="196" ht="15.75" customHeight="1">
      <c r="A196" s="5" t="s">
        <v>143</v>
      </c>
      <c r="B196" s="18"/>
      <c r="C196" s="5" t="s">
        <v>2791</v>
      </c>
      <c r="D196" s="5">
        <v>1.0</v>
      </c>
      <c r="E196" s="5">
        <v>1.0</v>
      </c>
      <c r="F196" s="5" t="s">
        <v>2794</v>
      </c>
      <c r="G196" s="8" t="s">
        <v>1979</v>
      </c>
      <c r="H196" s="5" t="s">
        <v>35</v>
      </c>
      <c r="I196" s="8" t="str">
        <f>IFERROR(__xludf.DUMMYFUNCTION("IF(OR(TRIM(G196)="""",TRIM(H196)=""""),"""",TEXTJOIN("", "",TRUE,ARRAYFORMULA(TRANSPOSE(TRIM(SPLIT(G196,"","")))&amp;""_""&amp;TRIM(SPLIT(H196,"","")))))"),"Elf_Female, Human_Female, Orc_Female")</f>
        <v>Elf_Female, Human_Female, Orc_Female</v>
      </c>
      <c r="J196" s="5" t="s">
        <v>141</v>
      </c>
      <c r="L196" s="12" t="str">
        <f t="shared" si="1"/>
        <v>DintBDOR_Vienne,1,1</v>
      </c>
    </row>
    <row r="197" ht="15.75" customHeight="1">
      <c r="A197" s="5" t="s">
        <v>143</v>
      </c>
      <c r="B197" s="17"/>
      <c r="C197" s="5" t="s">
        <v>2802</v>
      </c>
      <c r="D197" s="5">
        <v>1.0</v>
      </c>
      <c r="E197" s="5">
        <v>1.0</v>
      </c>
      <c r="F197" s="5" t="s">
        <v>2804</v>
      </c>
      <c r="G197" s="8" t="s">
        <v>1979</v>
      </c>
      <c r="H197" s="5" t="s">
        <v>35</v>
      </c>
      <c r="I197" s="8" t="str">
        <f>IFERROR(__xludf.DUMMYFUNCTION("IF(OR(TRIM(G197)="""",TRIM(H197)=""""),"""",TEXTJOIN("", "",TRUE,ARRAYFORMULA(TRANSPOSE(TRIM(SPLIT(G197,"","")))&amp;""_""&amp;TRIM(SPLIT(H197,"","")))))"),"Elf_Female, Human_Female, Orc_Female")</f>
        <v>Elf_Female, Human_Female, Orc_Female</v>
      </c>
      <c r="J197" s="5" t="s">
        <v>141</v>
      </c>
      <c r="L197" s="12" t="str">
        <f t="shared" si="1"/>
        <v>DintBDOR_Wavey,1,1</v>
      </c>
    </row>
    <row r="198" ht="15.75" customHeight="1">
      <c r="A198" s="5" t="s">
        <v>143</v>
      </c>
      <c r="B198" s="18"/>
      <c r="C198" s="5" t="s">
        <v>2816</v>
      </c>
      <c r="D198" s="5">
        <v>2.0</v>
      </c>
      <c r="E198" s="5">
        <v>3.0</v>
      </c>
      <c r="F198" s="5" t="s">
        <v>2817</v>
      </c>
      <c r="G198" s="8" t="s">
        <v>1979</v>
      </c>
      <c r="H198" s="5" t="s">
        <v>35</v>
      </c>
      <c r="I198" s="8" t="str">
        <f>IFERROR(__xludf.DUMMYFUNCTION("IF(OR(TRIM(G198)="""",TRIM(H198)=""""),"""",TEXTJOIN("", "",TRUE,ARRAYFORMULA(TRANSPOSE(TRIM(SPLIT(G198,"","")))&amp;""_""&amp;TRIM(SPLIT(H198,"","")))))"),"Elf_Female, Human_Female, Orc_Female")</f>
        <v>Elf_Female, Human_Female, Orc_Female</v>
      </c>
      <c r="J198" s="5" t="s">
        <v>141</v>
      </c>
      <c r="L198" s="12" t="str">
        <f t="shared" si="1"/>
        <v>DintBDOR_Yaommi,2,3</v>
      </c>
    </row>
    <row r="199" ht="15.75" customHeight="1">
      <c r="A199" s="5" t="s">
        <v>143</v>
      </c>
      <c r="B199" s="17"/>
      <c r="C199" s="5" t="s">
        <v>2827</v>
      </c>
      <c r="D199" s="5">
        <v>1.0</v>
      </c>
      <c r="E199" s="5">
        <v>1.0</v>
      </c>
      <c r="F199" s="5" t="s">
        <v>2830</v>
      </c>
      <c r="G199" s="8" t="s">
        <v>1979</v>
      </c>
      <c r="H199" s="5" t="s">
        <v>35</v>
      </c>
      <c r="I199" s="8" t="str">
        <f>IFERROR(__xludf.DUMMYFUNCTION("IF(OR(TRIM(G199)="""",TRIM(H199)=""""),"""",TEXTJOIN("", "",TRUE,ARRAYFORMULA(TRANSPOSE(TRIM(SPLIT(G199,"","")))&amp;""_""&amp;TRIM(SPLIT(H199,"","")))))"),"Elf_Female, Human_Female, Orc_Female")</f>
        <v>Elf_Female, Human_Female, Orc_Female</v>
      </c>
      <c r="J199" s="5" t="s">
        <v>141</v>
      </c>
      <c r="L199" s="12" t="str">
        <f t="shared" si="1"/>
        <v>DintBDOR_Yarra,1,1</v>
      </c>
    </row>
    <row r="200" ht="15.75" customHeight="1">
      <c r="A200" s="5" t="s">
        <v>143</v>
      </c>
      <c r="B200" s="17"/>
      <c r="C200" s="5" t="s">
        <v>2839</v>
      </c>
      <c r="D200" s="5">
        <v>1.0</v>
      </c>
      <c r="E200" s="5">
        <v>1.0</v>
      </c>
      <c r="F200" s="5" t="s">
        <v>2841</v>
      </c>
      <c r="G200" s="8" t="s">
        <v>1979</v>
      </c>
      <c r="H200" s="5" t="s">
        <v>35</v>
      </c>
      <c r="I200" s="8" t="str">
        <f>IFERROR(__xludf.DUMMYFUNCTION("IF(OR(TRIM(G200)="""",TRIM(H200)=""""),"""",TEXTJOIN("", "",TRUE,ARRAYFORMULA(TRANSPOSE(TRIM(SPLIT(G200,"","")))&amp;""_""&amp;TRIM(SPLIT(H200,"","")))))"),"Elf_Female, Human_Female, Orc_Female")</f>
        <v>Elf_Female, Human_Female, Orc_Female</v>
      </c>
      <c r="J200" s="5" t="s">
        <v>141</v>
      </c>
      <c r="L200" s="12" t="str">
        <f t="shared" si="1"/>
        <v>DintBDOR_Yummy,1,1</v>
      </c>
    </row>
    <row r="201" ht="15.75" customHeight="1">
      <c r="A201" s="5" t="s">
        <v>143</v>
      </c>
      <c r="B201" s="18"/>
      <c r="C201" s="5" t="s">
        <v>2850</v>
      </c>
      <c r="D201" s="5">
        <v>1.0</v>
      </c>
      <c r="E201" s="5">
        <v>2.0</v>
      </c>
      <c r="F201" s="5" t="s">
        <v>2851</v>
      </c>
      <c r="G201" s="8" t="s">
        <v>1979</v>
      </c>
      <c r="H201" s="5" t="s">
        <v>35</v>
      </c>
      <c r="I201" s="8" t="str">
        <f>IFERROR(__xludf.DUMMYFUNCTION("IF(OR(TRIM(G201)="""",TRIM(H201)=""""),"""",TEXTJOIN("", "",TRUE,ARRAYFORMULA(TRANSPOSE(TRIM(SPLIT(G201,"","")))&amp;""_""&amp;TRIM(SPLIT(H201,"","")))))"),"Elf_Female, Human_Female, Orc_Female")</f>
        <v>Elf_Female, Human_Female, Orc_Female</v>
      </c>
      <c r="J201" s="5" t="s">
        <v>141</v>
      </c>
      <c r="L201" s="12" t="str">
        <f t="shared" si="1"/>
        <v>DintBDOR_Zetrin,1,2</v>
      </c>
    </row>
    <row r="202" ht="15.75" customHeight="1">
      <c r="A202" s="5" t="s">
        <v>143</v>
      </c>
      <c r="B202" s="18"/>
      <c r="C202" s="5" t="s">
        <v>2859</v>
      </c>
      <c r="D202" s="5">
        <v>1.0</v>
      </c>
      <c r="E202" s="5">
        <v>1.0</v>
      </c>
      <c r="F202" s="5" t="s">
        <v>2861</v>
      </c>
      <c r="G202" s="8" t="s">
        <v>1979</v>
      </c>
      <c r="H202" s="5" t="s">
        <v>35</v>
      </c>
      <c r="I202" s="8" t="str">
        <f>IFERROR(__xludf.DUMMYFUNCTION("IF(OR(TRIM(G202)="""",TRIM(H202)=""""),"""",TEXTJOIN("", "",TRUE,ARRAYFORMULA(TRANSPOSE(TRIM(SPLIT(G202,"","")))&amp;""_""&amp;TRIM(SPLIT(H202,"","")))))"),"Elf_Female, Human_Female, Orc_Female")</f>
        <v>Elf_Female, Human_Female, Orc_Female</v>
      </c>
      <c r="J202" s="5" t="s">
        <v>141</v>
      </c>
      <c r="L202" s="12" t="str">
        <f t="shared" si="1"/>
        <v>DintBDOR_Zohya,1,1</v>
      </c>
    </row>
    <row r="203" ht="15.75" customHeight="1">
      <c r="A203" s="5" t="s">
        <v>143</v>
      </c>
      <c r="B203" s="18"/>
      <c r="C203" s="5" t="s">
        <v>2870</v>
      </c>
      <c r="D203" s="5">
        <v>1.0</v>
      </c>
      <c r="E203" s="5">
        <v>3.0</v>
      </c>
      <c r="F203" s="5" t="s">
        <v>2872</v>
      </c>
      <c r="G203" s="8" t="s">
        <v>1979</v>
      </c>
      <c r="H203" s="5" t="s">
        <v>35</v>
      </c>
      <c r="I203" s="8" t="str">
        <f>IFERROR(__xludf.DUMMYFUNCTION("IF(OR(TRIM(G203)="""",TRIM(H203)=""""),"""",TEXTJOIN("", "",TRUE,ARRAYFORMULA(TRANSPOSE(TRIM(SPLIT(G203,"","")))&amp;""_""&amp;TRIM(SPLIT(H203,"","")))))"),"Elf_Female, Human_Female, Orc_Female")</f>
        <v>Elf_Female, Human_Female, Orc_Female</v>
      </c>
      <c r="J203" s="5" t="s">
        <v>141</v>
      </c>
      <c r="L203" s="12" t="str">
        <f t="shared" si="1"/>
        <v>DintBDOR_Zubs,1,3</v>
      </c>
    </row>
    <row r="204" ht="15.75" customHeight="1">
      <c r="A204" s="5" t="s">
        <v>2880</v>
      </c>
      <c r="B204" s="17"/>
      <c r="C204" s="5" t="s">
        <v>2882</v>
      </c>
      <c r="D204" s="5">
        <v>1.0</v>
      </c>
      <c r="E204" s="5">
        <v>2.0</v>
      </c>
      <c r="F204" s="5" t="s">
        <v>2884</v>
      </c>
      <c r="G204" s="8" t="s">
        <v>1979</v>
      </c>
      <c r="H204" s="5" t="s">
        <v>35</v>
      </c>
      <c r="I204" s="8" t="str">
        <f>IFERROR(__xludf.DUMMYFUNCTION("IF(OR(TRIM(G204)="""",TRIM(H204)=""""),"""",TEXTJOIN("", "",TRUE,ARRAYFORMULA(TRANSPOSE(TRIM(SPLIT(G204,"","")))&amp;""_""&amp;TRIM(SPLIT(H204,"","")))))"),"Elf_Female, Human_Female, Orc_Female")</f>
        <v>Elf_Female, Human_Female, Orc_Female</v>
      </c>
      <c r="J204" s="5" t="s">
        <v>2888</v>
      </c>
      <c r="L204" s="12" t="str">
        <f t="shared" si="1"/>
        <v>DintBDORAddon_Amelia,1,2</v>
      </c>
    </row>
    <row r="205" ht="15.75" customHeight="1">
      <c r="A205" s="5" t="s">
        <v>2880</v>
      </c>
      <c r="B205" s="17"/>
      <c r="C205" s="5" t="s">
        <v>2893</v>
      </c>
      <c r="D205" s="5">
        <v>2.0</v>
      </c>
      <c r="E205" s="5">
        <v>2.0</v>
      </c>
      <c r="F205" s="5" t="s">
        <v>2896</v>
      </c>
      <c r="G205" s="8" t="s">
        <v>1979</v>
      </c>
      <c r="H205" s="5" t="s">
        <v>35</v>
      </c>
      <c r="I205" s="8" t="str">
        <f>IFERROR(__xludf.DUMMYFUNCTION("IF(OR(TRIM(G205)="""",TRIM(H205)=""""),"""",TEXTJOIN("", "",TRUE,ARRAYFORMULA(TRANSPOSE(TRIM(SPLIT(G205,"","")))&amp;""_""&amp;TRIM(SPLIT(H205,"","")))))"),"Elf_Female, Human_Female, Orc_Female")</f>
        <v>Elf_Female, Human_Female, Orc_Female</v>
      </c>
      <c r="J205" s="5" t="s">
        <v>2888</v>
      </c>
      <c r="L205" s="12" t="str">
        <f t="shared" si="1"/>
        <v>DintBDORAddon_Asuna,2,2</v>
      </c>
    </row>
    <row r="206" ht="15.75" customHeight="1">
      <c r="A206" s="5" t="s">
        <v>2880</v>
      </c>
      <c r="B206" s="17"/>
      <c r="C206" s="5" t="s">
        <v>2905</v>
      </c>
      <c r="D206" s="5">
        <v>1.0</v>
      </c>
      <c r="E206" s="5">
        <v>1.0</v>
      </c>
      <c r="F206" s="5" t="s">
        <v>2908</v>
      </c>
      <c r="G206" s="8" t="s">
        <v>1979</v>
      </c>
      <c r="H206" s="5" t="s">
        <v>35</v>
      </c>
      <c r="I206" s="8" t="str">
        <f>IFERROR(__xludf.DUMMYFUNCTION("IF(OR(TRIM(G206)="""",TRIM(H206)=""""),"""",TEXTJOIN("", "",TRUE,ARRAYFORMULA(TRANSPOSE(TRIM(SPLIT(G206,"","")))&amp;""_""&amp;TRIM(SPLIT(H206,"","")))))"),"Elf_Female, Human_Female, Orc_Female")</f>
        <v>Elf_Female, Human_Female, Orc_Female</v>
      </c>
      <c r="J206" s="5" t="s">
        <v>2888</v>
      </c>
      <c r="L206" s="12" t="str">
        <f t="shared" si="1"/>
        <v>DintBDORAddon_Ellena,1,1</v>
      </c>
    </row>
    <row r="207" ht="15.75" customHeight="1">
      <c r="A207" s="5" t="s">
        <v>2880</v>
      </c>
      <c r="B207" s="17"/>
      <c r="C207" s="5" t="s">
        <v>2917</v>
      </c>
      <c r="D207" s="5">
        <v>1.0</v>
      </c>
      <c r="E207" s="5">
        <v>1.0</v>
      </c>
      <c r="F207" s="5" t="s">
        <v>2920</v>
      </c>
      <c r="G207" s="8" t="s">
        <v>1979</v>
      </c>
      <c r="H207" s="5" t="s">
        <v>35</v>
      </c>
      <c r="I207" s="8" t="str">
        <f>IFERROR(__xludf.DUMMYFUNCTION("IF(OR(TRIM(G207)="""",TRIM(H207)=""""),"""",TEXTJOIN("", "",TRUE,ARRAYFORMULA(TRANSPOSE(TRIM(SPLIT(G207,"","")))&amp;""_""&amp;TRIM(SPLIT(H207,"","")))))"),"Elf_Female, Human_Female, Orc_Female")</f>
        <v>Elf_Female, Human_Female, Orc_Female</v>
      </c>
      <c r="J207" s="5" t="s">
        <v>2888</v>
      </c>
      <c r="L207" s="12" t="str">
        <f t="shared" si="1"/>
        <v>DintBDORAddon_Hanna,1,1</v>
      </c>
    </row>
    <row r="208" ht="15.75" customHeight="1">
      <c r="A208" s="5" t="s">
        <v>2880</v>
      </c>
      <c r="B208" s="17"/>
      <c r="C208" s="5" t="s">
        <v>2929</v>
      </c>
      <c r="D208" s="5">
        <v>2.0</v>
      </c>
      <c r="E208" s="5">
        <v>3.0</v>
      </c>
      <c r="F208" s="5" t="s">
        <v>2930</v>
      </c>
      <c r="G208" s="8" t="s">
        <v>1979</v>
      </c>
      <c r="H208" s="5" t="s">
        <v>35</v>
      </c>
      <c r="I208" s="8" t="str">
        <f>IFERROR(__xludf.DUMMYFUNCTION("IF(OR(TRIM(G208)="""",TRIM(H208)=""""),"""",TEXTJOIN("", "",TRUE,ARRAYFORMULA(TRANSPOSE(TRIM(SPLIT(G208,"","")))&amp;""_""&amp;TRIM(SPLIT(H208,"","")))))"),"Elf_Female, Human_Female, Orc_Female")</f>
        <v>Elf_Female, Human_Female, Orc_Female</v>
      </c>
      <c r="J208" s="5" t="s">
        <v>2888</v>
      </c>
      <c r="L208" s="12" t="str">
        <f t="shared" si="1"/>
        <v>DintBDORAddon_Hime,2,3</v>
      </c>
    </row>
    <row r="209" ht="15.75" customHeight="1">
      <c r="A209" s="5" t="s">
        <v>2880</v>
      </c>
      <c r="B209" s="17"/>
      <c r="C209" s="5" t="s">
        <v>2939</v>
      </c>
      <c r="D209" s="5">
        <v>2.0</v>
      </c>
      <c r="E209" s="5">
        <v>3.0</v>
      </c>
      <c r="F209" s="5" t="s">
        <v>2942</v>
      </c>
      <c r="G209" s="8" t="s">
        <v>1979</v>
      </c>
      <c r="H209" s="5" t="s">
        <v>35</v>
      </c>
      <c r="I209" s="8" t="str">
        <f>IFERROR(__xludf.DUMMYFUNCTION("IF(OR(TRIM(G209)="""",TRIM(H209)=""""),"""",TEXTJOIN("", "",TRUE,ARRAYFORMULA(TRANSPOSE(TRIM(SPLIT(G209,"","")))&amp;""_""&amp;TRIM(SPLIT(H209,"","")))))"),"Elf_Female, Human_Female, Orc_Female")</f>
        <v>Elf_Female, Human_Female, Orc_Female</v>
      </c>
      <c r="J209" s="5" t="s">
        <v>2888</v>
      </c>
      <c r="L209" s="12" t="str">
        <f t="shared" si="1"/>
        <v>DintBDORAddon_Illya,2,3</v>
      </c>
    </row>
    <row r="210" ht="15.75" customHeight="1">
      <c r="A210" s="5" t="s">
        <v>2880</v>
      </c>
      <c r="B210" s="17"/>
      <c r="C210" s="5" t="s">
        <v>2948</v>
      </c>
      <c r="D210" s="5">
        <v>1.0</v>
      </c>
      <c r="E210" s="5">
        <v>1.0</v>
      </c>
      <c r="F210" s="5" t="s">
        <v>2951</v>
      </c>
      <c r="G210" s="8" t="s">
        <v>1979</v>
      </c>
      <c r="H210" s="5" t="s">
        <v>35</v>
      </c>
      <c r="I210" s="8" t="str">
        <f>IFERROR(__xludf.DUMMYFUNCTION("IF(OR(TRIM(G210)="""",TRIM(H210)=""""),"""",TEXTJOIN("", "",TRUE,ARRAYFORMULA(TRANSPOSE(TRIM(SPLIT(G210,"","")))&amp;""_""&amp;TRIM(SPLIT(H210,"","")))))"),"Elf_Female, Human_Female, Orc_Female")</f>
        <v>Elf_Female, Human_Female, Orc_Female</v>
      </c>
      <c r="J210" s="5" t="s">
        <v>2888</v>
      </c>
      <c r="L210" s="12" t="str">
        <f t="shared" si="1"/>
        <v>DintBDORAddon_Jack,1,1</v>
      </c>
    </row>
    <row r="211" ht="15.75" customHeight="1">
      <c r="A211" s="5" t="s">
        <v>2880</v>
      </c>
      <c r="B211" s="17"/>
      <c r="C211" s="5" t="s">
        <v>2959</v>
      </c>
      <c r="D211" s="5">
        <v>1.0</v>
      </c>
      <c r="E211" s="5">
        <v>3.0</v>
      </c>
      <c r="F211" s="5" t="s">
        <v>2961</v>
      </c>
      <c r="G211" s="8" t="s">
        <v>1979</v>
      </c>
      <c r="H211" s="5" t="s">
        <v>35</v>
      </c>
      <c r="I211" s="8" t="str">
        <f>IFERROR(__xludf.DUMMYFUNCTION("IF(OR(TRIM(G211)="""",TRIM(H211)=""""),"""",TEXTJOIN("", "",TRUE,ARRAYFORMULA(TRANSPOSE(TRIM(SPLIT(G211,"","")))&amp;""_""&amp;TRIM(SPLIT(H211,"","")))))"),"Elf_Female, Human_Female, Orc_Female")</f>
        <v>Elf_Female, Human_Female, Orc_Female</v>
      </c>
      <c r="J211" s="5" t="s">
        <v>2888</v>
      </c>
      <c r="L211" s="12" t="str">
        <f t="shared" si="1"/>
        <v>DintBDORAddon_Karin,1,3</v>
      </c>
    </row>
    <row r="212" ht="15.75" customHeight="1">
      <c r="A212" s="5" t="s">
        <v>2880</v>
      </c>
      <c r="B212" s="17"/>
      <c r="C212" s="5" t="s">
        <v>2972</v>
      </c>
      <c r="D212" s="5">
        <v>1.0</v>
      </c>
      <c r="E212" s="5">
        <v>2.0</v>
      </c>
      <c r="F212" s="5" t="s">
        <v>2974</v>
      </c>
      <c r="G212" s="8" t="s">
        <v>1979</v>
      </c>
      <c r="H212" s="5" t="s">
        <v>35</v>
      </c>
      <c r="I212" s="8" t="str">
        <f>IFERROR(__xludf.DUMMYFUNCTION("IF(OR(TRIM(G212)="""",TRIM(H212)=""""),"""",TEXTJOIN("", "",TRUE,ARRAYFORMULA(TRANSPOSE(TRIM(SPLIT(G212,"","")))&amp;""_""&amp;TRIM(SPLIT(H212,"","")))))"),"Elf_Female, Human_Female, Orc_Female")</f>
        <v>Elf_Female, Human_Female, Orc_Female</v>
      </c>
      <c r="J212" s="5" t="s">
        <v>2888</v>
      </c>
      <c r="L212" s="12" t="str">
        <f t="shared" si="1"/>
        <v>DintBDORAddon_Lin,1,2</v>
      </c>
    </row>
    <row r="213" ht="15.75" customHeight="1">
      <c r="A213" s="5" t="s">
        <v>2880</v>
      </c>
      <c r="B213" s="17"/>
      <c r="C213" s="5" t="s">
        <v>2982</v>
      </c>
      <c r="D213" s="5">
        <v>1.0</v>
      </c>
      <c r="E213" s="5">
        <v>2.0</v>
      </c>
      <c r="F213" s="5" t="s">
        <v>2985</v>
      </c>
      <c r="G213" s="8" t="s">
        <v>1979</v>
      </c>
      <c r="H213" s="5" t="s">
        <v>35</v>
      </c>
      <c r="I213" s="8" t="str">
        <f>IFERROR(__xludf.DUMMYFUNCTION("IF(OR(TRIM(G213)="""",TRIM(H213)=""""),"""",TEXTJOIN("", "",TRUE,ARRAYFORMULA(TRANSPOSE(TRIM(SPLIT(G213,"","")))&amp;""_""&amp;TRIM(SPLIT(H213,"","")))))"),"Elf_Female, Human_Female, Orc_Female")</f>
        <v>Elf_Female, Human_Female, Orc_Female</v>
      </c>
      <c r="J213" s="5" t="s">
        <v>2888</v>
      </c>
      <c r="L213" s="12" t="str">
        <f t="shared" si="1"/>
        <v>DintBDORAddon_Liz,1,2</v>
      </c>
    </row>
    <row r="214" ht="15.75" customHeight="1">
      <c r="A214" s="5" t="s">
        <v>2880</v>
      </c>
      <c r="B214" s="17"/>
      <c r="C214" s="5" t="s">
        <v>2995</v>
      </c>
      <c r="D214" s="5">
        <v>1.0</v>
      </c>
      <c r="E214" s="5">
        <v>2.0</v>
      </c>
      <c r="F214" s="5" t="s">
        <v>2996</v>
      </c>
      <c r="G214" s="8" t="s">
        <v>1979</v>
      </c>
      <c r="H214" s="5" t="s">
        <v>35</v>
      </c>
      <c r="I214" s="8" t="str">
        <f>IFERROR(__xludf.DUMMYFUNCTION("IF(OR(TRIM(G214)="""",TRIM(H214)=""""),"""",TEXTJOIN("", "",TRUE,ARRAYFORMULA(TRANSPOSE(TRIM(SPLIT(G214,"","")))&amp;""_""&amp;TRIM(SPLIT(H214,"","")))))"),"Elf_Female, Human_Female, Orc_Female")</f>
        <v>Elf_Female, Human_Female, Orc_Female</v>
      </c>
      <c r="J214" s="5" t="s">
        <v>2888</v>
      </c>
      <c r="L214" s="12" t="str">
        <f t="shared" si="1"/>
        <v>DintBDORAddon_Marseille,1,2</v>
      </c>
    </row>
    <row r="215" ht="15.75" customHeight="1">
      <c r="A215" s="5" t="s">
        <v>2880</v>
      </c>
      <c r="B215" s="17"/>
      <c r="C215" s="5" t="s">
        <v>3001</v>
      </c>
      <c r="D215" s="5">
        <v>1.0</v>
      </c>
      <c r="E215" s="5">
        <v>2.0</v>
      </c>
      <c r="F215" s="5" t="s">
        <v>3004</v>
      </c>
      <c r="G215" s="8" t="s">
        <v>1979</v>
      </c>
      <c r="H215" s="5" t="s">
        <v>35</v>
      </c>
      <c r="I215" s="8" t="str">
        <f>IFERROR(__xludf.DUMMYFUNCTION("IF(OR(TRIM(G215)="""",TRIM(H215)=""""),"""",TEXTJOIN("", "",TRUE,ARRAYFORMULA(TRANSPOSE(TRIM(SPLIT(G215,"","")))&amp;""_""&amp;TRIM(SPLIT(H215,"","")))))"),"Elf_Female, Human_Female, Orc_Female")</f>
        <v>Elf_Female, Human_Female, Orc_Female</v>
      </c>
      <c r="J215" s="5" t="s">
        <v>2888</v>
      </c>
      <c r="L215" s="12" t="str">
        <f t="shared" si="1"/>
        <v>DintBDORAddon_Nami,1,2</v>
      </c>
    </row>
    <row r="216" ht="15.75" customHeight="1">
      <c r="A216" s="5" t="s">
        <v>2880</v>
      </c>
      <c r="B216" s="17"/>
      <c r="C216" s="5" t="s">
        <v>3009</v>
      </c>
      <c r="D216" s="5">
        <v>2.0</v>
      </c>
      <c r="E216" s="5">
        <v>3.0</v>
      </c>
      <c r="F216" s="5" t="s">
        <v>3010</v>
      </c>
      <c r="G216" s="8" t="s">
        <v>1979</v>
      </c>
      <c r="H216" s="5" t="s">
        <v>35</v>
      </c>
      <c r="I216" s="8" t="str">
        <f>IFERROR(__xludf.DUMMYFUNCTION("IF(OR(TRIM(G216)="""",TRIM(H216)=""""),"""",TEXTJOIN("", "",TRUE,ARRAYFORMULA(TRANSPOSE(TRIM(SPLIT(G216,"","")))&amp;""_""&amp;TRIM(SPLIT(H216,"","")))))"),"Elf_Female, Human_Female, Orc_Female")</f>
        <v>Elf_Female, Human_Female, Orc_Female</v>
      </c>
      <c r="J216" s="5" t="s">
        <v>2888</v>
      </c>
      <c r="L216" s="12" t="str">
        <f t="shared" si="1"/>
        <v>DintBDORAddon_Penny,2,3</v>
      </c>
    </row>
    <row r="217" ht="15.75" customHeight="1">
      <c r="A217" s="5" t="s">
        <v>2880</v>
      </c>
      <c r="B217" s="17"/>
      <c r="C217" s="5" t="s">
        <v>3018</v>
      </c>
      <c r="D217" s="5">
        <v>1.0</v>
      </c>
      <c r="E217" s="5">
        <v>2.0</v>
      </c>
      <c r="F217" s="5" t="s">
        <v>3021</v>
      </c>
      <c r="G217" s="8" t="s">
        <v>1979</v>
      </c>
      <c r="H217" s="5" t="s">
        <v>35</v>
      </c>
      <c r="I217" s="8" t="str">
        <f>IFERROR(__xludf.DUMMYFUNCTION("IF(OR(TRIM(G217)="""",TRIM(H217)=""""),"""",TEXTJOIN("", "",TRUE,ARRAYFORMULA(TRANSPOSE(TRIM(SPLIT(G217,"","")))&amp;""_""&amp;TRIM(SPLIT(H217,"","")))))"),"Elf_Female, Human_Female, Orc_Female")</f>
        <v>Elf_Female, Human_Female, Orc_Female</v>
      </c>
      <c r="J217" s="5" t="s">
        <v>2888</v>
      </c>
      <c r="L217" s="12" t="str">
        <f t="shared" si="1"/>
        <v>DintBDORAddon_Ran,1,2</v>
      </c>
    </row>
    <row r="218" ht="15.75" customHeight="1">
      <c r="A218" s="5" t="s">
        <v>2880</v>
      </c>
      <c r="B218" s="17"/>
      <c r="C218" s="5" t="s">
        <v>3026</v>
      </c>
      <c r="D218" s="5">
        <v>2.0</v>
      </c>
      <c r="E218" s="5">
        <v>2.0</v>
      </c>
      <c r="F218" s="5" t="s">
        <v>3029</v>
      </c>
      <c r="G218" s="8" t="s">
        <v>1979</v>
      </c>
      <c r="H218" s="5" t="s">
        <v>35</v>
      </c>
      <c r="I218" s="8" t="str">
        <f>IFERROR(__xludf.DUMMYFUNCTION("IF(OR(TRIM(G218)="""",TRIM(H218)=""""),"""",TEXTJOIN("", "",TRUE,ARRAYFORMULA(TRANSPOSE(TRIM(SPLIT(G218,"","")))&amp;""_""&amp;TRIM(SPLIT(H218,"","")))))"),"Elf_Female, Human_Female, Orc_Female")</f>
        <v>Elf_Female, Human_Female, Orc_Female</v>
      </c>
      <c r="J218" s="5" t="s">
        <v>2888</v>
      </c>
      <c r="L218" s="12" t="str">
        <f t="shared" si="1"/>
        <v>DintBDORAddon_Reina,2,2</v>
      </c>
    </row>
    <row r="219" ht="15.75" customHeight="1">
      <c r="A219" s="5" t="s">
        <v>2880</v>
      </c>
      <c r="B219" s="17"/>
      <c r="C219" s="5" t="s">
        <v>3037</v>
      </c>
      <c r="D219" s="5">
        <v>1.0</v>
      </c>
      <c r="E219" s="5">
        <v>1.0</v>
      </c>
      <c r="F219" s="5" t="s">
        <v>3039</v>
      </c>
      <c r="G219" s="8" t="s">
        <v>1979</v>
      </c>
      <c r="H219" s="5" t="s">
        <v>35</v>
      </c>
      <c r="I219" s="8" t="str">
        <f>IFERROR(__xludf.DUMMYFUNCTION("IF(OR(TRIM(G219)="""",TRIM(H219)=""""),"""",TEXTJOIN("", "",TRUE,ARRAYFORMULA(TRANSPOSE(TRIM(SPLIT(G219,"","")))&amp;""_""&amp;TRIM(SPLIT(H219,"","")))))"),"Elf_Female, Human_Female, Orc_Female")</f>
        <v>Elf_Female, Human_Female, Orc_Female</v>
      </c>
      <c r="J219" s="5" t="s">
        <v>2888</v>
      </c>
      <c r="L219" s="12" t="str">
        <f t="shared" si="1"/>
        <v>DintBDORAddon_Riki,1,1</v>
      </c>
    </row>
    <row r="220" ht="15.75" customHeight="1">
      <c r="A220" s="5" t="s">
        <v>2880</v>
      </c>
      <c r="B220" s="17"/>
      <c r="C220" s="5" t="s">
        <v>3051</v>
      </c>
      <c r="D220" s="5">
        <v>2.0</v>
      </c>
      <c r="E220" s="5">
        <v>3.0</v>
      </c>
      <c r="F220" s="5" t="s">
        <v>3052</v>
      </c>
      <c r="G220" s="8" t="s">
        <v>1979</v>
      </c>
      <c r="H220" s="5" t="s">
        <v>35</v>
      </c>
      <c r="I220" s="8" t="str">
        <f>IFERROR(__xludf.DUMMYFUNCTION("IF(OR(TRIM(G220)="""",TRIM(H220)=""""),"""",TEXTJOIN("", "",TRUE,ARRAYFORMULA(TRANSPOSE(TRIM(SPLIT(G220,"","")))&amp;""_""&amp;TRIM(SPLIT(H220,"","")))))"),"Elf_Female, Human_Female, Orc_Female")</f>
        <v>Elf_Female, Human_Female, Orc_Female</v>
      </c>
      <c r="J220" s="5" t="s">
        <v>2888</v>
      </c>
      <c r="L220" s="12" t="str">
        <f t="shared" si="1"/>
        <v>DintBDORAddon_Rio,2,3</v>
      </c>
    </row>
    <row r="221" ht="15.75" customHeight="1">
      <c r="A221" s="5" t="s">
        <v>2880</v>
      </c>
      <c r="B221" s="17"/>
      <c r="C221" s="5" t="s">
        <v>3062</v>
      </c>
      <c r="D221" s="5">
        <v>2.0</v>
      </c>
      <c r="E221" s="5">
        <v>3.0</v>
      </c>
      <c r="F221" s="5" t="s">
        <v>3065</v>
      </c>
      <c r="G221" s="8" t="s">
        <v>1979</v>
      </c>
      <c r="H221" s="5" t="s">
        <v>35</v>
      </c>
      <c r="I221" s="8" t="str">
        <f>IFERROR(__xludf.DUMMYFUNCTION("IF(OR(TRIM(G221)="""",TRIM(H221)=""""),"""",TEXTJOIN("", "",TRUE,ARRAYFORMULA(TRANSPOSE(TRIM(SPLIT(G221,"","")))&amp;""_""&amp;TRIM(SPLIT(H221,"","")))))"),"Elf_Female, Human_Female, Orc_Female")</f>
        <v>Elf_Female, Human_Female, Orc_Female</v>
      </c>
      <c r="J221" s="5" t="s">
        <v>2888</v>
      </c>
      <c r="L221" s="12" t="str">
        <f t="shared" si="1"/>
        <v>DintBDORAddon_Toki,2,3</v>
      </c>
    </row>
    <row r="222" ht="15.75" customHeight="1">
      <c r="A222" s="5" t="s">
        <v>2880</v>
      </c>
      <c r="B222" s="17"/>
      <c r="C222" s="5" t="s">
        <v>3075</v>
      </c>
      <c r="D222" s="5">
        <v>2.0</v>
      </c>
      <c r="E222" s="5">
        <v>3.0</v>
      </c>
      <c r="F222" s="5" t="s">
        <v>3078</v>
      </c>
      <c r="G222" s="8" t="s">
        <v>1979</v>
      </c>
      <c r="H222" s="5" t="s">
        <v>35</v>
      </c>
      <c r="I222" s="8" t="str">
        <f>IFERROR(__xludf.DUMMYFUNCTION("IF(OR(TRIM(G222)="""",TRIM(H222)=""""),"""",TEXTJOIN("", "",TRUE,ARRAYFORMULA(TRANSPOSE(TRIM(SPLIT(G222,"","")))&amp;""_""&amp;TRIM(SPLIT(H222,"","")))))"),"Elf_Female, Human_Female, Orc_Female")</f>
        <v>Elf_Female, Human_Female, Orc_Female</v>
      </c>
      <c r="J222" s="5" t="s">
        <v>2888</v>
      </c>
      <c r="L222" s="12" t="str">
        <f t="shared" si="1"/>
        <v>DintBDORAddon_Yuna,2,3</v>
      </c>
    </row>
    <row r="223" ht="15.75" customHeight="1">
      <c r="A223" s="5" t="s">
        <v>102</v>
      </c>
      <c r="C223" s="3" t="s">
        <v>3087</v>
      </c>
      <c r="D223" s="5">
        <v>2.0</v>
      </c>
      <c r="E223" s="8">
        <v>3.0</v>
      </c>
      <c r="F223" s="5" t="s">
        <v>3089</v>
      </c>
      <c r="G223" s="8" t="s">
        <v>1979</v>
      </c>
      <c r="H223" s="19" t="s">
        <v>35</v>
      </c>
      <c r="I223" s="8" t="str">
        <f>IFERROR(__xludf.DUMMYFUNCTION("IF(OR(TRIM(G223)="""",TRIM(H223)=""""),"""",TEXTJOIN("", "",TRUE,ARRAYFORMULA(TRANSPOSE(TRIM(SPLIT(G223,"","")))&amp;""_""&amp;TRIM(SPLIT(H223,"","")))))"),"Elf_Female, Human_Female, Orc_Female")</f>
        <v>Elf_Female, Human_Female, Orc_Female</v>
      </c>
      <c r="J223" s="5" t="s">
        <v>100</v>
      </c>
      <c r="L223" s="12" t="str">
        <f t="shared" si="1"/>
        <v>DintHairPack02_1,2,3</v>
      </c>
    </row>
    <row r="224" ht="15.75" customHeight="1">
      <c r="A224" s="5" t="s">
        <v>102</v>
      </c>
      <c r="C224" s="3" t="s">
        <v>3102</v>
      </c>
      <c r="D224" s="5">
        <v>2.0</v>
      </c>
      <c r="E224" s="8">
        <v>3.0</v>
      </c>
      <c r="F224" s="5" t="s">
        <v>3103</v>
      </c>
      <c r="G224" s="8" t="s">
        <v>1979</v>
      </c>
      <c r="H224" s="19" t="s">
        <v>35</v>
      </c>
      <c r="I224" s="8" t="str">
        <f>IFERROR(__xludf.DUMMYFUNCTION("IF(OR(TRIM(G224)="""",TRIM(H224)=""""),"""",TEXTJOIN("", "",TRUE,ARRAYFORMULA(TRANSPOSE(TRIM(SPLIT(G224,"","")))&amp;""_""&amp;TRIM(SPLIT(H224,"","")))))"),"Elf_Female, Human_Female, Orc_Female")</f>
        <v>Elf_Female, Human_Female, Orc_Female</v>
      </c>
      <c r="J224" s="5" t="s">
        <v>100</v>
      </c>
      <c r="L224" s="12" t="str">
        <f t="shared" si="1"/>
        <v>DintHairPack02_2,2,3</v>
      </c>
    </row>
    <row r="225" ht="15.75" customHeight="1">
      <c r="A225" s="5" t="s">
        <v>102</v>
      </c>
      <c r="C225" s="3" t="s">
        <v>3114</v>
      </c>
      <c r="D225" s="5">
        <v>3.0</v>
      </c>
      <c r="E225" s="8">
        <v>3.0</v>
      </c>
      <c r="F225" s="5" t="s">
        <v>3115</v>
      </c>
      <c r="G225" s="8" t="s">
        <v>1979</v>
      </c>
      <c r="H225" s="16" t="s">
        <v>3116</v>
      </c>
      <c r="I225" s="8" t="str">
        <f>IFERROR(__xludf.DUMMYFUNCTION("IF(OR(TRIM(G225)="""",TRIM(H225)=""""),"""",TEXTJOIN("", "",TRUE,ARRAYFORMULA(TRANSPOSE(TRIM(SPLIT(G225,"","")))&amp;""_""&amp;TRIM(SPLIT(H225,"","")))))"),"Elf_Male, Elf_Female, Human_Male, Human_Female, Orc_Male, Orc_Female")</f>
        <v>Elf_Male, Elf_Female, Human_Male, Human_Female, Orc_Male, Orc_Female</v>
      </c>
      <c r="J225" s="5" t="s">
        <v>100</v>
      </c>
      <c r="L225" s="12" t="str">
        <f t="shared" si="1"/>
        <v>DintHairPack02_3,3,3</v>
      </c>
    </row>
    <row r="226" ht="15.75" customHeight="1">
      <c r="A226" s="5" t="s">
        <v>102</v>
      </c>
      <c r="C226" s="3" t="s">
        <v>3126</v>
      </c>
      <c r="D226" s="5">
        <v>4.0</v>
      </c>
      <c r="E226" s="8">
        <v>4.0</v>
      </c>
      <c r="F226" s="5" t="s">
        <v>3128</v>
      </c>
      <c r="G226" s="8" t="s">
        <v>1979</v>
      </c>
      <c r="H226" s="19" t="s">
        <v>35</v>
      </c>
      <c r="I226" s="8" t="str">
        <f>IFERROR(__xludf.DUMMYFUNCTION("IF(OR(TRIM(G226)="""",TRIM(H226)=""""),"""",TEXTJOIN("", "",TRUE,ARRAYFORMULA(TRANSPOSE(TRIM(SPLIT(G226,"","")))&amp;""_""&amp;TRIM(SPLIT(H226,"","")))))"),"Elf_Female, Human_Female, Orc_Female")</f>
        <v>Elf_Female, Human_Female, Orc_Female</v>
      </c>
      <c r="J226" s="5" t="s">
        <v>100</v>
      </c>
      <c r="L226" s="12" t="str">
        <f t="shared" si="1"/>
        <v>DintHairPack02_3Long,4,4</v>
      </c>
    </row>
    <row r="227" ht="15.75" customHeight="1">
      <c r="A227" s="5" t="s">
        <v>102</v>
      </c>
      <c r="C227" s="3" t="s">
        <v>3137</v>
      </c>
      <c r="D227" s="5">
        <v>2.0</v>
      </c>
      <c r="E227" s="8">
        <v>3.0</v>
      </c>
      <c r="F227" s="5" t="s">
        <v>3141</v>
      </c>
      <c r="G227" s="8" t="s">
        <v>1979</v>
      </c>
      <c r="H227" s="16" t="s">
        <v>3116</v>
      </c>
      <c r="I227" s="8" t="str">
        <f>IFERROR(__xludf.DUMMYFUNCTION("IF(OR(TRIM(G227)="""",TRIM(H227)=""""),"""",TEXTJOIN("", "",TRUE,ARRAYFORMULA(TRANSPOSE(TRIM(SPLIT(G227,"","")))&amp;""_""&amp;TRIM(SPLIT(H227,"","")))))"),"Elf_Male, Elf_Female, Human_Male, Human_Female, Orc_Male, Orc_Female")</f>
        <v>Elf_Male, Elf_Female, Human_Male, Human_Female, Orc_Male, Orc_Female</v>
      </c>
      <c r="J227" s="5" t="s">
        <v>100</v>
      </c>
      <c r="L227" s="12" t="str">
        <f t="shared" si="1"/>
        <v>DintHairPack02_4,2,3</v>
      </c>
    </row>
    <row r="228" ht="15.75" customHeight="1">
      <c r="A228" s="5" t="s">
        <v>102</v>
      </c>
      <c r="C228" s="3" t="s">
        <v>3150</v>
      </c>
      <c r="D228" s="5">
        <v>2.0</v>
      </c>
      <c r="E228" s="3">
        <v>4.0</v>
      </c>
      <c r="F228" s="5" t="s">
        <v>3152</v>
      </c>
      <c r="G228" s="8" t="s">
        <v>1979</v>
      </c>
      <c r="H228" s="16" t="s">
        <v>3116</v>
      </c>
      <c r="I228" s="8" t="str">
        <f>IFERROR(__xludf.DUMMYFUNCTION("IF(OR(TRIM(G228)="""",TRIM(H228)=""""),"""",TEXTJOIN("", "",TRUE,ARRAYFORMULA(TRANSPOSE(TRIM(SPLIT(G228,"","")))&amp;""_""&amp;TRIM(SPLIT(H228,"","")))))"),"Elf_Male, Elf_Female, Human_Male, Human_Female, Orc_Male, Orc_Female")</f>
        <v>Elf_Male, Elf_Female, Human_Male, Human_Female, Orc_Male, Orc_Female</v>
      </c>
      <c r="J228" s="5" t="s">
        <v>100</v>
      </c>
      <c r="L228" s="12" t="str">
        <f t="shared" si="1"/>
        <v>DintHairPack02_5,2,4</v>
      </c>
    </row>
    <row r="229" ht="15.75" customHeight="1">
      <c r="A229" s="5" t="s">
        <v>102</v>
      </c>
      <c r="C229" s="3" t="s">
        <v>3159</v>
      </c>
      <c r="D229" s="5">
        <v>1.0</v>
      </c>
      <c r="E229" s="8">
        <v>1.0</v>
      </c>
      <c r="F229" s="5" t="s">
        <v>3162</v>
      </c>
      <c r="G229" s="8" t="s">
        <v>1979</v>
      </c>
      <c r="H229" s="16" t="s">
        <v>3116</v>
      </c>
      <c r="I229" s="8" t="str">
        <f>IFERROR(__xludf.DUMMYFUNCTION("IF(OR(TRIM(G229)="""",TRIM(H229)=""""),"""",TEXTJOIN("", "",TRUE,ARRAYFORMULA(TRANSPOSE(TRIM(SPLIT(G229,"","")))&amp;""_""&amp;TRIM(SPLIT(H229,"","")))))"),"Elf_Male, Elf_Female, Human_Male, Human_Female, Orc_Male, Orc_Female")</f>
        <v>Elf_Male, Elf_Female, Human_Male, Human_Female, Orc_Male, Orc_Female</v>
      </c>
      <c r="J229" s="5" t="s">
        <v>100</v>
      </c>
      <c r="L229" s="12" t="str">
        <f t="shared" si="1"/>
        <v>DintHairPack02_6,1,1</v>
      </c>
    </row>
    <row r="230" ht="15.75" customHeight="1">
      <c r="A230" s="5" t="s">
        <v>102</v>
      </c>
      <c r="C230" s="3" t="s">
        <v>3171</v>
      </c>
      <c r="D230" s="5">
        <v>3.0</v>
      </c>
      <c r="E230" s="3">
        <v>4.0</v>
      </c>
      <c r="F230" s="5" t="s">
        <v>3173</v>
      </c>
      <c r="G230" s="8" t="s">
        <v>1979</v>
      </c>
      <c r="H230" s="19" t="s">
        <v>35</v>
      </c>
      <c r="I230" s="8" t="str">
        <f>IFERROR(__xludf.DUMMYFUNCTION("IF(OR(TRIM(G230)="""",TRIM(H230)=""""),"""",TEXTJOIN("", "",TRUE,ARRAYFORMULA(TRANSPOSE(TRIM(SPLIT(G230,"","")))&amp;""_""&amp;TRIM(SPLIT(H230,"","")))))"),"Elf_Female, Human_Female, Orc_Female")</f>
        <v>Elf_Female, Human_Female, Orc_Female</v>
      </c>
      <c r="J230" s="5" t="s">
        <v>100</v>
      </c>
      <c r="L230" s="12" t="str">
        <f t="shared" si="1"/>
        <v>DintHairPack02_7,3,4</v>
      </c>
    </row>
    <row r="231" ht="15.75" customHeight="1">
      <c r="A231" s="5" t="s">
        <v>102</v>
      </c>
      <c r="C231" s="3" t="s">
        <v>3180</v>
      </c>
      <c r="D231" s="5">
        <v>3.0</v>
      </c>
      <c r="E231" s="3">
        <v>3.0</v>
      </c>
      <c r="F231" s="5" t="s">
        <v>3181</v>
      </c>
      <c r="G231" s="8" t="s">
        <v>1979</v>
      </c>
      <c r="H231" s="16" t="s">
        <v>3116</v>
      </c>
      <c r="I231" s="8" t="str">
        <f>IFERROR(__xludf.DUMMYFUNCTION("IF(OR(TRIM(G231)="""",TRIM(H231)=""""),"""",TEXTJOIN("", "",TRUE,ARRAYFORMULA(TRANSPOSE(TRIM(SPLIT(G231,"","")))&amp;""_""&amp;TRIM(SPLIT(H231,"","")))))"),"Elf_Male, Elf_Female, Human_Male, Human_Female, Orc_Male, Orc_Female")</f>
        <v>Elf_Male, Elf_Female, Human_Male, Human_Female, Orc_Male, Orc_Female</v>
      </c>
      <c r="J231" s="5" t="s">
        <v>100</v>
      </c>
      <c r="L231" s="12" t="str">
        <f t="shared" si="1"/>
        <v>DintHairPack02_8,3,3</v>
      </c>
    </row>
    <row r="232" ht="15.75" customHeight="1">
      <c r="A232" s="5" t="s">
        <v>102</v>
      </c>
      <c r="C232" s="3" t="s">
        <v>3189</v>
      </c>
      <c r="D232" s="5">
        <v>1.0</v>
      </c>
      <c r="E232" s="3">
        <v>2.0</v>
      </c>
      <c r="F232" s="5" t="s">
        <v>3190</v>
      </c>
      <c r="G232" s="8" t="s">
        <v>1979</v>
      </c>
      <c r="H232" s="19" t="s">
        <v>35</v>
      </c>
      <c r="I232" s="8" t="str">
        <f>IFERROR(__xludf.DUMMYFUNCTION("IF(OR(TRIM(G232)="""",TRIM(H232)=""""),"""",TEXTJOIN("", "",TRUE,ARRAYFORMULA(TRANSPOSE(TRIM(SPLIT(G232,"","")))&amp;""_""&amp;TRIM(SPLIT(H232,"","")))))"),"Elf_Female, Human_Female, Orc_Female")</f>
        <v>Elf_Female, Human_Female, Orc_Female</v>
      </c>
      <c r="J232" s="5" t="s">
        <v>100</v>
      </c>
      <c r="L232" s="12" t="str">
        <f t="shared" si="1"/>
        <v>DintHairPack02_9,1,2</v>
      </c>
    </row>
    <row r="233" ht="15.75" customHeight="1">
      <c r="A233" s="5" t="s">
        <v>102</v>
      </c>
      <c r="C233" s="3" t="s">
        <v>3197</v>
      </c>
      <c r="D233" s="5">
        <v>2.0</v>
      </c>
      <c r="E233" s="3">
        <v>3.0</v>
      </c>
      <c r="F233" s="5" t="s">
        <v>3198</v>
      </c>
      <c r="G233" s="8" t="s">
        <v>1979</v>
      </c>
      <c r="H233" s="16" t="s">
        <v>3116</v>
      </c>
      <c r="I233" s="8" t="str">
        <f>IFERROR(__xludf.DUMMYFUNCTION("IF(OR(TRIM(G233)="""",TRIM(H233)=""""),"""",TEXTJOIN("", "",TRUE,ARRAYFORMULA(TRANSPOSE(TRIM(SPLIT(G233,"","")))&amp;""_""&amp;TRIM(SPLIT(H233,"","")))))"),"Elf_Male, Elf_Female, Human_Male, Human_Female, Orc_Male, Orc_Female")</f>
        <v>Elf_Male, Elf_Female, Human_Male, Human_Female, Orc_Male, Orc_Female</v>
      </c>
      <c r="J233" s="5" t="s">
        <v>100</v>
      </c>
      <c r="L233" s="12" t="str">
        <f t="shared" si="1"/>
        <v>DintHairPack02_10,2,3</v>
      </c>
    </row>
    <row r="234" ht="15.75" customHeight="1">
      <c r="A234" s="5" t="s">
        <v>102</v>
      </c>
      <c r="C234" s="3" t="s">
        <v>3205</v>
      </c>
      <c r="D234" s="5">
        <v>1.0</v>
      </c>
      <c r="E234" s="3">
        <v>4.0</v>
      </c>
      <c r="F234" s="5" t="s">
        <v>3206</v>
      </c>
      <c r="G234" s="8" t="s">
        <v>1979</v>
      </c>
      <c r="H234" s="19" t="s">
        <v>35</v>
      </c>
      <c r="I234" s="8" t="str">
        <f>IFERROR(__xludf.DUMMYFUNCTION("IF(OR(TRIM(G234)="""",TRIM(H234)=""""),"""",TEXTJOIN("", "",TRUE,ARRAYFORMULA(TRANSPOSE(TRIM(SPLIT(G234,"","")))&amp;""_""&amp;TRIM(SPLIT(H234,"","")))))"),"Elf_Female, Human_Female, Orc_Female")</f>
        <v>Elf_Female, Human_Female, Orc_Female</v>
      </c>
      <c r="J234" s="5" t="s">
        <v>100</v>
      </c>
      <c r="L234" s="12" t="str">
        <f t="shared" si="1"/>
        <v>DintHairPack02_11,1,4</v>
      </c>
    </row>
    <row r="235" ht="15.75" customHeight="1">
      <c r="A235" s="5" t="s">
        <v>102</v>
      </c>
      <c r="C235" s="3" t="s">
        <v>3211</v>
      </c>
      <c r="D235" s="5">
        <v>2.0</v>
      </c>
      <c r="E235" s="8">
        <v>2.0</v>
      </c>
      <c r="F235" s="5" t="s">
        <v>3213</v>
      </c>
      <c r="G235" s="8" t="s">
        <v>1979</v>
      </c>
      <c r="H235" s="19" t="s">
        <v>35</v>
      </c>
      <c r="I235" s="8" t="str">
        <f>IFERROR(__xludf.DUMMYFUNCTION("IF(OR(TRIM(G235)="""",TRIM(H235)=""""),"""",TEXTJOIN("", "",TRUE,ARRAYFORMULA(TRANSPOSE(TRIM(SPLIT(G235,"","")))&amp;""_""&amp;TRIM(SPLIT(H235,"","")))))"),"Elf_Female, Human_Female, Orc_Female")</f>
        <v>Elf_Female, Human_Female, Orc_Female</v>
      </c>
      <c r="J235" s="5" t="s">
        <v>100</v>
      </c>
      <c r="L235" s="12" t="str">
        <f t="shared" si="1"/>
        <v>DintHairPack02_12,2,2</v>
      </c>
    </row>
    <row r="236" ht="15.75" customHeight="1">
      <c r="A236" s="5" t="s">
        <v>102</v>
      </c>
      <c r="C236" s="3" t="s">
        <v>3221</v>
      </c>
      <c r="D236" s="5">
        <v>2.0</v>
      </c>
      <c r="E236" s="8">
        <v>2.0</v>
      </c>
      <c r="F236" s="5" t="s">
        <v>3222</v>
      </c>
      <c r="G236" s="8" t="s">
        <v>1979</v>
      </c>
      <c r="H236" s="19" t="s">
        <v>35</v>
      </c>
      <c r="I236" s="8" t="str">
        <f>IFERROR(__xludf.DUMMYFUNCTION("IF(OR(TRIM(G236)="""",TRIM(H236)=""""),"""",TEXTJOIN("", "",TRUE,ARRAYFORMULA(TRANSPOSE(TRIM(SPLIT(G236,"","")))&amp;""_""&amp;TRIM(SPLIT(H236,"","")))))"),"Elf_Female, Human_Female, Orc_Female")</f>
        <v>Elf_Female, Human_Female, Orc_Female</v>
      </c>
      <c r="J236" s="5" t="s">
        <v>100</v>
      </c>
      <c r="L236" s="12" t="str">
        <f t="shared" si="1"/>
        <v>DintHairPack02_13,2,2</v>
      </c>
    </row>
    <row r="237" ht="15.75" customHeight="1">
      <c r="A237" s="5" t="s">
        <v>102</v>
      </c>
      <c r="C237" s="3" t="s">
        <v>3229</v>
      </c>
      <c r="D237" s="5">
        <v>2.0</v>
      </c>
      <c r="E237" s="8">
        <v>2.0</v>
      </c>
      <c r="F237" s="5" t="s">
        <v>3232</v>
      </c>
      <c r="G237" s="8" t="s">
        <v>1979</v>
      </c>
      <c r="H237" s="19" t="s">
        <v>35</v>
      </c>
      <c r="I237" s="8" t="str">
        <f>IFERROR(__xludf.DUMMYFUNCTION("IF(OR(TRIM(G237)="""",TRIM(H237)=""""),"""",TEXTJOIN("", "",TRUE,ARRAYFORMULA(TRANSPOSE(TRIM(SPLIT(G237,"","")))&amp;""_""&amp;TRIM(SPLIT(H237,"","")))))"),"Elf_Female, Human_Female, Orc_Female")</f>
        <v>Elf_Female, Human_Female, Orc_Female</v>
      </c>
      <c r="J237" s="5" t="s">
        <v>100</v>
      </c>
      <c r="L237" s="12" t="str">
        <f t="shared" si="1"/>
        <v>DintHairPack02_14,2,2</v>
      </c>
    </row>
    <row r="238" ht="15.75" customHeight="1">
      <c r="A238" s="5" t="s">
        <v>102</v>
      </c>
      <c r="C238" s="3" t="s">
        <v>3238</v>
      </c>
      <c r="D238" s="5">
        <v>2.0</v>
      </c>
      <c r="E238" s="3">
        <v>4.0</v>
      </c>
      <c r="F238" s="5" t="s">
        <v>3241</v>
      </c>
      <c r="G238" s="8" t="s">
        <v>1979</v>
      </c>
      <c r="H238" s="16" t="s">
        <v>3116</v>
      </c>
      <c r="I238" s="8" t="str">
        <f>IFERROR(__xludf.DUMMYFUNCTION("IF(OR(TRIM(G238)="""",TRIM(H238)=""""),"""",TEXTJOIN("", "",TRUE,ARRAYFORMULA(TRANSPOSE(TRIM(SPLIT(G238,"","")))&amp;""_""&amp;TRIM(SPLIT(H238,"","")))))"),"Elf_Male, Elf_Female, Human_Male, Human_Female, Orc_Male, Orc_Female")</f>
        <v>Elf_Male, Elf_Female, Human_Male, Human_Female, Orc_Male, Orc_Female</v>
      </c>
      <c r="J238" s="5" t="s">
        <v>100</v>
      </c>
      <c r="L238" s="12" t="str">
        <f t="shared" si="1"/>
        <v>DintHairPack02_15,2,4</v>
      </c>
    </row>
    <row r="239" ht="15.75" customHeight="1">
      <c r="A239" s="5" t="s">
        <v>102</v>
      </c>
      <c r="C239" s="3" t="s">
        <v>3247</v>
      </c>
      <c r="D239" s="5">
        <v>2.0</v>
      </c>
      <c r="E239" s="3">
        <v>4.0</v>
      </c>
      <c r="F239" s="5" t="s">
        <v>3249</v>
      </c>
      <c r="G239" s="8" t="s">
        <v>1979</v>
      </c>
      <c r="H239" s="16" t="s">
        <v>3116</v>
      </c>
      <c r="I239" s="8" t="str">
        <f>IFERROR(__xludf.DUMMYFUNCTION("IF(OR(TRIM(G239)="""",TRIM(H239)=""""),"""",TEXTJOIN("", "",TRUE,ARRAYFORMULA(TRANSPOSE(TRIM(SPLIT(G239,"","")))&amp;""_""&amp;TRIM(SPLIT(H239,"","")))))"),"Elf_Male, Elf_Female, Human_Male, Human_Female, Orc_Male, Orc_Female")</f>
        <v>Elf_Male, Elf_Female, Human_Male, Human_Female, Orc_Male, Orc_Female</v>
      </c>
      <c r="J239" s="5" t="s">
        <v>100</v>
      </c>
      <c r="L239" s="12" t="str">
        <f t="shared" si="1"/>
        <v>DintHairPack02_16,2,4</v>
      </c>
    </row>
    <row r="240" ht="15.75" customHeight="1">
      <c r="A240" s="5" t="s">
        <v>102</v>
      </c>
      <c r="C240" s="3" t="s">
        <v>3257</v>
      </c>
      <c r="D240" s="5">
        <v>1.0</v>
      </c>
      <c r="E240" s="8">
        <v>1.0</v>
      </c>
      <c r="F240" s="5" t="s">
        <v>3260</v>
      </c>
      <c r="G240" s="8" t="s">
        <v>1979</v>
      </c>
      <c r="H240" s="16" t="s">
        <v>3116</v>
      </c>
      <c r="I240" s="8" t="str">
        <f>IFERROR(__xludf.DUMMYFUNCTION("IF(OR(TRIM(G240)="""",TRIM(H240)=""""),"""",TEXTJOIN("", "",TRUE,ARRAYFORMULA(TRANSPOSE(TRIM(SPLIT(G240,"","")))&amp;""_""&amp;TRIM(SPLIT(H240,"","")))))"),"Elf_Male, Elf_Female, Human_Male, Human_Female, Orc_Male, Orc_Female")</f>
        <v>Elf_Male, Elf_Female, Human_Male, Human_Female, Orc_Male, Orc_Female</v>
      </c>
      <c r="J240" s="5" t="s">
        <v>100</v>
      </c>
      <c r="L240" s="12" t="str">
        <f t="shared" si="1"/>
        <v>DintHairPack02_17,1,1</v>
      </c>
    </row>
    <row r="241" ht="15.75" customHeight="1">
      <c r="A241" s="5" t="s">
        <v>102</v>
      </c>
      <c r="C241" s="3" t="s">
        <v>3269</v>
      </c>
      <c r="D241" s="5">
        <v>2.0</v>
      </c>
      <c r="E241" s="3">
        <v>4.0</v>
      </c>
      <c r="F241" s="5" t="s">
        <v>3272</v>
      </c>
      <c r="G241" s="8" t="s">
        <v>1979</v>
      </c>
      <c r="H241" s="16" t="s">
        <v>3116</v>
      </c>
      <c r="I241" s="8" t="str">
        <f>IFERROR(__xludf.DUMMYFUNCTION("IF(OR(TRIM(G241)="""",TRIM(H241)=""""),"""",TEXTJOIN("", "",TRUE,ARRAYFORMULA(TRANSPOSE(TRIM(SPLIT(G241,"","")))&amp;""_""&amp;TRIM(SPLIT(H241,"","")))))"),"Elf_Male, Elf_Female, Human_Male, Human_Female, Orc_Male, Orc_Female")</f>
        <v>Elf_Male, Elf_Female, Human_Male, Human_Female, Orc_Male, Orc_Female</v>
      </c>
      <c r="J241" s="5" t="s">
        <v>100</v>
      </c>
      <c r="L241" s="12" t="str">
        <f t="shared" si="1"/>
        <v>DintHairPack02_18A,2,4</v>
      </c>
    </row>
    <row r="242" ht="15.75" customHeight="1">
      <c r="A242" s="5" t="s">
        <v>102</v>
      </c>
      <c r="C242" s="3" t="s">
        <v>3278</v>
      </c>
      <c r="D242" s="5">
        <v>2.0</v>
      </c>
      <c r="E242" s="3">
        <v>4.0</v>
      </c>
      <c r="F242" s="5" t="s">
        <v>3280</v>
      </c>
      <c r="G242" s="8" t="s">
        <v>1979</v>
      </c>
      <c r="H242" s="16" t="s">
        <v>3116</v>
      </c>
      <c r="I242" s="8" t="str">
        <f>IFERROR(__xludf.DUMMYFUNCTION("IF(OR(TRIM(G242)="""",TRIM(H242)=""""),"""",TEXTJOIN("", "",TRUE,ARRAYFORMULA(TRANSPOSE(TRIM(SPLIT(G242,"","")))&amp;""_""&amp;TRIM(SPLIT(H242,"","")))))"),"Elf_Male, Elf_Female, Human_Male, Human_Female, Orc_Male, Orc_Female")</f>
        <v>Elf_Male, Elf_Female, Human_Male, Human_Female, Orc_Male, Orc_Female</v>
      </c>
      <c r="J242" s="5" t="s">
        <v>100</v>
      </c>
      <c r="L242" s="12" t="str">
        <f t="shared" si="1"/>
        <v>DintHairPack02_18B,2,4</v>
      </c>
    </row>
    <row r="243" ht="15.75" customHeight="1">
      <c r="A243" s="5" t="s">
        <v>102</v>
      </c>
      <c r="C243" s="3" t="s">
        <v>3289</v>
      </c>
      <c r="D243" s="5">
        <v>2.0</v>
      </c>
      <c r="E243" s="3">
        <v>4.0</v>
      </c>
      <c r="F243" s="5" t="s">
        <v>3290</v>
      </c>
      <c r="G243" s="8" t="s">
        <v>1979</v>
      </c>
      <c r="H243" s="16" t="s">
        <v>3116</v>
      </c>
      <c r="I243" s="8" t="str">
        <f>IFERROR(__xludf.DUMMYFUNCTION("IF(OR(TRIM(G243)="""",TRIM(H243)=""""),"""",TEXTJOIN("", "",TRUE,ARRAYFORMULA(TRANSPOSE(TRIM(SPLIT(G243,"","")))&amp;""_""&amp;TRIM(SPLIT(H243,"","")))))"),"Elf_Male, Elf_Female, Human_Male, Human_Female, Orc_Male, Orc_Female")</f>
        <v>Elf_Male, Elf_Female, Human_Male, Human_Female, Orc_Male, Orc_Female</v>
      </c>
      <c r="J243" s="5" t="s">
        <v>100</v>
      </c>
      <c r="L243" s="12" t="str">
        <f t="shared" si="1"/>
        <v>DintHairPack02_18C,2,4</v>
      </c>
    </row>
    <row r="244" ht="15.75" customHeight="1">
      <c r="A244" s="5" t="s">
        <v>102</v>
      </c>
      <c r="C244" s="3" t="s">
        <v>3297</v>
      </c>
      <c r="D244" s="5">
        <v>2.0</v>
      </c>
      <c r="E244" s="3">
        <v>3.0</v>
      </c>
      <c r="F244" s="5" t="s">
        <v>3298</v>
      </c>
      <c r="G244" s="8" t="s">
        <v>1979</v>
      </c>
      <c r="H244" s="16" t="s">
        <v>3116</v>
      </c>
      <c r="I244" s="8" t="str">
        <f>IFERROR(__xludf.DUMMYFUNCTION("IF(OR(TRIM(G244)="""",TRIM(H244)=""""),"""",TEXTJOIN("", "",TRUE,ARRAYFORMULA(TRANSPOSE(TRIM(SPLIT(G244,"","")))&amp;""_""&amp;TRIM(SPLIT(H244,"","")))))"),"Elf_Male, Elf_Female, Human_Male, Human_Female, Orc_Male, Orc_Female")</f>
        <v>Elf_Male, Elf_Female, Human_Male, Human_Female, Orc_Male, Orc_Female</v>
      </c>
      <c r="J244" s="5" t="s">
        <v>100</v>
      </c>
      <c r="L244" s="12" t="str">
        <f t="shared" si="1"/>
        <v>DintHairPack02_19,2,3</v>
      </c>
    </row>
    <row r="245" ht="15.75" customHeight="1">
      <c r="A245" s="5" t="s">
        <v>102</v>
      </c>
      <c r="C245" s="3" t="s">
        <v>3307</v>
      </c>
      <c r="D245" s="5">
        <v>3.0</v>
      </c>
      <c r="E245" s="3">
        <v>3.0</v>
      </c>
      <c r="F245" s="5" t="s">
        <v>3309</v>
      </c>
      <c r="G245" s="8" t="s">
        <v>1979</v>
      </c>
      <c r="H245" s="16" t="s">
        <v>3116</v>
      </c>
      <c r="I245" s="8" t="str">
        <f>IFERROR(__xludf.DUMMYFUNCTION("IF(OR(TRIM(G245)="""",TRIM(H245)=""""),"""",TEXTJOIN("", "",TRUE,ARRAYFORMULA(TRANSPOSE(TRIM(SPLIT(G245,"","")))&amp;""_""&amp;TRIM(SPLIT(H245,"","")))))"),"Elf_Male, Elf_Female, Human_Male, Human_Female, Orc_Male, Orc_Female")</f>
        <v>Elf_Male, Elf_Female, Human_Male, Human_Female, Orc_Male, Orc_Female</v>
      </c>
      <c r="J245" s="5" t="s">
        <v>100</v>
      </c>
      <c r="L245" s="12" t="str">
        <f t="shared" si="1"/>
        <v>DintHairPack02_20,3,3</v>
      </c>
    </row>
    <row r="246" ht="15.75" customHeight="1">
      <c r="A246" s="5" t="s">
        <v>102</v>
      </c>
      <c r="C246" s="3" t="s">
        <v>3315</v>
      </c>
      <c r="D246" s="5">
        <v>2.0</v>
      </c>
      <c r="E246" s="8">
        <v>2.0</v>
      </c>
      <c r="F246" s="5" t="s">
        <v>3317</v>
      </c>
      <c r="G246" s="8" t="s">
        <v>1979</v>
      </c>
      <c r="H246" s="16" t="s">
        <v>3116</v>
      </c>
      <c r="I246" s="8" t="str">
        <f>IFERROR(__xludf.DUMMYFUNCTION("IF(OR(TRIM(G246)="""",TRIM(H246)=""""),"""",TEXTJOIN("", "",TRUE,ARRAYFORMULA(TRANSPOSE(TRIM(SPLIT(G246,"","")))&amp;""_""&amp;TRIM(SPLIT(H246,"","")))))"),"Elf_Male, Elf_Female, Human_Male, Human_Female, Orc_Male, Orc_Female")</f>
        <v>Elf_Male, Elf_Female, Human_Male, Human_Female, Orc_Male, Orc_Female</v>
      </c>
      <c r="J246" s="5" t="s">
        <v>100</v>
      </c>
      <c r="L246" s="12" t="str">
        <f t="shared" si="1"/>
        <v>DintHairPack02_21,2,2</v>
      </c>
    </row>
    <row r="247" ht="15.75" customHeight="1">
      <c r="A247" s="5" t="s">
        <v>102</v>
      </c>
      <c r="C247" s="3" t="s">
        <v>3324</v>
      </c>
      <c r="D247" s="5">
        <v>2.0</v>
      </c>
      <c r="E247" s="3">
        <v>4.0</v>
      </c>
      <c r="F247" s="5" t="s">
        <v>3325</v>
      </c>
      <c r="G247" s="8" t="s">
        <v>1979</v>
      </c>
      <c r="H247" s="16" t="s">
        <v>3116</v>
      </c>
      <c r="I247" s="8" t="str">
        <f>IFERROR(__xludf.DUMMYFUNCTION("IF(OR(TRIM(G247)="""",TRIM(H247)=""""),"""",TEXTJOIN("", "",TRUE,ARRAYFORMULA(TRANSPOSE(TRIM(SPLIT(G247,"","")))&amp;""_""&amp;TRIM(SPLIT(H247,"","")))))"),"Elf_Male, Elf_Female, Human_Male, Human_Female, Orc_Male, Orc_Female")</f>
        <v>Elf_Male, Elf_Female, Human_Male, Human_Female, Orc_Male, Orc_Female</v>
      </c>
      <c r="J247" s="5" t="s">
        <v>100</v>
      </c>
      <c r="L247" s="12" t="str">
        <f t="shared" si="1"/>
        <v>DintHairPack02_22,2,4</v>
      </c>
    </row>
    <row r="248" ht="15.75" customHeight="1">
      <c r="A248" s="5" t="s">
        <v>102</v>
      </c>
      <c r="C248" s="3" t="s">
        <v>3333</v>
      </c>
      <c r="D248" s="5">
        <v>2.0</v>
      </c>
      <c r="E248" s="3">
        <v>2.0</v>
      </c>
      <c r="F248" s="5" t="s">
        <v>3334</v>
      </c>
      <c r="G248" s="8" t="s">
        <v>1979</v>
      </c>
      <c r="H248" s="16" t="s">
        <v>3116</v>
      </c>
      <c r="I248" s="8" t="str">
        <f>IFERROR(__xludf.DUMMYFUNCTION("IF(OR(TRIM(G248)="""",TRIM(H248)=""""),"""",TEXTJOIN("", "",TRUE,ARRAYFORMULA(TRANSPOSE(TRIM(SPLIT(G248,"","")))&amp;""_""&amp;TRIM(SPLIT(H248,"","")))))"),"Elf_Male, Elf_Female, Human_Male, Human_Female, Orc_Male, Orc_Female")</f>
        <v>Elf_Male, Elf_Female, Human_Male, Human_Female, Orc_Male, Orc_Female</v>
      </c>
      <c r="J248" s="5" t="s">
        <v>100</v>
      </c>
      <c r="L248" s="12" t="str">
        <f t="shared" si="1"/>
        <v>DintHairPack02_23,2,2</v>
      </c>
    </row>
    <row r="249" ht="15.75" customHeight="1">
      <c r="A249" s="5" t="s">
        <v>102</v>
      </c>
      <c r="C249" s="3" t="s">
        <v>3341</v>
      </c>
      <c r="D249" s="5">
        <v>2.0</v>
      </c>
      <c r="E249" s="3">
        <v>3.0</v>
      </c>
      <c r="F249" s="5" t="s">
        <v>3342</v>
      </c>
      <c r="G249" s="8" t="s">
        <v>1979</v>
      </c>
      <c r="H249" s="16" t="s">
        <v>3116</v>
      </c>
      <c r="I249" s="8" t="str">
        <f>IFERROR(__xludf.DUMMYFUNCTION("IF(OR(TRIM(G249)="""",TRIM(H249)=""""),"""",TEXTJOIN("", "",TRUE,ARRAYFORMULA(TRANSPOSE(TRIM(SPLIT(G249,"","")))&amp;""_""&amp;TRIM(SPLIT(H249,"","")))))"),"Elf_Male, Elf_Female, Human_Male, Human_Female, Orc_Male, Orc_Female")</f>
        <v>Elf_Male, Elf_Female, Human_Male, Human_Female, Orc_Male, Orc_Female</v>
      </c>
      <c r="J249" s="5" t="s">
        <v>100</v>
      </c>
      <c r="L249" s="12" t="str">
        <f t="shared" si="1"/>
        <v>DintHairPack02_24,2,3</v>
      </c>
    </row>
    <row r="250" ht="15.75" customHeight="1">
      <c r="A250" s="5" t="s">
        <v>102</v>
      </c>
      <c r="C250" s="3" t="s">
        <v>3348</v>
      </c>
      <c r="D250" s="5">
        <v>2.0</v>
      </c>
      <c r="E250" s="3">
        <v>3.0</v>
      </c>
      <c r="F250" s="5" t="s">
        <v>3350</v>
      </c>
      <c r="G250" s="8" t="s">
        <v>1979</v>
      </c>
      <c r="H250" s="16" t="s">
        <v>3116</v>
      </c>
      <c r="I250" s="8" t="str">
        <f>IFERROR(__xludf.DUMMYFUNCTION("IF(OR(TRIM(G250)="""",TRIM(H250)=""""),"""",TEXTJOIN("", "",TRUE,ARRAYFORMULA(TRANSPOSE(TRIM(SPLIT(G250,"","")))&amp;""_""&amp;TRIM(SPLIT(H250,"","")))))"),"Elf_Male, Elf_Female, Human_Male, Human_Female, Orc_Male, Orc_Female")</f>
        <v>Elf_Male, Elf_Female, Human_Male, Human_Female, Orc_Male, Orc_Female</v>
      </c>
      <c r="J250" s="5" t="s">
        <v>100</v>
      </c>
      <c r="L250" s="12" t="str">
        <f t="shared" si="1"/>
        <v>DintHairPack02_25,2,3</v>
      </c>
    </row>
    <row r="251" ht="15.75" customHeight="1">
      <c r="A251" s="5" t="s">
        <v>102</v>
      </c>
      <c r="C251" s="3" t="s">
        <v>3357</v>
      </c>
      <c r="D251" s="5">
        <v>2.0</v>
      </c>
      <c r="E251" s="3">
        <v>3.0</v>
      </c>
      <c r="F251" s="5" t="s">
        <v>3359</v>
      </c>
      <c r="G251" s="8" t="s">
        <v>1979</v>
      </c>
      <c r="H251" s="16" t="s">
        <v>3116</v>
      </c>
      <c r="I251" s="8" t="str">
        <f>IFERROR(__xludf.DUMMYFUNCTION("IF(OR(TRIM(G251)="""",TRIM(H251)=""""),"""",TEXTJOIN("", "",TRUE,ARRAYFORMULA(TRANSPOSE(TRIM(SPLIT(G251,"","")))&amp;""_""&amp;TRIM(SPLIT(H251,"","")))))"),"Elf_Male, Elf_Female, Human_Male, Human_Female, Orc_Male, Orc_Female")</f>
        <v>Elf_Male, Elf_Female, Human_Male, Human_Female, Orc_Male, Orc_Female</v>
      </c>
      <c r="J251" s="5" t="s">
        <v>100</v>
      </c>
      <c r="L251" s="12" t="str">
        <f t="shared" si="1"/>
        <v>DintHairPack02_26,2,3</v>
      </c>
    </row>
    <row r="252" ht="15.75" customHeight="1">
      <c r="A252" s="5" t="s">
        <v>102</v>
      </c>
      <c r="C252" s="3" t="s">
        <v>3365</v>
      </c>
      <c r="D252" s="5">
        <v>2.0</v>
      </c>
      <c r="E252" s="3">
        <v>4.0</v>
      </c>
      <c r="F252" s="5" t="s">
        <v>3368</v>
      </c>
      <c r="G252" s="8" t="s">
        <v>1979</v>
      </c>
      <c r="H252" s="19" t="s">
        <v>35</v>
      </c>
      <c r="I252" s="8" t="str">
        <f>IFERROR(__xludf.DUMMYFUNCTION("IF(OR(TRIM(G252)="""",TRIM(H252)=""""),"""",TEXTJOIN("", "",TRUE,ARRAYFORMULA(TRANSPOSE(TRIM(SPLIT(G252,"","")))&amp;""_""&amp;TRIM(SPLIT(H252,"","")))))"),"Elf_Female, Human_Female, Orc_Female")</f>
        <v>Elf_Female, Human_Female, Orc_Female</v>
      </c>
      <c r="J252" s="5" t="s">
        <v>100</v>
      </c>
      <c r="L252" s="12" t="str">
        <f t="shared" si="1"/>
        <v>DintHairPack02_27,2,4</v>
      </c>
    </row>
    <row r="253" ht="15.75" customHeight="1">
      <c r="A253" s="5" t="s">
        <v>102</v>
      </c>
      <c r="C253" s="3" t="s">
        <v>3373</v>
      </c>
      <c r="D253" s="5">
        <v>3.0</v>
      </c>
      <c r="E253" s="8">
        <v>3.0</v>
      </c>
      <c r="F253" s="5" t="s">
        <v>3377</v>
      </c>
      <c r="G253" s="8" t="s">
        <v>1979</v>
      </c>
      <c r="H253" s="16" t="s">
        <v>3116</v>
      </c>
      <c r="I253" s="8" t="str">
        <f>IFERROR(__xludf.DUMMYFUNCTION("IF(OR(TRIM(G253)="""",TRIM(H253)=""""),"""",TEXTJOIN("", "",TRUE,ARRAYFORMULA(TRANSPOSE(TRIM(SPLIT(G253,"","")))&amp;""_""&amp;TRIM(SPLIT(H253,"","")))))"),"Elf_Male, Elf_Female, Human_Male, Human_Female, Orc_Male, Orc_Female")</f>
        <v>Elf_Male, Elf_Female, Human_Male, Human_Female, Orc_Male, Orc_Female</v>
      </c>
      <c r="J253" s="5" t="s">
        <v>100</v>
      </c>
      <c r="L253" s="12" t="str">
        <f t="shared" si="1"/>
        <v>DintHairPack02_28,3,3</v>
      </c>
    </row>
    <row r="254" ht="15.75" customHeight="1">
      <c r="A254" s="5" t="s">
        <v>102</v>
      </c>
      <c r="C254" s="3" t="s">
        <v>3384</v>
      </c>
      <c r="D254" s="5">
        <v>2.0</v>
      </c>
      <c r="E254" s="8">
        <v>3.0</v>
      </c>
      <c r="F254" s="5" t="s">
        <v>3387</v>
      </c>
      <c r="G254" s="8" t="s">
        <v>1979</v>
      </c>
      <c r="H254" s="19" t="s">
        <v>35</v>
      </c>
      <c r="I254" s="8" t="str">
        <f>IFERROR(__xludf.DUMMYFUNCTION("IF(OR(TRIM(G254)="""",TRIM(H254)=""""),"""",TEXTJOIN("", "",TRUE,ARRAYFORMULA(TRANSPOSE(TRIM(SPLIT(G254,"","")))&amp;""_""&amp;TRIM(SPLIT(H254,"","")))))"),"Elf_Female, Human_Female, Orc_Female")</f>
        <v>Elf_Female, Human_Female, Orc_Female</v>
      </c>
      <c r="J254" s="5" t="s">
        <v>100</v>
      </c>
      <c r="L254" s="12" t="str">
        <f t="shared" si="1"/>
        <v>DintHairPack02_29,2,3</v>
      </c>
    </row>
    <row r="255" ht="15.75" customHeight="1">
      <c r="A255" s="5" t="s">
        <v>102</v>
      </c>
      <c r="C255" s="3" t="s">
        <v>3395</v>
      </c>
      <c r="D255" s="5">
        <v>1.0</v>
      </c>
      <c r="E255" s="3">
        <v>3.0</v>
      </c>
      <c r="F255" s="5" t="s">
        <v>3398</v>
      </c>
      <c r="G255" s="8" t="s">
        <v>1979</v>
      </c>
      <c r="H255" s="16" t="s">
        <v>3116</v>
      </c>
      <c r="I255" s="8" t="str">
        <f>IFERROR(__xludf.DUMMYFUNCTION("IF(OR(TRIM(G255)="""",TRIM(H255)=""""),"""",TEXTJOIN("", "",TRUE,ARRAYFORMULA(TRANSPOSE(TRIM(SPLIT(G255,"","")))&amp;""_""&amp;TRIM(SPLIT(H255,"","")))))"),"Elf_Male, Elf_Female, Human_Male, Human_Female, Orc_Male, Orc_Female")</f>
        <v>Elf_Male, Elf_Female, Human_Male, Human_Female, Orc_Male, Orc_Female</v>
      </c>
      <c r="J255" s="5" t="s">
        <v>100</v>
      </c>
      <c r="L255" s="12" t="str">
        <f t="shared" si="1"/>
        <v>DintHairPack02_30,1,3</v>
      </c>
    </row>
    <row r="256" ht="15.75" customHeight="1">
      <c r="A256" s="5" t="s">
        <v>102</v>
      </c>
      <c r="C256" s="3" t="s">
        <v>3405</v>
      </c>
      <c r="D256" s="5">
        <v>2.0</v>
      </c>
      <c r="E256" s="3">
        <v>3.0</v>
      </c>
      <c r="F256" s="5" t="s">
        <v>3408</v>
      </c>
      <c r="G256" s="8" t="s">
        <v>1979</v>
      </c>
      <c r="H256" s="19" t="s">
        <v>35</v>
      </c>
      <c r="I256" s="8" t="str">
        <f>IFERROR(__xludf.DUMMYFUNCTION("IF(OR(TRIM(G256)="""",TRIM(H256)=""""),"""",TEXTJOIN("", "",TRUE,ARRAYFORMULA(TRANSPOSE(TRIM(SPLIT(G256,"","")))&amp;""_""&amp;TRIM(SPLIT(H256,"","")))))"),"Elf_Female, Human_Female, Orc_Female")</f>
        <v>Elf_Female, Human_Female, Orc_Female</v>
      </c>
      <c r="J256" s="5" t="s">
        <v>100</v>
      </c>
      <c r="L256" s="12" t="str">
        <f t="shared" si="1"/>
        <v>DintHairPack02_31,2,3</v>
      </c>
    </row>
    <row r="257" ht="15.75" customHeight="1">
      <c r="A257" s="5" t="s">
        <v>102</v>
      </c>
      <c r="C257" s="3" t="s">
        <v>3414</v>
      </c>
      <c r="D257" s="5">
        <v>1.0</v>
      </c>
      <c r="E257" s="3">
        <v>4.0</v>
      </c>
      <c r="F257" s="5" t="s">
        <v>3416</v>
      </c>
      <c r="G257" s="8" t="s">
        <v>1979</v>
      </c>
      <c r="H257" s="19" t="s">
        <v>35</v>
      </c>
      <c r="I257" s="8" t="str">
        <f>IFERROR(__xludf.DUMMYFUNCTION("IF(OR(TRIM(G257)="""",TRIM(H257)=""""),"""",TEXTJOIN("", "",TRUE,ARRAYFORMULA(TRANSPOSE(TRIM(SPLIT(G257,"","")))&amp;""_""&amp;TRIM(SPLIT(H257,"","")))))"),"Elf_Female, Human_Female, Orc_Female")</f>
        <v>Elf_Female, Human_Female, Orc_Female</v>
      </c>
      <c r="J257" s="5" t="s">
        <v>100</v>
      </c>
      <c r="L257" s="12" t="str">
        <f t="shared" si="1"/>
        <v>DintHairPack02_32,1,4</v>
      </c>
    </row>
    <row r="258" ht="15.75" customHeight="1">
      <c r="A258" s="5" t="s">
        <v>102</v>
      </c>
      <c r="C258" s="3" t="s">
        <v>3422</v>
      </c>
      <c r="D258" s="5">
        <v>2.0</v>
      </c>
      <c r="E258" s="3">
        <v>4.0</v>
      </c>
      <c r="F258" s="5" t="s">
        <v>3424</v>
      </c>
      <c r="G258" s="8" t="s">
        <v>1979</v>
      </c>
      <c r="H258" s="16" t="s">
        <v>3116</v>
      </c>
      <c r="I258" s="8" t="str">
        <f>IFERROR(__xludf.DUMMYFUNCTION("IF(OR(TRIM(G258)="""",TRIM(H258)=""""),"""",TEXTJOIN("", "",TRUE,ARRAYFORMULA(TRANSPOSE(TRIM(SPLIT(G258,"","")))&amp;""_""&amp;TRIM(SPLIT(H258,"","")))))"),"Elf_Male, Elf_Female, Human_Male, Human_Female, Orc_Male, Orc_Female")</f>
        <v>Elf_Male, Elf_Female, Human_Male, Human_Female, Orc_Male, Orc_Female</v>
      </c>
      <c r="J258" s="5" t="s">
        <v>100</v>
      </c>
      <c r="L258" s="12" t="str">
        <f t="shared" si="1"/>
        <v>DintHairPack02_33,2,4</v>
      </c>
    </row>
    <row r="259" ht="15.75" customHeight="1">
      <c r="A259" s="5" t="s">
        <v>102</v>
      </c>
      <c r="C259" s="3" t="s">
        <v>3429</v>
      </c>
      <c r="D259" s="5">
        <v>1.0</v>
      </c>
      <c r="E259" s="8">
        <v>1.0</v>
      </c>
      <c r="F259" s="5" t="s">
        <v>3432</v>
      </c>
      <c r="G259" s="8" t="s">
        <v>1979</v>
      </c>
      <c r="H259" s="19" t="s">
        <v>35</v>
      </c>
      <c r="I259" s="8" t="str">
        <f>IFERROR(__xludf.DUMMYFUNCTION("IF(OR(TRIM(G259)="""",TRIM(H259)=""""),"""",TEXTJOIN("", "",TRUE,ARRAYFORMULA(TRANSPOSE(TRIM(SPLIT(G259,"","")))&amp;""_""&amp;TRIM(SPLIT(H259,"","")))))"),"Elf_Female, Human_Female, Orc_Female")</f>
        <v>Elf_Female, Human_Female, Orc_Female</v>
      </c>
      <c r="J259" s="5" t="s">
        <v>100</v>
      </c>
      <c r="L259" s="12" t="str">
        <f t="shared" si="1"/>
        <v>DintHairPack02_34,1,1</v>
      </c>
    </row>
    <row r="260" ht="15.75" customHeight="1">
      <c r="A260" s="5" t="s">
        <v>102</v>
      </c>
      <c r="C260" s="3" t="s">
        <v>3437</v>
      </c>
      <c r="D260" s="5">
        <v>1.0</v>
      </c>
      <c r="E260" s="8">
        <v>1.0</v>
      </c>
      <c r="F260" s="5" t="s">
        <v>3439</v>
      </c>
      <c r="G260" s="8" t="s">
        <v>1979</v>
      </c>
      <c r="H260" s="19" t="s">
        <v>35</v>
      </c>
      <c r="I260" s="8" t="str">
        <f>IFERROR(__xludf.DUMMYFUNCTION("IF(OR(TRIM(G260)="""",TRIM(H260)=""""),"""",TEXTJOIN("", "",TRUE,ARRAYFORMULA(TRANSPOSE(TRIM(SPLIT(G260,"","")))&amp;""_""&amp;TRIM(SPLIT(H260,"","")))))"),"Elf_Female, Human_Female, Orc_Female")</f>
        <v>Elf_Female, Human_Female, Orc_Female</v>
      </c>
      <c r="J260" s="5" t="s">
        <v>100</v>
      </c>
      <c r="L260" s="12" t="str">
        <f t="shared" si="1"/>
        <v>DintHairPack02_35,1,1</v>
      </c>
    </row>
    <row r="261" ht="15.75" customHeight="1">
      <c r="A261" s="3" t="s">
        <v>3445</v>
      </c>
      <c r="C261" s="3" t="s">
        <v>3446</v>
      </c>
      <c r="D261" s="5">
        <v>2.0</v>
      </c>
      <c r="E261" s="8">
        <v>2.0</v>
      </c>
      <c r="F261" s="5" t="s">
        <v>3448</v>
      </c>
      <c r="G261" s="3" t="s">
        <v>3450</v>
      </c>
      <c r="H261" s="16" t="s">
        <v>3116</v>
      </c>
      <c r="I261" s="8" t="str">
        <f>IFERROR(__xludf.DUMMYFUNCTION("IF(OR(TRIM(G261)="""",TRIM(H261)=""""),"""",TEXTJOIN("", "",TRUE,ARRAYFORMULA(TRANSPOSE(TRIM(SPLIT(G261,"","")))&amp;""_""&amp;TRIM(SPLIT(H261,"","")))))"),"Elf_Male, Elf_Female, Human_Male, Human_Female, Orc_Male, Orc_Female, Khajiit_Male, Khajiit_Female")</f>
        <v>Elf_Male, Elf_Female, Human_Male, Human_Female, Orc_Male, Orc_Female, Khajiit_Male, Khajiit_Female</v>
      </c>
      <c r="J261" s="5" t="s">
        <v>342</v>
      </c>
      <c r="K261" s="5" t="s">
        <v>3455</v>
      </c>
      <c r="L261" s="12" t="str">
        <f t="shared" si="1"/>
        <v>FuseHairstyles_Aldo,2,2</v>
      </c>
    </row>
    <row r="262" ht="15.75" customHeight="1">
      <c r="A262" s="3" t="s">
        <v>3445</v>
      </c>
      <c r="C262" s="3" t="s">
        <v>3458</v>
      </c>
      <c r="D262" s="5">
        <v>1.0</v>
      </c>
      <c r="E262" s="3">
        <v>3.0</v>
      </c>
      <c r="F262" s="5" t="s">
        <v>3461</v>
      </c>
      <c r="G262" s="8" t="s">
        <v>1979</v>
      </c>
      <c r="H262" s="16" t="s">
        <v>3116</v>
      </c>
      <c r="I262" s="8" t="str">
        <f>IFERROR(__xludf.DUMMYFUNCTION("IF(OR(TRIM(G262)="""",TRIM(H262)=""""),"""",TEXTJOIN("", "",TRUE,ARRAYFORMULA(TRANSPOSE(TRIM(SPLIT(G262,"","")))&amp;""_""&amp;TRIM(SPLIT(H262,"","")))))"),"Elf_Male, Elf_Female, Human_Male, Human_Female, Orc_Male, Orc_Female")</f>
        <v>Elf_Male, Elf_Female, Human_Male, Human_Female, Orc_Male, Orc_Female</v>
      </c>
      <c r="J262" s="5" t="s">
        <v>384</v>
      </c>
      <c r="L262" s="12" t="str">
        <f t="shared" si="1"/>
        <v>FuseHairstyles_Alucard,1,3</v>
      </c>
    </row>
    <row r="263" ht="15.75" customHeight="1">
      <c r="A263" s="3" t="s">
        <v>3445</v>
      </c>
      <c r="C263" s="3" t="s">
        <v>3469</v>
      </c>
      <c r="D263" s="5">
        <v>1.0</v>
      </c>
      <c r="E263" s="3">
        <v>2.0</v>
      </c>
      <c r="F263" s="5" t="s">
        <v>3471</v>
      </c>
      <c r="G263" s="3" t="s">
        <v>3450</v>
      </c>
      <c r="H263" s="16" t="s">
        <v>3116</v>
      </c>
      <c r="I263" s="8" t="str">
        <f>IFERROR(__xludf.DUMMYFUNCTION("IF(OR(TRIM(G263)="""",TRIM(H263)=""""),"""",TEXTJOIN("", "",TRUE,ARRAYFORMULA(TRANSPOSE(TRIM(SPLIT(G263,"","")))&amp;""_""&amp;TRIM(SPLIT(H263,"","")))))"),"Elf_Male, Elf_Female, Human_Male, Human_Female, Orc_Male, Orc_Female, Khajiit_Male, Khajiit_Female")</f>
        <v>Elf_Male, Elf_Female, Human_Male, Human_Female, Orc_Male, Orc_Female, Khajiit_Male, Khajiit_Female</v>
      </c>
      <c r="J263" s="5" t="s">
        <v>416</v>
      </c>
      <c r="K263" s="5" t="s">
        <v>3455</v>
      </c>
      <c r="L263" s="12" t="str">
        <f t="shared" si="1"/>
        <v>FuseHairstyles_Amber,1,2</v>
      </c>
    </row>
    <row r="264" ht="15.75" customHeight="1">
      <c r="A264" s="3" t="s">
        <v>3445</v>
      </c>
      <c r="C264" s="3" t="s">
        <v>3479</v>
      </c>
      <c r="D264" s="5">
        <v>1.0</v>
      </c>
      <c r="E264" s="8">
        <v>1.0</v>
      </c>
      <c r="F264" s="5" t="s">
        <v>3482</v>
      </c>
      <c r="G264" s="3" t="s">
        <v>3450</v>
      </c>
      <c r="H264" s="16" t="s">
        <v>3116</v>
      </c>
      <c r="I264" s="8" t="str">
        <f>IFERROR(__xludf.DUMMYFUNCTION("IF(OR(TRIM(G264)="""",TRIM(H264)=""""),"""",TEXTJOIN("", "",TRUE,ARRAYFORMULA(TRANSPOSE(TRIM(SPLIT(G264,"","")))&amp;""_""&amp;TRIM(SPLIT(H264,"","")))))"),"Elf_Male, Elf_Female, Human_Male, Human_Female, Orc_Male, Orc_Female, Khajiit_Male, Khajiit_Female")</f>
        <v>Elf_Male, Elf_Female, Human_Male, Human_Female, Orc_Male, Orc_Female, Khajiit_Male, Khajiit_Female</v>
      </c>
      <c r="J264" s="5" t="s">
        <v>441</v>
      </c>
      <c r="K264" s="5" t="s">
        <v>3455</v>
      </c>
      <c r="L264" s="12" t="str">
        <f t="shared" si="1"/>
        <v>FuseHairstyles_Astri,1,1</v>
      </c>
    </row>
    <row r="265" ht="15.75" customHeight="1">
      <c r="A265" s="3" t="s">
        <v>3445</v>
      </c>
      <c r="C265" s="3" t="s">
        <v>3488</v>
      </c>
      <c r="D265" s="5">
        <v>2.0</v>
      </c>
      <c r="E265" s="8">
        <v>2.0</v>
      </c>
      <c r="F265" s="5" t="s">
        <v>3490</v>
      </c>
      <c r="G265" s="8" t="s">
        <v>1979</v>
      </c>
      <c r="H265" s="16" t="s">
        <v>3116</v>
      </c>
      <c r="I265" s="8" t="str">
        <f>IFERROR(__xludf.DUMMYFUNCTION("IF(OR(TRIM(G265)="""",TRIM(H265)=""""),"""",TEXTJOIN("", "",TRUE,ARRAYFORMULA(TRANSPOSE(TRIM(SPLIT(G265,"","")))&amp;""_""&amp;TRIM(SPLIT(H265,"","")))))"),"Elf_Male, Elf_Female, Human_Male, Human_Female, Orc_Male, Orc_Female")</f>
        <v>Elf_Male, Elf_Female, Human_Male, Human_Female, Orc_Male, Orc_Female</v>
      </c>
      <c r="J265" s="5" t="s">
        <v>461</v>
      </c>
      <c r="L265" s="12" t="str">
        <f t="shared" si="1"/>
        <v>FuseHairstyles_Dreads,2,2</v>
      </c>
    </row>
    <row r="266" ht="15.75" customHeight="1">
      <c r="A266" s="3" t="s">
        <v>3445</v>
      </c>
      <c r="C266" s="3" t="s">
        <v>3501</v>
      </c>
      <c r="D266" s="5">
        <v>2.0</v>
      </c>
      <c r="E266" s="3">
        <v>3.0</v>
      </c>
      <c r="F266" s="5" t="s">
        <v>3502</v>
      </c>
      <c r="G266" s="3" t="s">
        <v>3450</v>
      </c>
      <c r="H266" s="16" t="s">
        <v>3116</v>
      </c>
      <c r="I266" s="8" t="str">
        <f>IFERROR(__xludf.DUMMYFUNCTION("IF(OR(TRIM(G266)="""",TRIM(H266)=""""),"""",TEXTJOIN("", "",TRUE,ARRAYFORMULA(TRANSPOSE(TRIM(SPLIT(G266,"","")))&amp;""_""&amp;TRIM(SPLIT(H266,"","")))))"),"Elf_Male, Elf_Female, Human_Male, Human_Female, Orc_Male, Orc_Female, Khajiit_Male, Khajiit_Female")</f>
        <v>Elf_Male, Elf_Female, Human_Male, Human_Female, Orc_Male, Orc_Female, Khajiit_Male, Khajiit_Female</v>
      </c>
      <c r="J266" s="5" t="s">
        <v>441</v>
      </c>
      <c r="K266" s="5" t="s">
        <v>3455</v>
      </c>
      <c r="L266" s="12" t="str">
        <f t="shared" si="1"/>
        <v>FuseHairstyles_Freyja,2,3</v>
      </c>
    </row>
    <row r="267" ht="15.75" customHeight="1">
      <c r="A267" s="3" t="s">
        <v>3445</v>
      </c>
      <c r="C267" s="3" t="s">
        <v>3510</v>
      </c>
      <c r="D267" s="5">
        <v>1.0</v>
      </c>
      <c r="E267" s="8">
        <v>1.0</v>
      </c>
      <c r="F267" s="5" t="s">
        <v>3512</v>
      </c>
      <c r="G267" s="8" t="s">
        <v>1979</v>
      </c>
      <c r="H267" s="16" t="s">
        <v>3116</v>
      </c>
      <c r="I267" s="8" t="str">
        <f>IFERROR(__xludf.DUMMYFUNCTION("IF(OR(TRIM(G267)="""",TRIM(H267)=""""),"""",TEXTJOIN("", "",TRUE,ARRAYFORMULA(TRANSPOSE(TRIM(SPLIT(G267,"","")))&amp;""_""&amp;TRIM(SPLIT(H267,"","")))))"),"Elf_Male, Elf_Female, Human_Male, Human_Female, Orc_Male, Orc_Female")</f>
        <v>Elf_Male, Elf_Female, Human_Male, Human_Female, Orc_Male, Orc_Female</v>
      </c>
      <c r="J267" s="5" t="s">
        <v>478</v>
      </c>
      <c r="L267" s="12" t="str">
        <f t="shared" si="1"/>
        <v>FuseHairstyles_Hilda,1,1</v>
      </c>
    </row>
    <row r="268" ht="15.75" customHeight="1">
      <c r="A268" s="3" t="s">
        <v>3445</v>
      </c>
      <c r="C268" s="3" t="s">
        <v>3521</v>
      </c>
      <c r="D268" s="5">
        <v>2.0</v>
      </c>
      <c r="E268" s="8">
        <v>3.0</v>
      </c>
      <c r="F268" s="5" t="s">
        <v>3522</v>
      </c>
      <c r="G268" s="3" t="s">
        <v>3450</v>
      </c>
      <c r="H268" s="16" t="s">
        <v>3116</v>
      </c>
      <c r="I268" s="8" t="str">
        <f>IFERROR(__xludf.DUMMYFUNCTION("IF(OR(TRIM(G268)="""",TRIM(H268)=""""),"""",TEXTJOIN("", "",TRUE,ARRAYFORMULA(TRANSPOSE(TRIM(SPLIT(G268,"","")))&amp;""_""&amp;TRIM(SPLIT(H268,"","")))))"),"Elf_Male, Elf_Female, Human_Male, Human_Female, Orc_Male, Orc_Female, Khajiit_Male, Khajiit_Female")</f>
        <v>Elf_Male, Elf_Female, Human_Male, Human_Female, Orc_Male, Orc_Female, Khajiit_Male, Khajiit_Female</v>
      </c>
      <c r="J268" s="5" t="s">
        <v>486</v>
      </c>
      <c r="K268" s="5" t="s">
        <v>3455</v>
      </c>
      <c r="L268" s="12" t="str">
        <f t="shared" si="1"/>
        <v>FuseHairstyles_King,2,3</v>
      </c>
    </row>
    <row r="269" ht="15.75" customHeight="1">
      <c r="A269" s="3" t="s">
        <v>3445</v>
      </c>
      <c r="C269" s="3" t="s">
        <v>3531</v>
      </c>
      <c r="D269" s="5">
        <v>1.0</v>
      </c>
      <c r="E269" s="3">
        <v>3.0</v>
      </c>
      <c r="F269" s="5" t="s">
        <v>3532</v>
      </c>
      <c r="G269" s="8" t="s">
        <v>1979</v>
      </c>
      <c r="H269" s="16" t="s">
        <v>3116</v>
      </c>
      <c r="I269" s="8" t="str">
        <f>IFERROR(__xludf.DUMMYFUNCTION("IF(OR(TRIM(G269)="""",TRIM(H269)=""""),"""",TEXTJOIN("", "",TRUE,ARRAYFORMULA(TRANSPOSE(TRIM(SPLIT(G269,"","")))&amp;""_""&amp;TRIM(SPLIT(H269,"","")))))"),"Elf_Male, Elf_Female, Human_Male, Human_Female, Orc_Male, Orc_Female")</f>
        <v>Elf_Male, Elf_Female, Human_Male, Human_Female, Orc_Male, Orc_Female</v>
      </c>
      <c r="J269" s="5" t="s">
        <v>502</v>
      </c>
      <c r="L269" s="12" t="str">
        <f t="shared" si="1"/>
        <v>FuseHairstyles_Lagertha,1,3</v>
      </c>
    </row>
    <row r="270" ht="15.75" customHeight="1">
      <c r="A270" s="3" t="s">
        <v>3445</v>
      </c>
      <c r="C270" s="3" t="s">
        <v>3539</v>
      </c>
      <c r="D270" s="5">
        <v>1.0</v>
      </c>
      <c r="E270" s="8">
        <v>1.0</v>
      </c>
      <c r="F270" s="5" t="s">
        <v>3542</v>
      </c>
      <c r="G270" s="8" t="s">
        <v>1979</v>
      </c>
      <c r="H270" s="16" t="s">
        <v>3116</v>
      </c>
      <c r="I270" s="8" t="str">
        <f>IFERROR(__xludf.DUMMYFUNCTION("IF(OR(TRIM(G270)="""",TRIM(H270)=""""),"""",TEXTJOIN("", "",TRUE,ARRAYFORMULA(TRANSPOSE(TRIM(SPLIT(G270,"","")))&amp;""_""&amp;TRIM(SPLIT(H270,"","")))))"),"Elf_Male, Elf_Female, Human_Male, Human_Female, Orc_Male, Orc_Female")</f>
        <v>Elf_Male, Elf_Female, Human_Male, Human_Female, Orc_Male, Orc_Female</v>
      </c>
      <c r="J270" s="5" t="s">
        <v>519</v>
      </c>
      <c r="L270" s="12" t="str">
        <f t="shared" si="1"/>
        <v>FuseHairstyles_Marco,1,1</v>
      </c>
    </row>
    <row r="271" ht="15.75" customHeight="1">
      <c r="A271" s="3" t="s">
        <v>3445</v>
      </c>
      <c r="C271" s="3" t="s">
        <v>3549</v>
      </c>
      <c r="D271" s="5">
        <v>1.0</v>
      </c>
      <c r="E271" s="8">
        <v>1.0</v>
      </c>
      <c r="F271" s="5" t="s">
        <v>3551</v>
      </c>
      <c r="G271" s="3" t="s">
        <v>3450</v>
      </c>
      <c r="H271" s="16" t="s">
        <v>3116</v>
      </c>
      <c r="I271" s="8" t="str">
        <f>IFERROR(__xludf.DUMMYFUNCTION("IF(OR(TRIM(G271)="""",TRIM(H271)=""""),"""",TEXTJOIN("", "",TRUE,ARRAYFORMULA(TRANSPOSE(TRIM(SPLIT(G271,"","")))&amp;""_""&amp;TRIM(SPLIT(H271,"","")))))"),"Elf_Male, Elf_Female, Human_Male, Human_Female, Orc_Male, Orc_Female, Khajiit_Male, Khajiit_Female")</f>
        <v>Elf_Male, Elf_Female, Human_Male, Human_Female, Orc_Male, Orc_Female, Khajiit_Male, Khajiit_Female</v>
      </c>
      <c r="J271" s="5" t="s">
        <v>538</v>
      </c>
      <c r="K271" s="5" t="s">
        <v>3455</v>
      </c>
      <c r="L271" s="12" t="str">
        <f t="shared" si="1"/>
        <v>FuseHairstyles_P,1,1</v>
      </c>
    </row>
    <row r="272" ht="15.75" customHeight="1">
      <c r="A272" s="3" t="s">
        <v>3445</v>
      </c>
      <c r="B272" s="3"/>
      <c r="C272" s="3" t="s">
        <v>3558</v>
      </c>
      <c r="D272" s="3">
        <v>1.0</v>
      </c>
      <c r="E272" s="8">
        <v>1.0</v>
      </c>
      <c r="F272" s="3" t="s">
        <v>3559</v>
      </c>
      <c r="G272" s="8" t="s">
        <v>1979</v>
      </c>
      <c r="H272" s="16" t="s">
        <v>3116</v>
      </c>
      <c r="I272" s="8" t="str">
        <f>IFERROR(__xludf.DUMMYFUNCTION("IF(OR(TRIM(G272)="""",TRIM(H272)=""""),"""",TEXTJOIN("", "",TRUE,ARRAYFORMULA(TRANSPOSE(TRIM(SPLIT(G272,"","")))&amp;""_""&amp;TRIM(SPLIT(H272,"","")))))"),"Elf_Male, Elf_Female, Human_Male, Human_Female, Orc_Male, Orc_Female")</f>
        <v>Elf_Male, Elf_Female, Human_Male, Human_Female, Orc_Male, Orc_Female</v>
      </c>
      <c r="J272" s="5" t="s">
        <v>441</v>
      </c>
      <c r="L272" s="12" t="str">
        <f t="shared" si="1"/>
        <v>FuseHairstyles_Shar,1,1</v>
      </c>
    </row>
    <row r="273" ht="15.75" customHeight="1">
      <c r="A273" s="3" t="s">
        <v>3445</v>
      </c>
      <c r="C273" s="3" t="s">
        <v>3569</v>
      </c>
      <c r="D273" s="5">
        <v>3.0</v>
      </c>
      <c r="E273" s="8">
        <v>3.0</v>
      </c>
      <c r="F273" s="5" t="s">
        <v>3570</v>
      </c>
      <c r="G273" s="3" t="s">
        <v>3450</v>
      </c>
      <c r="H273" s="16" t="s">
        <v>3116</v>
      </c>
      <c r="I273" s="8" t="str">
        <f>IFERROR(__xludf.DUMMYFUNCTION("IF(OR(TRIM(G273)="""",TRIM(H273)=""""),"""",TEXTJOIN("", "",TRUE,ARRAYFORMULA(TRANSPOSE(TRIM(SPLIT(G273,"","")))&amp;""_""&amp;TRIM(SPLIT(H273,"","")))))"),"Elf_Male, Elf_Female, Human_Male, Human_Female, Orc_Male, Orc_Female, Khajiit_Male, Khajiit_Female")</f>
        <v>Elf_Male, Elf_Female, Human_Male, Human_Female, Orc_Male, Orc_Female, Khajiit_Male, Khajiit_Female</v>
      </c>
      <c r="J273" s="5" t="s">
        <v>559</v>
      </c>
      <c r="K273" s="5" t="s">
        <v>3455</v>
      </c>
      <c r="L273" s="12" t="str">
        <f t="shared" si="1"/>
        <v>FuseHairstyles_Siren,3,3</v>
      </c>
    </row>
    <row r="274" ht="15.75" customHeight="1">
      <c r="A274" s="3" t="s">
        <v>3445</v>
      </c>
      <c r="C274" s="3" t="s">
        <v>3579</v>
      </c>
      <c r="D274" s="5">
        <v>1.0</v>
      </c>
      <c r="E274" s="3">
        <v>3.0</v>
      </c>
      <c r="F274" s="5" t="s">
        <v>3581</v>
      </c>
      <c r="G274" s="8" t="s">
        <v>1979</v>
      </c>
      <c r="H274" s="16" t="s">
        <v>3116</v>
      </c>
      <c r="I274" s="8" t="str">
        <f>IFERROR(__xludf.DUMMYFUNCTION("IF(OR(TRIM(G274)="""",TRIM(H274)=""""),"""",TEXTJOIN("", "",TRUE,ARRAYFORMULA(TRANSPOSE(TRIM(SPLIT(G274,"","")))&amp;""_""&amp;TRIM(SPLIT(H274,"","")))))"),"Elf_Male, Elf_Female, Human_Male, Human_Female, Orc_Male, Orc_Female")</f>
        <v>Elf_Male, Elf_Female, Human_Male, Human_Female, Orc_Male, Orc_Female</v>
      </c>
      <c r="J274" s="5" t="s">
        <v>582</v>
      </c>
      <c r="L274" s="12" t="str">
        <f t="shared" si="1"/>
        <v>FuseHairstyles_Tauriel,1,3</v>
      </c>
    </row>
    <row r="275" ht="15.75" customHeight="1">
      <c r="A275" s="3" t="s">
        <v>3445</v>
      </c>
      <c r="C275" s="3" t="s">
        <v>3594</v>
      </c>
      <c r="D275" s="5">
        <v>2.0</v>
      </c>
      <c r="E275" s="8">
        <v>2.0</v>
      </c>
      <c r="F275" s="5" t="s">
        <v>3596</v>
      </c>
      <c r="G275" s="3" t="s">
        <v>3450</v>
      </c>
      <c r="H275" s="16" t="s">
        <v>3116</v>
      </c>
      <c r="I275" s="8" t="str">
        <f>IFERROR(__xludf.DUMMYFUNCTION("IF(OR(TRIM(G275)="""",TRIM(H275)=""""),"""",TEXTJOIN("", "",TRUE,ARRAYFORMULA(TRANSPOSE(TRIM(SPLIT(G275,"","")))&amp;""_""&amp;TRIM(SPLIT(H275,"","")))))"),"Elf_Male, Elf_Female, Human_Male, Human_Female, Orc_Male, Orc_Female, Khajiit_Male, Khajiit_Female")</f>
        <v>Elf_Male, Elf_Female, Human_Male, Human_Female, Orc_Male, Orc_Female, Khajiit_Male, Khajiit_Female</v>
      </c>
      <c r="J275" s="5" t="s">
        <v>603</v>
      </c>
      <c r="K275" s="5" t="s">
        <v>3455</v>
      </c>
      <c r="L275" s="12" t="str">
        <f t="shared" si="1"/>
        <v>FuseHairstyles_Yen,2,2</v>
      </c>
    </row>
    <row r="276" ht="15.75" customHeight="1">
      <c r="A276" s="3" t="s">
        <v>3602</v>
      </c>
      <c r="B276" s="18"/>
      <c r="C276" s="3" t="s">
        <v>3605</v>
      </c>
      <c r="D276" s="8">
        <v>2.0</v>
      </c>
      <c r="E276" s="8">
        <v>2.0</v>
      </c>
      <c r="F276" s="8" t="s">
        <v>3607</v>
      </c>
      <c r="G276" s="3" t="s">
        <v>3450</v>
      </c>
      <c r="H276" s="16" t="s">
        <v>3116</v>
      </c>
      <c r="I276" s="8" t="str">
        <f>IFERROR(__xludf.DUMMYFUNCTION("IF(OR(TRIM(G276)="""",TRIM(H276)=""""),"""",TEXTJOIN("", "",TRUE,ARRAYFORMULA(TRANSPOSE(TRIM(SPLIT(G276,"","")))&amp;""_""&amp;TRIM(SPLIT(H276,"","")))))"),"Elf_Male, Elf_Female, Human_Male, Human_Female, Orc_Male, Orc_Female, Khajiit_Male, Khajiit_Female")</f>
        <v>Elf_Male, Elf_Female, Human_Male, Human_Female, Orc_Male, Orc_Female, Khajiit_Male, Khajiit_Female</v>
      </c>
      <c r="J276" s="5" t="s">
        <v>647</v>
      </c>
      <c r="K276" s="5" t="s">
        <v>3614</v>
      </c>
      <c r="L276" s="12" t="str">
        <f t="shared" si="1"/>
        <v>FuseValkyr1_Bellatrix,2,2</v>
      </c>
    </row>
    <row r="277" ht="15.75" customHeight="1">
      <c r="A277" s="3" t="s">
        <v>3602</v>
      </c>
      <c r="B277" s="18"/>
      <c r="C277" s="3" t="s">
        <v>3617</v>
      </c>
      <c r="D277" s="8">
        <v>1.0</v>
      </c>
      <c r="E277" s="8">
        <v>1.0</v>
      </c>
      <c r="F277" s="8" t="s">
        <v>3618</v>
      </c>
      <c r="G277" s="3" t="s">
        <v>3450</v>
      </c>
      <c r="H277" s="16" t="s">
        <v>3116</v>
      </c>
      <c r="I277" s="8" t="str">
        <f>IFERROR(__xludf.DUMMYFUNCTION("IF(OR(TRIM(G277)="""",TRIM(H277)=""""),"""",TEXTJOIN("", "",TRUE,ARRAYFORMULA(TRANSPOSE(TRIM(SPLIT(G277,"","")))&amp;""_""&amp;TRIM(SPLIT(H277,"","")))))"),"Elf_Male, Elf_Female, Human_Male, Human_Female, Orc_Male, Orc_Female, Khajiit_Male, Khajiit_Female")</f>
        <v>Elf_Male, Elf_Female, Human_Male, Human_Female, Orc_Male, Orc_Female, Khajiit_Male, Khajiit_Female</v>
      </c>
      <c r="J277" s="5" t="s">
        <v>647</v>
      </c>
      <c r="K277" s="5" t="s">
        <v>3614</v>
      </c>
      <c r="L277" s="12" t="str">
        <f t="shared" si="1"/>
        <v>FuseValkyr1_Eiraan,1,1</v>
      </c>
    </row>
    <row r="278" ht="15.75" customHeight="1">
      <c r="A278" s="3" t="s">
        <v>3602</v>
      </c>
      <c r="B278" s="18"/>
      <c r="C278" s="3" t="s">
        <v>3625</v>
      </c>
      <c r="D278" s="8">
        <v>1.0</v>
      </c>
      <c r="E278" s="8">
        <v>1.0</v>
      </c>
      <c r="F278" s="8" t="s">
        <v>3626</v>
      </c>
      <c r="G278" s="3" t="s">
        <v>3450</v>
      </c>
      <c r="H278" s="16" t="s">
        <v>3116</v>
      </c>
      <c r="I278" s="8" t="str">
        <f>IFERROR(__xludf.DUMMYFUNCTION("IF(OR(TRIM(G278)="""",TRIM(H278)=""""),"""",TEXTJOIN("", "",TRUE,ARRAYFORMULA(TRANSPOSE(TRIM(SPLIT(G278,"","")))&amp;""_""&amp;TRIM(SPLIT(H278,"","")))))"),"Elf_Male, Elf_Female, Human_Male, Human_Female, Orc_Male, Orc_Female, Khajiit_Male, Khajiit_Female")</f>
        <v>Elf_Male, Elf_Female, Human_Male, Human_Female, Orc_Male, Orc_Female, Khajiit_Male, Khajiit_Female</v>
      </c>
      <c r="J278" s="5" t="s">
        <v>647</v>
      </c>
      <c r="K278" s="5" t="s">
        <v>3614</v>
      </c>
      <c r="L278" s="12" t="str">
        <f t="shared" si="1"/>
        <v>FuseValkyr1_Ellie,1,1</v>
      </c>
    </row>
    <row r="279" ht="15.75" customHeight="1">
      <c r="A279" s="3" t="s">
        <v>3602</v>
      </c>
      <c r="B279" s="18"/>
      <c r="C279" s="3" t="s">
        <v>3635</v>
      </c>
      <c r="D279" s="8">
        <v>1.0</v>
      </c>
      <c r="E279" s="8">
        <v>1.0</v>
      </c>
      <c r="F279" s="8" t="s">
        <v>3636</v>
      </c>
      <c r="G279" s="3" t="s">
        <v>3450</v>
      </c>
      <c r="H279" s="16" t="s">
        <v>3116</v>
      </c>
      <c r="I279" s="8" t="str">
        <f>IFERROR(__xludf.DUMMYFUNCTION("IF(OR(TRIM(G279)="""",TRIM(H279)=""""),"""",TEXTJOIN("", "",TRUE,ARRAYFORMULA(TRANSPOSE(TRIM(SPLIT(G279,"","")))&amp;""_""&amp;TRIM(SPLIT(H279,"","")))))"),"Elf_Male, Elf_Female, Human_Male, Human_Female, Orc_Male, Orc_Female, Khajiit_Male, Khajiit_Female")</f>
        <v>Elf_Male, Elf_Female, Human_Male, Human_Female, Orc_Male, Orc_Female, Khajiit_Male, Khajiit_Female</v>
      </c>
      <c r="J279" s="5" t="s">
        <v>647</v>
      </c>
      <c r="K279" s="5" t="s">
        <v>3614</v>
      </c>
      <c r="L279" s="12" t="str">
        <f t="shared" si="1"/>
        <v>FuseValkyr1_NeoDante,1,1</v>
      </c>
    </row>
    <row r="280" ht="15.75" customHeight="1">
      <c r="A280" s="3" t="s">
        <v>3602</v>
      </c>
      <c r="B280" s="18"/>
      <c r="C280" s="3" t="s">
        <v>3646</v>
      </c>
      <c r="D280" s="8">
        <v>1.0</v>
      </c>
      <c r="E280" s="8">
        <v>1.0</v>
      </c>
      <c r="F280" s="8" t="s">
        <v>3647</v>
      </c>
      <c r="G280" s="3" t="s">
        <v>3450</v>
      </c>
      <c r="H280" s="16" t="s">
        <v>3116</v>
      </c>
      <c r="I280" s="8" t="str">
        <f>IFERROR(__xludf.DUMMYFUNCTION("IF(OR(TRIM(G280)="""",TRIM(H280)=""""),"""",TEXTJOIN("", "",TRUE,ARRAYFORMULA(TRANSPOSE(TRIM(SPLIT(G280,"","")))&amp;""_""&amp;TRIM(SPLIT(H280,"","")))))"),"Elf_Male, Elf_Female, Human_Male, Human_Female, Orc_Male, Orc_Female, Khajiit_Male, Khajiit_Female")</f>
        <v>Elf_Male, Elf_Female, Human_Male, Human_Female, Orc_Male, Orc_Female, Khajiit_Male, Khajiit_Female</v>
      </c>
      <c r="J280" s="5" t="s">
        <v>647</v>
      </c>
      <c r="K280" s="5" t="s">
        <v>3614</v>
      </c>
      <c r="L280" s="12" t="str">
        <f t="shared" si="1"/>
        <v>FuseValkyr1_Roxy,1,1</v>
      </c>
    </row>
    <row r="281" ht="15.75" customHeight="1">
      <c r="A281" s="3" t="s">
        <v>3602</v>
      </c>
      <c r="B281" s="18"/>
      <c r="C281" s="3" t="s">
        <v>3657</v>
      </c>
      <c r="D281" s="8">
        <v>2.0</v>
      </c>
      <c r="E281" s="8">
        <v>2.0</v>
      </c>
      <c r="F281" s="8" t="s">
        <v>3661</v>
      </c>
      <c r="G281" s="3" t="s">
        <v>3450</v>
      </c>
      <c r="H281" s="16" t="s">
        <v>3116</v>
      </c>
      <c r="I281" s="8" t="str">
        <f>IFERROR(__xludf.DUMMYFUNCTION("IF(OR(TRIM(G281)="""",TRIM(H281)=""""),"""",TEXTJOIN("", "",TRUE,ARRAYFORMULA(TRANSPOSE(TRIM(SPLIT(G281,"","")))&amp;""_""&amp;TRIM(SPLIT(H281,"","")))))"),"Elf_Male, Elf_Female, Human_Male, Human_Female, Orc_Male, Orc_Female, Khajiit_Male, Khajiit_Female")</f>
        <v>Elf_Male, Elf_Female, Human_Male, Human_Female, Orc_Male, Orc_Female, Khajiit_Male, Khajiit_Female</v>
      </c>
      <c r="J281" s="5" t="s">
        <v>647</v>
      </c>
      <c r="K281" s="5" t="s">
        <v>3614</v>
      </c>
      <c r="L281" s="12" t="str">
        <f t="shared" si="1"/>
        <v>FuseValkyr1_Yasha,2,2</v>
      </c>
    </row>
    <row r="282" ht="15.75" customHeight="1">
      <c r="A282" s="3" t="s">
        <v>3671</v>
      </c>
      <c r="B282" s="18"/>
      <c r="C282" s="3" t="s">
        <v>3673</v>
      </c>
      <c r="D282" s="8">
        <v>1.0</v>
      </c>
      <c r="E282" s="8">
        <v>1.0</v>
      </c>
      <c r="F282" s="8" t="s">
        <v>3679</v>
      </c>
      <c r="G282" s="8" t="s">
        <v>1979</v>
      </c>
      <c r="H282" s="16" t="s">
        <v>3116</v>
      </c>
      <c r="I282" s="8" t="str">
        <f>IFERROR(__xludf.DUMMYFUNCTION("IF(OR(TRIM(G282)="""",TRIM(H282)=""""),"""",TEXTJOIN("", "",TRUE,ARRAYFORMULA(TRANSPOSE(TRIM(SPLIT(G282,"","")))&amp;""_""&amp;TRIM(SPLIT(H282,"","")))))"),"Elf_Male, Elf_Female, Human_Male, Human_Female, Orc_Male, Orc_Female")</f>
        <v>Elf_Male, Elf_Female, Human_Male, Human_Female, Orc_Male, Orc_Female</v>
      </c>
      <c r="J282" s="5" t="s">
        <v>667</v>
      </c>
      <c r="L282" s="12" t="str">
        <f t="shared" si="1"/>
        <v>FuseValkyr2_ClassicDante,1,1</v>
      </c>
    </row>
    <row r="283" ht="15.75" customHeight="1">
      <c r="A283" s="3" t="s">
        <v>3671</v>
      </c>
      <c r="B283" s="18"/>
      <c r="C283" s="3" t="s">
        <v>3691</v>
      </c>
      <c r="D283" s="3">
        <v>1.0</v>
      </c>
      <c r="E283" s="8">
        <v>3.0</v>
      </c>
      <c r="F283" s="8" t="s">
        <v>3693</v>
      </c>
      <c r="G283" s="8" t="s">
        <v>1979</v>
      </c>
      <c r="H283" s="16" t="s">
        <v>3116</v>
      </c>
      <c r="I283" s="8" t="str">
        <f>IFERROR(__xludf.DUMMYFUNCTION("IF(OR(TRIM(G283)="""",TRIM(H283)=""""),"""",TEXTJOIN("", "",TRUE,ARRAYFORMULA(TRANSPOSE(TRIM(SPLIT(G283,"","")))&amp;""_""&amp;TRIM(SPLIT(H283,"","")))))"),"Elf_Male, Elf_Female, Human_Male, Human_Female, Orc_Male, Orc_Female")</f>
        <v>Elf_Male, Elf_Female, Human_Male, Human_Female, Orc_Male, Orc_Female</v>
      </c>
      <c r="J283" s="5" t="s">
        <v>667</v>
      </c>
      <c r="L283" s="12" t="str">
        <f t="shared" si="1"/>
        <v>FuseValkyr2_Danaerys,1,3</v>
      </c>
    </row>
    <row r="284" ht="15.75" customHeight="1">
      <c r="A284" s="3" t="s">
        <v>3671</v>
      </c>
      <c r="B284" s="18"/>
      <c r="C284" s="3" t="s">
        <v>3700</v>
      </c>
      <c r="D284" s="8">
        <v>1.0</v>
      </c>
      <c r="E284" s="8">
        <v>1.0</v>
      </c>
      <c r="F284" s="8" t="s">
        <v>3701</v>
      </c>
      <c r="G284" s="8" t="s">
        <v>1979</v>
      </c>
      <c r="H284" s="16" t="s">
        <v>3116</v>
      </c>
      <c r="I284" s="8" t="str">
        <f>IFERROR(__xludf.DUMMYFUNCTION("IF(OR(TRIM(G284)="""",TRIM(H284)=""""),"""",TEXTJOIN("", "",TRUE,ARRAYFORMULA(TRANSPOSE(TRIM(SPLIT(G284,"","")))&amp;""_""&amp;TRIM(SPLIT(H284,"","")))))"),"Elf_Male, Elf_Female, Human_Male, Human_Female, Orc_Male, Orc_Female")</f>
        <v>Elf_Male, Elf_Female, Human_Male, Human_Female, Orc_Male, Orc_Female</v>
      </c>
      <c r="J284" s="5" t="s">
        <v>667</v>
      </c>
      <c r="L284" s="12" t="str">
        <f t="shared" si="1"/>
        <v>FuseValkyr2_Ghost,1,1</v>
      </c>
    </row>
    <row r="285" ht="15.75" customHeight="1">
      <c r="A285" s="5" t="s">
        <v>3706</v>
      </c>
      <c r="B285" s="18"/>
      <c r="C285" s="5" t="s">
        <v>3709</v>
      </c>
      <c r="D285" s="5">
        <v>1.0</v>
      </c>
      <c r="E285" s="5">
        <v>1.0</v>
      </c>
      <c r="F285" s="5" t="s">
        <v>3710</v>
      </c>
      <c r="G285" s="5" t="s">
        <v>57</v>
      </c>
      <c r="H285" s="5" t="s">
        <v>35</v>
      </c>
      <c r="I285" s="8" t="str">
        <f>IFERROR(__xludf.DUMMYFUNCTION("IF(OR(TRIM(G285)="""",TRIM(H285)=""""),"""",TEXTJOIN("", "",TRUE,ARRAYFORMULA(TRANSPOSE(TRIM(SPLIT(G285,"","")))&amp;""_""&amp;TRIM(SPLIT(H285,"","")))))"),"Khajiit_Female")</f>
        <v>Khajiit_Female</v>
      </c>
      <c r="J285" s="5" t="s">
        <v>789</v>
      </c>
      <c r="L285" s="12" t="str">
        <f t="shared" si="1"/>
        <v>jg1_ForestCat,1,1</v>
      </c>
    </row>
    <row r="286" ht="15.75" customHeight="1">
      <c r="A286" s="3" t="s">
        <v>3716</v>
      </c>
      <c r="B286" s="18"/>
      <c r="C286" s="3" t="s">
        <v>3719</v>
      </c>
      <c r="D286" s="3">
        <v>1.0</v>
      </c>
      <c r="E286" s="3">
        <v>1.0</v>
      </c>
      <c r="F286" s="3" t="s">
        <v>3720</v>
      </c>
      <c r="G286" s="3" t="s">
        <v>57</v>
      </c>
      <c r="H286" s="19" t="s">
        <v>42</v>
      </c>
      <c r="I286" s="8" t="str">
        <f>IFERROR(__xludf.DUMMYFUNCTION("IF(OR(TRIM(G286)="""",TRIM(H286)=""""),"""",TEXTJOIN("", "",TRUE,ARRAYFORMULA(TRANSPOSE(TRIM(SPLIT(G286,"","")))&amp;""_""&amp;TRIM(SPLIT(H286,"","")))))"),"Khajiit_Male")</f>
        <v>Khajiit_Male</v>
      </c>
      <c r="J286" s="5" t="s">
        <v>769</v>
      </c>
      <c r="L286" s="12" t="str">
        <f t="shared" si="1"/>
        <v>jg1_LionsMane,1,1</v>
      </c>
    </row>
    <row r="287" ht="15.75" customHeight="1">
      <c r="A287" s="8" t="s">
        <v>3729</v>
      </c>
      <c r="B287" s="18"/>
      <c r="C287" s="8" t="s">
        <v>3732</v>
      </c>
      <c r="D287" s="8">
        <v>1.0</v>
      </c>
      <c r="E287" s="8">
        <v>1.0</v>
      </c>
      <c r="F287" s="8" t="s">
        <v>3734</v>
      </c>
      <c r="G287" s="8" t="s">
        <v>1979</v>
      </c>
      <c r="H287" s="16" t="s">
        <v>35</v>
      </c>
      <c r="I287" s="8" t="str">
        <f>IFERROR(__xludf.DUMMYFUNCTION("IF(OR(TRIM(G287)="""",TRIM(H287)=""""),"""",TEXTJOIN("", "",TRUE,ARRAYFORMULA(TRANSPOSE(TRIM(SPLIT(G287,"","")))&amp;""_""&amp;TRIM(SPLIT(H287,"","")))))"),"Elf_Female, Human_Female, Orc_Female")</f>
        <v>Elf_Female, Human_Female, Orc_Female</v>
      </c>
      <c r="J287" s="5" t="s">
        <v>276</v>
      </c>
      <c r="L287" s="12" t="str">
        <f t="shared" si="1"/>
        <v>Koralina_Bae,1,1</v>
      </c>
    </row>
    <row r="288" ht="15.75" customHeight="1">
      <c r="A288" s="8" t="s">
        <v>3729</v>
      </c>
      <c r="B288" s="18"/>
      <c r="C288" s="8" t="s">
        <v>3742</v>
      </c>
      <c r="D288" s="8">
        <v>2.0</v>
      </c>
      <c r="E288" s="8">
        <v>2.0</v>
      </c>
      <c r="F288" s="8" t="s">
        <v>3744</v>
      </c>
      <c r="G288" s="8" t="s">
        <v>1979</v>
      </c>
      <c r="H288" s="16" t="s">
        <v>3116</v>
      </c>
      <c r="I288" s="8" t="str">
        <f>IFERROR(__xludf.DUMMYFUNCTION("IF(OR(TRIM(G288)="""",TRIM(H288)=""""),"""",TEXTJOIN("", "",TRUE,ARRAYFORMULA(TRANSPOSE(TRIM(SPLIT(G288,"","")))&amp;""_""&amp;TRIM(SPLIT(H288,"","")))))"),"Elf_Male, Elf_Female, Human_Male, Human_Female, Orc_Male, Orc_Female")</f>
        <v>Elf_Male, Elf_Female, Human_Male, Human_Female, Orc_Male, Orc_Female</v>
      </c>
      <c r="J288" s="5" t="s">
        <v>276</v>
      </c>
      <c r="L288" s="12" t="str">
        <f t="shared" si="1"/>
        <v>Koralina_Wendy,2,2</v>
      </c>
    </row>
    <row r="289" ht="15.75" customHeight="1">
      <c r="A289" s="8" t="s">
        <v>3729</v>
      </c>
      <c r="B289" s="18"/>
      <c r="C289" s="8" t="s">
        <v>3751</v>
      </c>
      <c r="D289" s="8">
        <v>1.0</v>
      </c>
      <c r="E289" s="8">
        <v>2.0</v>
      </c>
      <c r="F289" s="8" t="s">
        <v>3754</v>
      </c>
      <c r="G289" s="8" t="s">
        <v>1979</v>
      </c>
      <c r="H289" s="16" t="s">
        <v>3116</v>
      </c>
      <c r="I289" s="8" t="str">
        <f>IFERROR(__xludf.DUMMYFUNCTION("IF(OR(TRIM(G289)="""",TRIM(H289)=""""),"""",TEXTJOIN("", "",TRUE,ARRAYFORMULA(TRANSPOSE(TRIM(SPLIT(G289,"","")))&amp;""_""&amp;TRIM(SPLIT(H289,"","")))))"),"Elf_Male, Elf_Female, Human_Male, Human_Female, Orc_Male, Orc_Female")</f>
        <v>Elf_Male, Elf_Female, Human_Male, Human_Female, Orc_Male, Orc_Female</v>
      </c>
      <c r="J289" s="5" t="s">
        <v>276</v>
      </c>
      <c r="L289" s="12" t="str">
        <f t="shared" si="1"/>
        <v>Koralina_WolfCut,1,2</v>
      </c>
    </row>
    <row r="290" ht="15.75" customHeight="1">
      <c r="A290" s="8" t="s">
        <v>3760</v>
      </c>
      <c r="B290" s="18"/>
      <c r="C290" s="8" t="s">
        <v>3761</v>
      </c>
      <c r="D290" s="3">
        <v>1.0</v>
      </c>
      <c r="E290" s="8">
        <v>3.0</v>
      </c>
      <c r="F290" s="8" t="s">
        <v>3762</v>
      </c>
      <c r="G290" s="8" t="s">
        <v>1979</v>
      </c>
      <c r="H290" s="16" t="s">
        <v>3116</v>
      </c>
      <c r="I290" s="8" t="str">
        <f>IFERROR(__xludf.DUMMYFUNCTION("IF(OR(TRIM(G290)="""",TRIM(H290)=""""),"""",TEXTJOIN("", "",TRUE,ARRAYFORMULA(TRANSPOSE(TRIM(SPLIT(G290,"","")))&amp;""_""&amp;TRIM(SPLIT(H290,"","")))))"),"Elf_Male, Elf_Female, Human_Male, Human_Female, Orc_Male, Orc_Female")</f>
        <v>Elf_Male, Elf_Female, Human_Male, Human_Female, Orc_Male, Orc_Female</v>
      </c>
      <c r="J290" s="5" t="s">
        <v>307</v>
      </c>
      <c r="L290" s="12" t="str">
        <f t="shared" si="1"/>
        <v>Koralina_Aisha,1,3</v>
      </c>
    </row>
    <row r="291" ht="15.75" customHeight="1">
      <c r="A291" s="8" t="s">
        <v>3760</v>
      </c>
      <c r="B291" s="18"/>
      <c r="C291" s="8" t="s">
        <v>3771</v>
      </c>
      <c r="D291" s="3">
        <v>1.0</v>
      </c>
      <c r="E291" s="8">
        <v>3.0</v>
      </c>
      <c r="F291" s="8" t="s">
        <v>3772</v>
      </c>
      <c r="G291" s="8" t="s">
        <v>1979</v>
      </c>
      <c r="H291" s="16" t="s">
        <v>3116</v>
      </c>
      <c r="I291" s="8" t="str">
        <f>IFERROR(__xludf.DUMMYFUNCTION("IF(OR(TRIM(G291)="""",TRIM(H291)=""""),"""",TEXTJOIN("", "",TRUE,ARRAYFORMULA(TRANSPOSE(TRIM(SPLIT(G291,"","")))&amp;""_""&amp;TRIM(SPLIT(H291,"","")))))"),"Elf_Male, Elf_Female, Human_Male, Human_Female, Orc_Male, Orc_Female")</f>
        <v>Elf_Male, Elf_Female, Human_Male, Human_Female, Orc_Male, Orc_Female</v>
      </c>
      <c r="J291" s="5" t="s">
        <v>307</v>
      </c>
      <c r="L291" s="12" t="str">
        <f t="shared" si="1"/>
        <v>Koralina_Siggy,1,3</v>
      </c>
    </row>
    <row r="292" ht="15.75" customHeight="1">
      <c r="A292" s="8" t="s">
        <v>3760</v>
      </c>
      <c r="B292" s="18"/>
      <c r="C292" s="8" t="s">
        <v>3785</v>
      </c>
      <c r="D292" s="8">
        <v>1.0</v>
      </c>
      <c r="E292" s="8">
        <v>1.0</v>
      </c>
      <c r="F292" s="8" t="s">
        <v>3789</v>
      </c>
      <c r="G292" s="8" t="s">
        <v>1979</v>
      </c>
      <c r="H292" s="16" t="s">
        <v>3116</v>
      </c>
      <c r="I292" s="8" t="str">
        <f>IFERROR(__xludf.DUMMYFUNCTION("IF(OR(TRIM(G292)="""",TRIM(H292)=""""),"""",TEXTJOIN("", "",TRUE,ARRAYFORMULA(TRANSPOSE(TRIM(SPLIT(G292,"","")))&amp;""_""&amp;TRIM(SPLIT(H292,"","")))))"),"Elf_Male, Elf_Female, Human_Male, Human_Female, Orc_Male, Orc_Female")</f>
        <v>Elf_Male, Elf_Female, Human_Male, Human_Female, Orc_Male, Orc_Female</v>
      </c>
      <c r="J292" s="5" t="s">
        <v>307</v>
      </c>
      <c r="L292" s="12" t="str">
        <f t="shared" si="1"/>
        <v>Koralina_Wolf_01,1,1</v>
      </c>
    </row>
    <row r="293" ht="15.75" customHeight="1">
      <c r="A293" s="8" t="s">
        <v>3760</v>
      </c>
      <c r="B293" s="18"/>
      <c r="C293" s="8" t="s">
        <v>3798</v>
      </c>
      <c r="D293" s="8">
        <v>1.0</v>
      </c>
      <c r="E293" s="8">
        <v>1.0</v>
      </c>
      <c r="F293" s="8" t="s">
        <v>3800</v>
      </c>
      <c r="G293" s="8" t="s">
        <v>1979</v>
      </c>
      <c r="H293" s="16" t="s">
        <v>3116</v>
      </c>
      <c r="I293" s="8" t="str">
        <f>IFERROR(__xludf.DUMMYFUNCTION("IF(OR(TRIM(G293)="""",TRIM(H293)=""""),"""",TEXTJOIN("", "",TRUE,ARRAYFORMULA(TRANSPOSE(TRIM(SPLIT(G293,"","")))&amp;""_""&amp;TRIM(SPLIT(H293,"","")))))"),"Elf_Male, Elf_Female, Human_Male, Human_Female, Orc_Male, Orc_Female")</f>
        <v>Elf_Male, Elf_Female, Human_Male, Human_Female, Orc_Male, Orc_Female</v>
      </c>
      <c r="J293" s="5" t="s">
        <v>307</v>
      </c>
      <c r="L293" s="12" t="str">
        <f t="shared" si="1"/>
        <v>Koralina_Wolf_02,1,1</v>
      </c>
    </row>
    <row r="294" ht="15.75" customHeight="1">
      <c r="A294" s="8" t="s">
        <v>3809</v>
      </c>
      <c r="B294" s="18"/>
      <c r="C294" s="8" t="s">
        <v>3810</v>
      </c>
      <c r="D294" s="8">
        <v>1.0</v>
      </c>
      <c r="E294" s="8">
        <v>1.0</v>
      </c>
      <c r="F294" s="8" t="s">
        <v>3812</v>
      </c>
      <c r="G294" s="3" t="s">
        <v>3450</v>
      </c>
      <c r="H294" s="16" t="s">
        <v>35</v>
      </c>
      <c r="I294" s="8" t="str">
        <f>IFERROR(__xludf.DUMMYFUNCTION("IF(OR(TRIM(G294)="""",TRIM(H294)=""""),"""",TEXTJOIN("", "",TRUE,ARRAYFORMULA(TRANSPOSE(TRIM(SPLIT(G294,"","")))&amp;""_""&amp;TRIM(SPLIT(H294,"","")))))"),"Elf_Female, Human_Female, Orc_Female, Khajiit_Female")</f>
        <v>Elf_Female, Human_Female, Orc_Female, Khajiit_Female</v>
      </c>
      <c r="J294" s="5" t="s">
        <v>705</v>
      </c>
      <c r="K294" s="5" t="s">
        <v>3818</v>
      </c>
      <c r="L294" s="12" t="str">
        <f t="shared" si="1"/>
        <v>KSSMP_Amor,1,1</v>
      </c>
    </row>
    <row r="295" ht="15.75" customHeight="1">
      <c r="A295" s="8" t="s">
        <v>3809</v>
      </c>
      <c r="B295" s="18"/>
      <c r="C295" s="8" t="s">
        <v>3821</v>
      </c>
      <c r="D295" s="8">
        <v>2.0</v>
      </c>
      <c r="E295" s="8">
        <v>2.0</v>
      </c>
      <c r="F295" s="8" t="s">
        <v>3824</v>
      </c>
      <c r="G295" s="3" t="s">
        <v>3450</v>
      </c>
      <c r="H295" s="16" t="s">
        <v>35</v>
      </c>
      <c r="I295" s="8" t="str">
        <f>IFERROR(__xludf.DUMMYFUNCTION("IF(OR(TRIM(G295)="""",TRIM(H295)=""""),"""",TEXTJOIN("", "",TRUE,ARRAYFORMULA(TRANSPOSE(TRIM(SPLIT(G295,"","")))&amp;""_""&amp;TRIM(SPLIT(H295,"","")))))"),"Elf_Female, Human_Female, Orc_Female, Khajiit_Female")</f>
        <v>Elf_Female, Human_Female, Orc_Female, Khajiit_Female</v>
      </c>
      <c r="J295" s="5" t="s">
        <v>705</v>
      </c>
      <c r="K295" s="5" t="s">
        <v>3818</v>
      </c>
      <c r="L295" s="12" t="str">
        <f t="shared" si="1"/>
        <v>KSSMP_Anchor,2,2</v>
      </c>
    </row>
    <row r="296" ht="15.75" customHeight="1">
      <c r="A296" s="8" t="s">
        <v>3809</v>
      </c>
      <c r="B296" s="18"/>
      <c r="C296" s="8" t="s">
        <v>3830</v>
      </c>
      <c r="D296" s="8">
        <v>1.0</v>
      </c>
      <c r="E296" s="8">
        <v>1.0</v>
      </c>
      <c r="F296" s="8" t="s">
        <v>3832</v>
      </c>
      <c r="G296" s="3" t="s">
        <v>3450</v>
      </c>
      <c r="H296" s="16" t="s">
        <v>35</v>
      </c>
      <c r="I296" s="8" t="str">
        <f>IFERROR(__xludf.DUMMYFUNCTION("IF(OR(TRIM(G296)="""",TRIM(H296)=""""),"""",TEXTJOIN("", "",TRUE,ARRAYFORMULA(TRANSPOSE(TRIM(SPLIT(G296,"","")))&amp;""_""&amp;TRIM(SPLIT(H296,"","")))))"),"Elf_Female, Human_Female, Orc_Female, Khajiit_Female")</f>
        <v>Elf_Female, Human_Female, Orc_Female, Khajiit_Female</v>
      </c>
      <c r="J296" s="5" t="s">
        <v>705</v>
      </c>
      <c r="K296" s="5" t="s">
        <v>3818</v>
      </c>
      <c r="L296" s="12" t="str">
        <f t="shared" si="1"/>
        <v>KSSMP_Angelic,1,1</v>
      </c>
    </row>
    <row r="297" ht="15.75" customHeight="1">
      <c r="A297" s="8" t="s">
        <v>3809</v>
      </c>
      <c r="B297" s="18"/>
      <c r="C297" s="8" t="s">
        <v>3839</v>
      </c>
      <c r="D297" s="8">
        <v>2.0</v>
      </c>
      <c r="E297" s="8">
        <v>2.0</v>
      </c>
      <c r="F297" s="8" t="s">
        <v>3840</v>
      </c>
      <c r="G297" s="3" t="s">
        <v>3450</v>
      </c>
      <c r="H297" s="16" t="s">
        <v>35</v>
      </c>
      <c r="I297" s="8" t="str">
        <f>IFERROR(__xludf.DUMMYFUNCTION("IF(OR(TRIM(G297)="""",TRIM(H297)=""""),"""",TEXTJOIN("", "",TRUE,ARRAYFORMULA(TRANSPOSE(TRIM(SPLIT(G297,"","")))&amp;""_""&amp;TRIM(SPLIT(H297,"","")))))"),"Elf_Female, Human_Female, Orc_Female, Khajiit_Female")</f>
        <v>Elf_Female, Human_Female, Orc_Female, Khajiit_Female</v>
      </c>
      <c r="J297" s="5" t="s">
        <v>705</v>
      </c>
      <c r="K297" s="5" t="s">
        <v>3818</v>
      </c>
      <c r="L297" s="12" t="str">
        <f t="shared" si="1"/>
        <v>KSSMP_Angels,2,2</v>
      </c>
    </row>
    <row r="298" ht="15.75" customHeight="1">
      <c r="A298" s="8" t="s">
        <v>3809</v>
      </c>
      <c r="B298" s="18"/>
      <c r="C298" s="8" t="s">
        <v>3849</v>
      </c>
      <c r="D298" s="3">
        <v>2.0</v>
      </c>
      <c r="E298" s="8">
        <v>3.0</v>
      </c>
      <c r="F298" s="8" t="s">
        <v>3851</v>
      </c>
      <c r="G298" s="3" t="s">
        <v>3450</v>
      </c>
      <c r="H298" s="16" t="s">
        <v>35</v>
      </c>
      <c r="I298" s="8" t="str">
        <f>IFERROR(__xludf.DUMMYFUNCTION("IF(OR(TRIM(G298)="""",TRIM(H298)=""""),"""",TEXTJOIN("", "",TRUE,ARRAYFORMULA(TRANSPOSE(TRIM(SPLIT(G298,"","")))&amp;""_""&amp;TRIM(SPLIT(H298,"","")))))"),"Elf_Female, Human_Female, Orc_Female, Khajiit_Female")</f>
        <v>Elf_Female, Human_Female, Orc_Female, Khajiit_Female</v>
      </c>
      <c r="J298" s="5" t="s">
        <v>705</v>
      </c>
      <c r="K298" s="5" t="s">
        <v>3818</v>
      </c>
      <c r="L298" s="12" t="str">
        <f t="shared" si="1"/>
        <v>KSSMP_Anna,2,3</v>
      </c>
    </row>
    <row r="299" ht="15.75" customHeight="1">
      <c r="A299" s="8" t="s">
        <v>3809</v>
      </c>
      <c r="B299" s="18"/>
      <c r="C299" s="8" t="s">
        <v>3860</v>
      </c>
      <c r="D299" s="8">
        <v>2.0</v>
      </c>
      <c r="E299" s="8">
        <v>2.0</v>
      </c>
      <c r="F299" s="8" t="s">
        <v>3863</v>
      </c>
      <c r="G299" s="3" t="s">
        <v>3450</v>
      </c>
      <c r="H299" s="16" t="s">
        <v>35</v>
      </c>
      <c r="I299" s="8" t="str">
        <f>IFERROR(__xludf.DUMMYFUNCTION("IF(OR(TRIM(G299)="""",TRIM(H299)=""""),"""",TEXTJOIN("", "",TRUE,ARRAYFORMULA(TRANSPOSE(TRIM(SPLIT(G299,"","")))&amp;""_""&amp;TRIM(SPLIT(H299,"","")))))"),"Elf_Female, Human_Female, Orc_Female, Khajiit_Female")</f>
        <v>Elf_Female, Human_Female, Orc_Female, Khajiit_Female</v>
      </c>
      <c r="J299" s="5" t="s">
        <v>705</v>
      </c>
      <c r="K299" s="5" t="s">
        <v>3818</v>
      </c>
      <c r="L299" s="12" t="str">
        <f t="shared" si="1"/>
        <v>KSSMP_Anto92,2,2</v>
      </c>
    </row>
    <row r="300" ht="15.75" customHeight="1">
      <c r="A300" s="8" t="s">
        <v>3809</v>
      </c>
      <c r="B300" s="18"/>
      <c r="C300" s="8" t="s">
        <v>3869</v>
      </c>
      <c r="D300" s="3">
        <v>2.0</v>
      </c>
      <c r="E300" s="8">
        <v>3.0</v>
      </c>
      <c r="F300" s="8" t="s">
        <v>3871</v>
      </c>
      <c r="G300" s="3" t="s">
        <v>3450</v>
      </c>
      <c r="H300" s="16" t="s">
        <v>35</v>
      </c>
      <c r="I300" s="8" t="str">
        <f>IFERROR(__xludf.DUMMYFUNCTION("IF(OR(TRIM(G300)="""",TRIM(H300)=""""),"""",TEXTJOIN("", "",TRUE,ARRAYFORMULA(TRANSPOSE(TRIM(SPLIT(G300,"","")))&amp;""_""&amp;TRIM(SPLIT(H300,"","")))))"),"Elf_Female, Human_Female, Orc_Female, Khajiit_Female")</f>
        <v>Elf_Female, Human_Female, Orc_Female, Khajiit_Female</v>
      </c>
      <c r="J300" s="5" t="s">
        <v>705</v>
      </c>
      <c r="K300" s="5" t="s">
        <v>3818</v>
      </c>
      <c r="L300" s="12" t="str">
        <f t="shared" si="1"/>
        <v>KSSMP_Aroma,2,3</v>
      </c>
    </row>
    <row r="301" ht="15.75" customHeight="1">
      <c r="A301" s="8" t="s">
        <v>3809</v>
      </c>
      <c r="B301" s="18"/>
      <c r="C301" s="8" t="s">
        <v>3883</v>
      </c>
      <c r="D301" s="8">
        <v>3.0</v>
      </c>
      <c r="E301" s="8">
        <v>3.0</v>
      </c>
      <c r="F301" s="8" t="s">
        <v>3885</v>
      </c>
      <c r="G301" s="3" t="s">
        <v>3450</v>
      </c>
      <c r="H301" s="16" t="s">
        <v>35</v>
      </c>
      <c r="I301" s="8" t="str">
        <f>IFERROR(__xludf.DUMMYFUNCTION("IF(OR(TRIM(G301)="""",TRIM(H301)=""""),"""",TEXTJOIN("", "",TRUE,ARRAYFORMULA(TRANSPOSE(TRIM(SPLIT(G301,"","")))&amp;""_""&amp;TRIM(SPLIT(H301,"","")))))"),"Elf_Female, Human_Female, Orc_Female, Khajiit_Female")</f>
        <v>Elf_Female, Human_Female, Orc_Female, Khajiit_Female</v>
      </c>
      <c r="J301" s="5" t="s">
        <v>705</v>
      </c>
      <c r="K301" s="5" t="s">
        <v>3818</v>
      </c>
      <c r="L301" s="12" t="str">
        <f t="shared" si="1"/>
        <v>KSSMP_Babydoll,3,3</v>
      </c>
    </row>
    <row r="302" ht="15.75" customHeight="1">
      <c r="A302" s="8" t="s">
        <v>3809</v>
      </c>
      <c r="B302" s="18"/>
      <c r="C302" s="8" t="s">
        <v>3895</v>
      </c>
      <c r="D302" s="8">
        <v>3.0</v>
      </c>
      <c r="E302" s="8">
        <v>3.0</v>
      </c>
      <c r="F302" s="8" t="s">
        <v>3897</v>
      </c>
      <c r="G302" s="8" t="s">
        <v>1979</v>
      </c>
      <c r="H302" s="16" t="s">
        <v>35</v>
      </c>
      <c r="I302" s="8" t="str">
        <f>IFERROR(__xludf.DUMMYFUNCTION("IF(OR(TRIM(G302)="""",TRIM(H302)=""""),"""",TEXTJOIN("", "",TRUE,ARRAYFORMULA(TRANSPOSE(TRIM(SPLIT(G302,"","")))&amp;""_""&amp;TRIM(SPLIT(H302,"","")))))"),"Elf_Female, Human_Female, Orc_Female")</f>
        <v>Elf_Female, Human_Female, Orc_Female</v>
      </c>
      <c r="J302" s="5" t="s">
        <v>705</v>
      </c>
      <c r="L302" s="12" t="str">
        <f t="shared" si="1"/>
        <v>KSSMP_BabydollBand,3,3</v>
      </c>
    </row>
    <row r="303" ht="15.75" customHeight="1">
      <c r="A303" s="8" t="s">
        <v>3809</v>
      </c>
      <c r="B303" s="18"/>
      <c r="C303" s="8" t="s">
        <v>3905</v>
      </c>
      <c r="D303" s="8">
        <v>2.0</v>
      </c>
      <c r="E303" s="8">
        <v>2.0</v>
      </c>
      <c r="F303" s="8" t="s">
        <v>3908</v>
      </c>
      <c r="G303" s="3" t="s">
        <v>3450</v>
      </c>
      <c r="H303" s="16" t="s">
        <v>35</v>
      </c>
      <c r="I303" s="8" t="str">
        <f>IFERROR(__xludf.DUMMYFUNCTION("IF(OR(TRIM(G303)="""",TRIM(H303)=""""),"""",TEXTJOIN("", "",TRUE,ARRAYFORMULA(TRANSPOSE(TRIM(SPLIT(G303,"","")))&amp;""_""&amp;TRIM(SPLIT(H303,"","")))))"),"Elf_Female, Human_Female, Orc_Female, Khajiit_Female")</f>
        <v>Elf_Female, Human_Female, Orc_Female, Khajiit_Female</v>
      </c>
      <c r="J303" s="5" t="s">
        <v>705</v>
      </c>
      <c r="K303" s="5" t="s">
        <v>3818</v>
      </c>
      <c r="L303" s="12" t="str">
        <f t="shared" si="1"/>
        <v>KSSMP_Bluebird,2,2</v>
      </c>
    </row>
    <row r="304" ht="15.75" customHeight="1">
      <c r="A304" s="8" t="s">
        <v>3809</v>
      </c>
      <c r="B304" s="18"/>
      <c r="C304" s="8" t="s">
        <v>3916</v>
      </c>
      <c r="D304" s="8">
        <v>1.0</v>
      </c>
      <c r="E304" s="8">
        <v>1.0</v>
      </c>
      <c r="F304" s="8" t="s">
        <v>3919</v>
      </c>
      <c r="G304" s="3" t="s">
        <v>3450</v>
      </c>
      <c r="H304" s="16" t="s">
        <v>35</v>
      </c>
      <c r="I304" s="8" t="str">
        <f>IFERROR(__xludf.DUMMYFUNCTION("IF(OR(TRIM(G304)="""",TRIM(H304)=""""),"""",TEXTJOIN("", "",TRUE,ARRAYFORMULA(TRANSPOSE(TRIM(SPLIT(G304,"","")))&amp;""_""&amp;TRIM(SPLIT(H304,"","")))))"),"Elf_Female, Human_Female, Orc_Female, Khajiit_Female")</f>
        <v>Elf_Female, Human_Female, Orc_Female, Khajiit_Female</v>
      </c>
      <c r="J304" s="5" t="s">
        <v>705</v>
      </c>
      <c r="K304" s="5" t="s">
        <v>3818</v>
      </c>
      <c r="L304" s="12" t="str">
        <f t="shared" si="1"/>
        <v>KSSMP_Cambrian,1,1</v>
      </c>
    </row>
    <row r="305" ht="15.75" customHeight="1">
      <c r="A305" s="8" t="s">
        <v>3809</v>
      </c>
      <c r="B305" s="18"/>
      <c r="C305" s="8" t="s">
        <v>3930</v>
      </c>
      <c r="D305" s="8">
        <v>2.0</v>
      </c>
      <c r="E305" s="8">
        <v>2.0</v>
      </c>
      <c r="F305" s="8" t="s">
        <v>3931</v>
      </c>
      <c r="G305" s="3" t="s">
        <v>3450</v>
      </c>
      <c r="H305" s="16" t="s">
        <v>35</v>
      </c>
      <c r="I305" s="8" t="str">
        <f>IFERROR(__xludf.DUMMYFUNCTION("IF(OR(TRIM(G305)="""",TRIM(H305)=""""),"""",TEXTJOIN("", "",TRUE,ARRAYFORMULA(TRANSPOSE(TRIM(SPLIT(G305,"","")))&amp;""_""&amp;TRIM(SPLIT(H305,"","")))))"),"Elf_Female, Human_Female, Orc_Female, Khajiit_Female")</f>
        <v>Elf_Female, Human_Female, Orc_Female, Khajiit_Female</v>
      </c>
      <c r="J305" s="5" t="s">
        <v>705</v>
      </c>
      <c r="K305" s="5" t="s">
        <v>3818</v>
      </c>
      <c r="L305" s="12" t="str">
        <f t="shared" si="1"/>
        <v>KSSMP_Caress,2,2</v>
      </c>
    </row>
    <row r="306" ht="15.75" customHeight="1">
      <c r="A306" s="8" t="s">
        <v>3809</v>
      </c>
      <c r="B306" s="18"/>
      <c r="C306" s="8" t="s">
        <v>3943</v>
      </c>
      <c r="D306" s="8">
        <v>1.0</v>
      </c>
      <c r="E306" s="8">
        <v>1.0</v>
      </c>
      <c r="F306" s="8" t="s">
        <v>3950</v>
      </c>
      <c r="G306" s="3" t="s">
        <v>3450</v>
      </c>
      <c r="H306" s="16" t="s">
        <v>35</v>
      </c>
      <c r="I306" s="8" t="str">
        <f>IFERROR(__xludf.DUMMYFUNCTION("IF(OR(TRIM(G306)="""",TRIM(H306)=""""),"""",TEXTJOIN("", "",TRUE,ARRAYFORMULA(TRANSPOSE(TRIM(SPLIT(G306,"","")))&amp;""_""&amp;TRIM(SPLIT(H306,"","")))))"),"Elf_Female, Human_Female, Orc_Female, Khajiit_Female")</f>
        <v>Elf_Female, Human_Female, Orc_Female, Khajiit_Female</v>
      </c>
      <c r="J306" s="5" t="s">
        <v>705</v>
      </c>
      <c r="K306" s="5" t="s">
        <v>3818</v>
      </c>
      <c r="L306" s="12" t="str">
        <f t="shared" si="1"/>
        <v>KSSMP_Cassy,1,1</v>
      </c>
    </row>
    <row r="307" ht="15.75" customHeight="1">
      <c r="A307" s="8" t="s">
        <v>3809</v>
      </c>
      <c r="B307" s="18"/>
      <c r="C307" s="8" t="s">
        <v>3962</v>
      </c>
      <c r="D307" s="8">
        <v>1.0</v>
      </c>
      <c r="E307" s="8">
        <v>1.0</v>
      </c>
      <c r="F307" s="8" t="s">
        <v>3964</v>
      </c>
      <c r="G307" s="3" t="s">
        <v>3450</v>
      </c>
      <c r="H307" s="16" t="s">
        <v>35</v>
      </c>
      <c r="I307" s="8" t="str">
        <f>IFERROR(__xludf.DUMMYFUNCTION("IF(OR(TRIM(G307)="""",TRIM(H307)=""""),"""",TEXTJOIN("", "",TRUE,ARRAYFORMULA(TRANSPOSE(TRIM(SPLIT(G307,"","")))&amp;""_""&amp;TRIM(SPLIT(H307,"","")))))"),"Elf_Female, Human_Female, Orc_Female, Khajiit_Female")</f>
        <v>Elf_Female, Human_Female, Orc_Female, Khajiit_Female</v>
      </c>
      <c r="J307" s="5" t="s">
        <v>705</v>
      </c>
      <c r="K307" s="5" t="s">
        <v>3818</v>
      </c>
      <c r="L307" s="12" t="str">
        <f t="shared" si="1"/>
        <v>KSSMP_Cerigo,1,1</v>
      </c>
    </row>
    <row r="308" ht="15.75" customHeight="1">
      <c r="A308" s="8" t="s">
        <v>3809</v>
      </c>
      <c r="B308" s="18"/>
      <c r="C308" s="8" t="s">
        <v>3975</v>
      </c>
      <c r="D308" s="8">
        <v>3.0</v>
      </c>
      <c r="E308" s="8">
        <v>3.0</v>
      </c>
      <c r="F308" s="8" t="s">
        <v>3978</v>
      </c>
      <c r="G308" s="3" t="s">
        <v>3450</v>
      </c>
      <c r="H308" s="16" t="s">
        <v>35</v>
      </c>
      <c r="I308" s="8" t="str">
        <f>IFERROR(__xludf.DUMMYFUNCTION("IF(OR(TRIM(G308)="""",TRIM(H308)=""""),"""",TEXTJOIN("", "",TRUE,ARRAYFORMULA(TRANSPOSE(TRIM(SPLIT(G308,"","")))&amp;""_""&amp;TRIM(SPLIT(H308,"","")))))"),"Elf_Female, Human_Female, Orc_Female, Khajiit_Female")</f>
        <v>Elf_Female, Human_Female, Orc_Female, Khajiit_Female</v>
      </c>
      <c r="J308" s="5" t="s">
        <v>705</v>
      </c>
      <c r="K308" s="5" t="s">
        <v>3818</v>
      </c>
      <c r="L308" s="12" t="str">
        <f t="shared" si="1"/>
        <v>KSSMP_Cliche,3,3</v>
      </c>
    </row>
    <row r="309" ht="15.75" customHeight="1">
      <c r="A309" s="8" t="s">
        <v>3809</v>
      </c>
      <c r="B309" s="18"/>
      <c r="C309" s="8" t="s">
        <v>3983</v>
      </c>
      <c r="D309" s="8">
        <v>1.0</v>
      </c>
      <c r="E309" s="8">
        <v>1.0</v>
      </c>
      <c r="F309" s="8" t="s">
        <v>3984</v>
      </c>
      <c r="G309" s="3" t="s">
        <v>3450</v>
      </c>
      <c r="H309" s="16" t="s">
        <v>35</v>
      </c>
      <c r="I309" s="8" t="str">
        <f>IFERROR(__xludf.DUMMYFUNCTION("IF(OR(TRIM(G309)="""",TRIM(H309)=""""),"""",TEXTJOIN("", "",TRUE,ARRAYFORMULA(TRANSPOSE(TRIM(SPLIT(G309,"","")))&amp;""_""&amp;TRIM(SPLIT(H309,"","")))))"),"Elf_Female, Human_Female, Orc_Female, Khajiit_Female")</f>
        <v>Elf_Female, Human_Female, Orc_Female, Khajiit_Female</v>
      </c>
      <c r="J309" s="5" t="s">
        <v>705</v>
      </c>
      <c r="K309" s="5" t="s">
        <v>3818</v>
      </c>
      <c r="L309" s="12" t="str">
        <f t="shared" si="1"/>
        <v>KSSMP_Cola,1,1</v>
      </c>
    </row>
    <row r="310" ht="15.75" customHeight="1">
      <c r="A310" s="8" t="s">
        <v>3809</v>
      </c>
      <c r="B310" s="18"/>
      <c r="C310" s="8" t="s">
        <v>3988</v>
      </c>
      <c r="D310" s="8">
        <v>1.0</v>
      </c>
      <c r="E310" s="8">
        <v>1.0</v>
      </c>
      <c r="F310" s="8" t="s">
        <v>3989</v>
      </c>
      <c r="G310" s="3" t="s">
        <v>3450</v>
      </c>
      <c r="H310" s="16" t="s">
        <v>35</v>
      </c>
      <c r="I310" s="8" t="str">
        <f>IFERROR(__xludf.DUMMYFUNCTION("IF(OR(TRIM(G310)="""",TRIM(H310)=""""),"""",TEXTJOIN("", "",TRUE,ARRAYFORMULA(TRANSPOSE(TRIM(SPLIT(G310,"","")))&amp;""_""&amp;TRIM(SPLIT(H310,"","")))))"),"Elf_Female, Human_Female, Orc_Female, Khajiit_Female")</f>
        <v>Elf_Female, Human_Female, Orc_Female, Khajiit_Female</v>
      </c>
      <c r="J310" s="5" t="s">
        <v>705</v>
      </c>
      <c r="K310" s="5" t="s">
        <v>3818</v>
      </c>
      <c r="L310" s="12" t="str">
        <f t="shared" si="1"/>
        <v>KSSMP_CrazyLove,1,1</v>
      </c>
    </row>
    <row r="311" ht="15.75" customHeight="1">
      <c r="A311" s="8" t="s">
        <v>3809</v>
      </c>
      <c r="B311" s="18"/>
      <c r="C311" s="8" t="s">
        <v>3994</v>
      </c>
      <c r="D311" s="8">
        <v>1.0</v>
      </c>
      <c r="E311" s="8">
        <v>1.0</v>
      </c>
      <c r="F311" s="8" t="s">
        <v>3995</v>
      </c>
      <c r="G311" s="3" t="s">
        <v>3450</v>
      </c>
      <c r="H311" s="16" t="s">
        <v>35</v>
      </c>
      <c r="I311" s="8" t="str">
        <f>IFERROR(__xludf.DUMMYFUNCTION("IF(OR(TRIM(G311)="""",TRIM(H311)=""""),"""",TEXTJOIN("", "",TRUE,ARRAYFORMULA(TRANSPOSE(TRIM(SPLIT(G311,"","")))&amp;""_""&amp;TRIM(SPLIT(H311,"","")))))"),"Elf_Female, Human_Female, Orc_Female, Khajiit_Female")</f>
        <v>Elf_Female, Human_Female, Orc_Female, Khajiit_Female</v>
      </c>
      <c r="J311" s="5" t="s">
        <v>705</v>
      </c>
      <c r="K311" s="5" t="s">
        <v>3818</v>
      </c>
      <c r="L311" s="12" t="str">
        <f t="shared" si="1"/>
        <v>KSSMP_Crescent,1,1</v>
      </c>
    </row>
    <row r="312" ht="15.75" customHeight="1">
      <c r="A312" s="8" t="s">
        <v>3809</v>
      </c>
      <c r="B312" s="18"/>
      <c r="C312" s="8" t="s">
        <v>4000</v>
      </c>
      <c r="D312" s="8">
        <v>2.0</v>
      </c>
      <c r="E312" s="8">
        <v>2.0</v>
      </c>
      <c r="F312" s="8" t="s">
        <v>4001</v>
      </c>
      <c r="G312" s="3" t="s">
        <v>3450</v>
      </c>
      <c r="H312" s="16" t="s">
        <v>35</v>
      </c>
      <c r="I312" s="8" t="str">
        <f>IFERROR(__xludf.DUMMYFUNCTION("IF(OR(TRIM(G312)="""",TRIM(H312)=""""),"""",TEXTJOIN("", "",TRUE,ARRAYFORMULA(TRANSPOSE(TRIM(SPLIT(G312,"","")))&amp;""_""&amp;TRIM(SPLIT(H312,"","")))))"),"Elf_Female, Human_Female, Orc_Female, Khajiit_Female")</f>
        <v>Elf_Female, Human_Female, Orc_Female, Khajiit_Female</v>
      </c>
      <c r="J312" s="5" t="s">
        <v>705</v>
      </c>
      <c r="K312" s="5" t="s">
        <v>3818</v>
      </c>
      <c r="L312" s="12" t="str">
        <f t="shared" si="1"/>
        <v>KSSMP_Desirae,2,2</v>
      </c>
    </row>
    <row r="313" ht="15.75" customHeight="1">
      <c r="A313" s="8" t="s">
        <v>3809</v>
      </c>
      <c r="B313" s="18"/>
      <c r="C313" s="8" t="s">
        <v>4007</v>
      </c>
      <c r="D313" s="8">
        <v>2.0</v>
      </c>
      <c r="E313" s="8">
        <v>2.0</v>
      </c>
      <c r="F313" s="8" t="s">
        <v>4008</v>
      </c>
      <c r="G313" s="3" t="s">
        <v>3450</v>
      </c>
      <c r="H313" s="16" t="s">
        <v>35</v>
      </c>
      <c r="I313" s="8" t="str">
        <f>IFERROR(__xludf.DUMMYFUNCTION("IF(OR(TRIM(G313)="""",TRIM(H313)=""""),"""",TEXTJOIN("", "",TRUE,ARRAYFORMULA(TRANSPOSE(TRIM(SPLIT(G313,"","")))&amp;""_""&amp;TRIM(SPLIT(H313,"","")))))"),"Elf_Female, Human_Female, Orc_Female, Khajiit_Female")</f>
        <v>Elf_Female, Human_Female, Orc_Female, Khajiit_Female</v>
      </c>
      <c r="J313" s="5" t="s">
        <v>705</v>
      </c>
      <c r="K313" s="5" t="s">
        <v>3818</v>
      </c>
      <c r="L313" s="12" t="str">
        <f t="shared" si="1"/>
        <v>KSSMP_Desperate,2,2</v>
      </c>
    </row>
    <row r="314" ht="15.75" customHeight="1">
      <c r="A314" s="8" t="s">
        <v>3809</v>
      </c>
      <c r="B314" s="18"/>
      <c r="C314" s="8" t="s">
        <v>4012</v>
      </c>
      <c r="D314" s="8">
        <v>1.0</v>
      </c>
      <c r="E314" s="8">
        <v>1.0</v>
      </c>
      <c r="F314" s="8" t="s">
        <v>4013</v>
      </c>
      <c r="G314" s="3" t="s">
        <v>3450</v>
      </c>
      <c r="H314" s="16" t="s">
        <v>35</v>
      </c>
      <c r="I314" s="8" t="str">
        <f>IFERROR(__xludf.DUMMYFUNCTION("IF(OR(TRIM(G314)="""",TRIM(H314)=""""),"""",TEXTJOIN("", "",TRUE,ARRAYFORMULA(TRANSPOSE(TRIM(SPLIT(G314,"","")))&amp;""_""&amp;TRIM(SPLIT(H314,"","")))))"),"Elf_Female, Human_Female, Orc_Female, Khajiit_Female")</f>
        <v>Elf_Female, Human_Female, Orc_Female, Khajiit_Female</v>
      </c>
      <c r="J314" s="5" t="s">
        <v>705</v>
      </c>
      <c r="K314" s="5" t="s">
        <v>3818</v>
      </c>
      <c r="L314" s="12" t="str">
        <f t="shared" si="1"/>
        <v>KSSMP_Didar,1,1</v>
      </c>
    </row>
    <row r="315" ht="15.75" customHeight="1">
      <c r="A315" s="8" t="s">
        <v>3809</v>
      </c>
      <c r="B315" s="18"/>
      <c r="C315" s="8" t="s">
        <v>4021</v>
      </c>
      <c r="D315" s="8">
        <v>2.0</v>
      </c>
      <c r="E315" s="8">
        <v>2.0</v>
      </c>
      <c r="F315" s="8" t="s">
        <v>4022</v>
      </c>
      <c r="G315" s="3" t="s">
        <v>3450</v>
      </c>
      <c r="H315" s="16" t="s">
        <v>35</v>
      </c>
      <c r="I315" s="8" t="str">
        <f>IFERROR(__xludf.DUMMYFUNCTION("IF(OR(TRIM(G315)="""",TRIM(H315)=""""),"""",TEXTJOIN("", "",TRUE,ARRAYFORMULA(TRANSPOSE(TRIM(SPLIT(G315,"","")))&amp;""_""&amp;TRIM(SPLIT(H315,"","")))))"),"Elf_Female, Human_Female, Orc_Female, Khajiit_Female")</f>
        <v>Elf_Female, Human_Female, Orc_Female, Khajiit_Female</v>
      </c>
      <c r="J315" s="5" t="s">
        <v>705</v>
      </c>
      <c r="K315" s="5" t="s">
        <v>3818</v>
      </c>
      <c r="L315" s="12" t="str">
        <f t="shared" si="1"/>
        <v>KSSMP_Dollmaker,2,2</v>
      </c>
    </row>
    <row r="316" ht="15.75" customHeight="1">
      <c r="A316" s="8" t="s">
        <v>3809</v>
      </c>
      <c r="B316" s="18"/>
      <c r="C316" s="8" t="s">
        <v>4030</v>
      </c>
      <c r="D316" s="8">
        <v>2.0</v>
      </c>
      <c r="E316" s="8">
        <v>2.0</v>
      </c>
      <c r="F316" s="8" t="s">
        <v>4033</v>
      </c>
      <c r="G316" s="3" t="s">
        <v>3450</v>
      </c>
      <c r="H316" s="16" t="s">
        <v>35</v>
      </c>
      <c r="I316" s="8" t="str">
        <f>IFERROR(__xludf.DUMMYFUNCTION("IF(OR(TRIM(G316)="""",TRIM(H316)=""""),"""",TEXTJOIN("", "",TRUE,ARRAYFORMULA(TRANSPOSE(TRIM(SPLIT(G316,"","")))&amp;""_""&amp;TRIM(SPLIT(H316,"","")))))"),"Elf_Female, Human_Female, Orc_Female, Khajiit_Female")</f>
        <v>Elf_Female, Human_Female, Orc_Female, Khajiit_Female</v>
      </c>
      <c r="J316" s="5" t="s">
        <v>705</v>
      </c>
      <c r="K316" s="5" t="s">
        <v>3818</v>
      </c>
      <c r="L316" s="12" t="str">
        <f t="shared" si="1"/>
        <v>KSSMP_Erena,2,2</v>
      </c>
    </row>
    <row r="317" ht="15.75" customHeight="1">
      <c r="A317" s="8" t="s">
        <v>3809</v>
      </c>
      <c r="B317" s="18"/>
      <c r="C317" s="8" t="s">
        <v>4041</v>
      </c>
      <c r="D317" s="8">
        <v>1.0</v>
      </c>
      <c r="E317" s="8">
        <v>1.0</v>
      </c>
      <c r="F317" s="8" t="s">
        <v>4044</v>
      </c>
      <c r="G317" s="3" t="s">
        <v>3450</v>
      </c>
      <c r="H317" s="16" t="s">
        <v>35</v>
      </c>
      <c r="I317" s="8" t="str">
        <f>IFERROR(__xludf.DUMMYFUNCTION("IF(OR(TRIM(G317)="""",TRIM(H317)=""""),"""",TEXTJOIN("", "",TRUE,ARRAYFORMULA(TRANSPOSE(TRIM(SPLIT(G317,"","")))&amp;""_""&amp;TRIM(SPLIT(H317,"","")))))"),"Elf_Female, Human_Female, Orc_Female, Khajiit_Female")</f>
        <v>Elf_Female, Human_Female, Orc_Female, Khajiit_Female</v>
      </c>
      <c r="J317" s="5" t="s">
        <v>705</v>
      </c>
      <c r="K317" s="5" t="s">
        <v>3818</v>
      </c>
      <c r="L317" s="12" t="str">
        <f t="shared" si="1"/>
        <v>KSSMP_FoamSummer,1,1</v>
      </c>
    </row>
    <row r="318" ht="15.75" customHeight="1">
      <c r="A318" s="8" t="s">
        <v>3809</v>
      </c>
      <c r="B318" s="18"/>
      <c r="C318" s="8" t="s">
        <v>4055</v>
      </c>
      <c r="D318" s="8">
        <v>1.0</v>
      </c>
      <c r="E318" s="8">
        <v>1.0</v>
      </c>
      <c r="F318" s="8" t="s">
        <v>4056</v>
      </c>
      <c r="G318" s="3" t="s">
        <v>3450</v>
      </c>
      <c r="H318" s="16" t="s">
        <v>35</v>
      </c>
      <c r="I318" s="8" t="str">
        <f>IFERROR(__xludf.DUMMYFUNCTION("IF(OR(TRIM(G318)="""",TRIM(H318)=""""),"""",TEXTJOIN("", "",TRUE,ARRAYFORMULA(TRANSPOSE(TRIM(SPLIT(G318,"","")))&amp;""_""&amp;TRIM(SPLIT(H318,"","")))))"),"Elf_Female, Human_Female, Orc_Female, Khajiit_Female")</f>
        <v>Elf_Female, Human_Female, Orc_Female, Khajiit_Female</v>
      </c>
      <c r="J318" s="5" t="s">
        <v>705</v>
      </c>
      <c r="K318" s="5" t="s">
        <v>3818</v>
      </c>
      <c r="L318" s="12" t="str">
        <f t="shared" si="1"/>
        <v>KSSMP_FontanaDiTrevi,1,1</v>
      </c>
    </row>
    <row r="319" ht="15.75" customHeight="1">
      <c r="A319" s="8" t="s">
        <v>3809</v>
      </c>
      <c r="B319" s="18"/>
      <c r="C319" s="8" t="s">
        <v>4065</v>
      </c>
      <c r="D319" s="8">
        <v>2.0</v>
      </c>
      <c r="E319" s="8">
        <v>2.0</v>
      </c>
      <c r="F319" s="8" t="s">
        <v>4068</v>
      </c>
      <c r="G319" s="3" t="s">
        <v>3450</v>
      </c>
      <c r="H319" s="16" t="s">
        <v>35</v>
      </c>
      <c r="I319" s="8" t="str">
        <f>IFERROR(__xludf.DUMMYFUNCTION("IF(OR(TRIM(G319)="""",TRIM(H319)=""""),"""",TEXTJOIN("", "",TRUE,ARRAYFORMULA(TRANSPOSE(TRIM(SPLIT(G319,"","")))&amp;""_""&amp;TRIM(SPLIT(H319,"","")))))"),"Elf_Female, Human_Female, Orc_Female, Khajiit_Female")</f>
        <v>Elf_Female, Human_Female, Orc_Female, Khajiit_Female</v>
      </c>
      <c r="J319" s="5" t="s">
        <v>705</v>
      </c>
      <c r="K319" s="5" t="s">
        <v>3818</v>
      </c>
      <c r="L319" s="12" t="str">
        <f t="shared" si="1"/>
        <v>KSSMP_Freesia,2,2</v>
      </c>
    </row>
    <row r="320" ht="15.75" customHeight="1">
      <c r="A320" s="8" t="s">
        <v>3809</v>
      </c>
      <c r="B320" s="18"/>
      <c r="C320" s="8" t="s">
        <v>4073</v>
      </c>
      <c r="D320" s="8">
        <v>3.0</v>
      </c>
      <c r="E320" s="8">
        <v>3.0</v>
      </c>
      <c r="F320" s="8" t="s">
        <v>4076</v>
      </c>
      <c r="G320" s="3" t="s">
        <v>3450</v>
      </c>
      <c r="H320" s="16" t="s">
        <v>35</v>
      </c>
      <c r="I320" s="8" t="str">
        <f>IFERROR(__xludf.DUMMYFUNCTION("IF(OR(TRIM(G320)="""",TRIM(H320)=""""),"""",TEXTJOIN("", "",TRUE,ARRAYFORMULA(TRANSPOSE(TRIM(SPLIT(G320,"","")))&amp;""_""&amp;TRIM(SPLIT(H320,"","")))))"),"Elf_Female, Human_Female, Orc_Female, Khajiit_Female")</f>
        <v>Elf_Female, Human_Female, Orc_Female, Khajiit_Female</v>
      </c>
      <c r="J320" s="5" t="s">
        <v>705</v>
      </c>
      <c r="K320" s="5" t="s">
        <v>3818</v>
      </c>
      <c r="L320" s="12" t="str">
        <f t="shared" si="1"/>
        <v>KSSMP_Galaxy,3,3</v>
      </c>
    </row>
    <row r="321" ht="15.75" customHeight="1">
      <c r="A321" s="8" t="s">
        <v>3809</v>
      </c>
      <c r="B321" s="18"/>
      <c r="C321" s="8" t="s">
        <v>4084</v>
      </c>
      <c r="D321" s="3">
        <v>1.0</v>
      </c>
      <c r="E321" s="8">
        <v>2.0</v>
      </c>
      <c r="F321" s="8" t="s">
        <v>4085</v>
      </c>
      <c r="G321" s="3" t="s">
        <v>3450</v>
      </c>
      <c r="H321" s="16" t="s">
        <v>35</v>
      </c>
      <c r="I321" s="8" t="str">
        <f>IFERROR(__xludf.DUMMYFUNCTION("IF(OR(TRIM(G321)="""",TRIM(H321)=""""),"""",TEXTJOIN("", "",TRUE,ARRAYFORMULA(TRANSPOSE(TRIM(SPLIT(G321,"","")))&amp;""_""&amp;TRIM(SPLIT(H321,"","")))))"),"Elf_Female, Human_Female, Orc_Female, Khajiit_Female")</f>
        <v>Elf_Female, Human_Female, Orc_Female, Khajiit_Female</v>
      </c>
      <c r="J321" s="5" t="s">
        <v>705</v>
      </c>
      <c r="K321" s="5" t="s">
        <v>3818</v>
      </c>
      <c r="L321" s="12" t="str">
        <f t="shared" si="1"/>
        <v>KSSMP_Gecko,1,2</v>
      </c>
    </row>
    <row r="322" ht="15.75" customHeight="1">
      <c r="A322" s="8" t="s">
        <v>3809</v>
      </c>
      <c r="B322" s="18"/>
      <c r="C322" s="8" t="s">
        <v>4093</v>
      </c>
      <c r="D322" s="8">
        <v>2.0</v>
      </c>
      <c r="E322" s="8">
        <v>2.0</v>
      </c>
      <c r="F322" s="8" t="s">
        <v>4095</v>
      </c>
      <c r="G322" s="3" t="s">
        <v>3450</v>
      </c>
      <c r="H322" s="16" t="s">
        <v>35</v>
      </c>
      <c r="I322" s="8" t="str">
        <f>IFERROR(__xludf.DUMMYFUNCTION("IF(OR(TRIM(G322)="""",TRIM(H322)=""""),"""",TEXTJOIN("", "",TRUE,ARRAYFORMULA(TRANSPOSE(TRIM(SPLIT(G322,"","")))&amp;""_""&amp;TRIM(SPLIT(H322,"","")))))"),"Elf_Female, Human_Female, Orc_Female, Khajiit_Female")</f>
        <v>Elf_Female, Human_Female, Orc_Female, Khajiit_Female</v>
      </c>
      <c r="J322" s="5" t="s">
        <v>705</v>
      </c>
      <c r="K322" s="5" t="s">
        <v>3818</v>
      </c>
      <c r="L322" s="12" t="str">
        <f t="shared" si="1"/>
        <v>KSSMP_Harvest,2,2</v>
      </c>
    </row>
    <row r="323" ht="15.75" customHeight="1">
      <c r="A323" s="8" t="s">
        <v>3809</v>
      </c>
      <c r="B323" s="18"/>
      <c r="C323" s="8" t="s">
        <v>4102</v>
      </c>
      <c r="D323" s="8">
        <v>1.0</v>
      </c>
      <c r="E323" s="8">
        <v>1.0</v>
      </c>
      <c r="F323" s="8" t="s">
        <v>4103</v>
      </c>
      <c r="G323" s="3" t="s">
        <v>3450</v>
      </c>
      <c r="H323" s="16" t="s">
        <v>35</v>
      </c>
      <c r="I323" s="8" t="str">
        <f>IFERROR(__xludf.DUMMYFUNCTION("IF(OR(TRIM(G323)="""",TRIM(H323)=""""),"""",TEXTJOIN("", "",TRUE,ARRAYFORMULA(TRANSPOSE(TRIM(SPLIT(G323,"","")))&amp;""_""&amp;TRIM(SPLIT(H323,"","")))))"),"Elf_Female, Human_Female, Orc_Female, Khajiit_Female")</f>
        <v>Elf_Female, Human_Female, Orc_Female, Khajiit_Female</v>
      </c>
      <c r="J323" s="5" t="s">
        <v>705</v>
      </c>
      <c r="K323" s="5" t="s">
        <v>3818</v>
      </c>
      <c r="L323" s="12" t="str">
        <f t="shared" si="1"/>
        <v>KSSMP_HighLife,1,1</v>
      </c>
    </row>
    <row r="324" ht="15.75" customHeight="1">
      <c r="A324" s="8" t="s">
        <v>3809</v>
      </c>
      <c r="B324" s="18"/>
      <c r="C324" s="8" t="s">
        <v>4112</v>
      </c>
      <c r="D324" s="8">
        <v>1.0</v>
      </c>
      <c r="E324" s="8">
        <v>1.0</v>
      </c>
      <c r="F324" s="8" t="s">
        <v>4114</v>
      </c>
      <c r="G324" s="3" t="s">
        <v>3450</v>
      </c>
      <c r="H324" s="16" t="s">
        <v>35</v>
      </c>
      <c r="I324" s="8" t="str">
        <f>IFERROR(__xludf.DUMMYFUNCTION("IF(OR(TRIM(G324)="""",TRIM(H324)=""""),"""",TEXTJOIN("", "",TRUE,ARRAYFORMULA(TRANSPOSE(TRIM(SPLIT(G324,"","")))&amp;""_""&amp;TRIM(SPLIT(H324,"","")))))"),"Elf_Female, Human_Female, Orc_Female, Khajiit_Female")</f>
        <v>Elf_Female, Human_Female, Orc_Female, Khajiit_Female</v>
      </c>
      <c r="J324" s="5" t="s">
        <v>705</v>
      </c>
      <c r="K324" s="5" t="s">
        <v>3818</v>
      </c>
      <c r="L324" s="12" t="str">
        <f t="shared" si="1"/>
        <v>KSSMP_Himiko,1,1</v>
      </c>
    </row>
    <row r="325" ht="15.75" customHeight="1">
      <c r="A325" s="8" t="s">
        <v>3809</v>
      </c>
      <c r="B325" s="18"/>
      <c r="C325" s="8" t="s">
        <v>4123</v>
      </c>
      <c r="D325" s="8">
        <v>2.0</v>
      </c>
      <c r="E325" s="8">
        <v>2.0</v>
      </c>
      <c r="F325" s="8" t="s">
        <v>4126</v>
      </c>
      <c r="G325" s="3" t="s">
        <v>3450</v>
      </c>
      <c r="H325" s="16" t="s">
        <v>35</v>
      </c>
      <c r="I325" s="8" t="str">
        <f>IFERROR(__xludf.DUMMYFUNCTION("IF(OR(TRIM(G325)="""",TRIM(H325)=""""),"""",TEXTJOIN("", "",TRUE,ARRAYFORMULA(TRANSPOSE(TRIM(SPLIT(G325,"","")))&amp;""_""&amp;TRIM(SPLIT(H325,"","")))))"),"Elf_Female, Human_Female, Orc_Female, Khajiit_Female")</f>
        <v>Elf_Female, Human_Female, Orc_Female, Khajiit_Female</v>
      </c>
      <c r="J325" s="5" t="s">
        <v>705</v>
      </c>
      <c r="K325" s="5" t="s">
        <v>3818</v>
      </c>
      <c r="L325" s="12" t="str">
        <f t="shared" si="1"/>
        <v>KSSMP_Honey,2,2</v>
      </c>
    </row>
    <row r="326" ht="15.75" customHeight="1">
      <c r="A326" s="8" t="s">
        <v>3809</v>
      </c>
      <c r="B326" s="18"/>
      <c r="C326" s="8" t="s">
        <v>4137</v>
      </c>
      <c r="D326" s="8">
        <v>2.0</v>
      </c>
      <c r="E326" s="8">
        <v>2.0</v>
      </c>
      <c r="F326" s="8" t="s">
        <v>4140</v>
      </c>
      <c r="G326" s="3" t="s">
        <v>3450</v>
      </c>
      <c r="H326" s="16" t="s">
        <v>35</v>
      </c>
      <c r="I326" s="8" t="str">
        <f>IFERROR(__xludf.DUMMYFUNCTION("IF(OR(TRIM(G326)="""",TRIM(H326)=""""),"""",TEXTJOIN("", "",TRUE,ARRAYFORMULA(TRANSPOSE(TRIM(SPLIT(G326,"","")))&amp;""_""&amp;TRIM(SPLIT(H326,"","")))))"),"Elf_Female, Human_Female, Orc_Female, Khajiit_Female")</f>
        <v>Elf_Female, Human_Female, Orc_Female, Khajiit_Female</v>
      </c>
      <c r="J326" s="5" t="s">
        <v>705</v>
      </c>
      <c r="K326" s="5" t="s">
        <v>3818</v>
      </c>
      <c r="L326" s="12" t="str">
        <f t="shared" si="1"/>
        <v>KSSMP_Honeyed,2,2</v>
      </c>
    </row>
    <row r="327" ht="15.75" customHeight="1">
      <c r="A327" s="8" t="s">
        <v>3809</v>
      </c>
      <c r="B327" s="18"/>
      <c r="C327" s="8" t="s">
        <v>4150</v>
      </c>
      <c r="D327" s="8">
        <v>2.0</v>
      </c>
      <c r="E327" s="8">
        <v>2.0</v>
      </c>
      <c r="F327" s="8" t="s">
        <v>4153</v>
      </c>
      <c r="G327" s="3" t="s">
        <v>3450</v>
      </c>
      <c r="H327" s="16" t="s">
        <v>35</v>
      </c>
      <c r="I327" s="8" t="str">
        <f>IFERROR(__xludf.DUMMYFUNCTION("IF(OR(TRIM(G327)="""",TRIM(H327)=""""),"""",TEXTJOIN("", "",TRUE,ARRAYFORMULA(TRANSPOSE(TRIM(SPLIT(G327,"","")))&amp;""_""&amp;TRIM(SPLIT(H327,"","")))))"),"Elf_Female, Human_Female, Orc_Female, Khajiit_Female")</f>
        <v>Elf_Female, Human_Female, Orc_Female, Khajiit_Female</v>
      </c>
      <c r="J327" s="5" t="s">
        <v>705</v>
      </c>
      <c r="K327" s="5" t="s">
        <v>3818</v>
      </c>
      <c r="L327" s="12" t="str">
        <f t="shared" si="1"/>
        <v>KSSMP_Icarus,2,2</v>
      </c>
    </row>
    <row r="328" ht="15.75" customHeight="1">
      <c r="A328" s="8" t="s">
        <v>3809</v>
      </c>
      <c r="B328" s="18"/>
      <c r="C328" s="8" t="s">
        <v>4163</v>
      </c>
      <c r="D328" s="8">
        <v>1.0</v>
      </c>
      <c r="E328" s="8">
        <v>2.0</v>
      </c>
      <c r="F328" s="8" t="s">
        <v>4165</v>
      </c>
      <c r="G328" s="3" t="s">
        <v>3450</v>
      </c>
      <c r="H328" s="16" t="s">
        <v>35</v>
      </c>
      <c r="I328" s="8" t="str">
        <f>IFERROR(__xludf.DUMMYFUNCTION("IF(OR(TRIM(G328)="""",TRIM(H328)=""""),"""",TEXTJOIN("", "",TRUE,ARRAYFORMULA(TRANSPOSE(TRIM(SPLIT(G328,"","")))&amp;""_""&amp;TRIM(SPLIT(H328,"","")))))"),"Elf_Female, Human_Female, Orc_Female, Khajiit_Female")</f>
        <v>Elf_Female, Human_Female, Orc_Female, Khajiit_Female</v>
      </c>
      <c r="J328" s="5" t="s">
        <v>705</v>
      </c>
      <c r="K328" s="5" t="s">
        <v>3818</v>
      </c>
      <c r="L328" s="12" t="str">
        <f t="shared" si="1"/>
        <v>KSSMP_Jackdaw,1,2</v>
      </c>
    </row>
    <row r="329" ht="15.75" customHeight="1">
      <c r="A329" s="8" t="s">
        <v>3809</v>
      </c>
      <c r="B329" s="18"/>
      <c r="C329" s="8" t="s">
        <v>4174</v>
      </c>
      <c r="D329" s="8">
        <v>2.0</v>
      </c>
      <c r="E329" s="8">
        <v>3.0</v>
      </c>
      <c r="F329" s="8" t="s">
        <v>4177</v>
      </c>
      <c r="G329" s="3" t="s">
        <v>3450</v>
      </c>
      <c r="H329" s="16" t="s">
        <v>35</v>
      </c>
      <c r="I329" s="8" t="str">
        <f>IFERROR(__xludf.DUMMYFUNCTION("IF(OR(TRIM(G329)="""",TRIM(H329)=""""),"""",TEXTJOIN("", "",TRUE,ARRAYFORMULA(TRANSPOSE(TRIM(SPLIT(G329,"","")))&amp;""_""&amp;TRIM(SPLIT(H329,"","")))))"),"Elf_Female, Human_Female, Orc_Female, Khajiit_Female")</f>
        <v>Elf_Female, Human_Female, Orc_Female, Khajiit_Female</v>
      </c>
      <c r="J329" s="5" t="s">
        <v>705</v>
      </c>
      <c r="K329" s="5" t="s">
        <v>3818</v>
      </c>
      <c r="L329" s="12" t="str">
        <f t="shared" si="1"/>
        <v>KSSMP_Kaysa,2,3</v>
      </c>
    </row>
    <row r="330" ht="15.75" customHeight="1">
      <c r="A330" s="8" t="s">
        <v>3809</v>
      </c>
      <c r="B330" s="18"/>
      <c r="C330" s="8" t="s">
        <v>4187</v>
      </c>
      <c r="D330" s="8">
        <v>1.0</v>
      </c>
      <c r="E330" s="8">
        <v>1.0</v>
      </c>
      <c r="F330" s="8" t="s">
        <v>4190</v>
      </c>
      <c r="G330" s="3" t="s">
        <v>3450</v>
      </c>
      <c r="H330" s="16" t="s">
        <v>35</v>
      </c>
      <c r="I330" s="8" t="str">
        <f>IFERROR(__xludf.DUMMYFUNCTION("IF(OR(TRIM(G330)="""",TRIM(H330)=""""),"""",TEXTJOIN("", "",TRUE,ARRAYFORMULA(TRANSPOSE(TRIM(SPLIT(G330,"","")))&amp;""_""&amp;TRIM(SPLIT(H330,"","")))))"),"Elf_Female, Human_Female, Orc_Female, Khajiit_Female")</f>
        <v>Elf_Female, Human_Female, Orc_Female, Khajiit_Female</v>
      </c>
      <c r="J330" s="5" t="s">
        <v>705</v>
      </c>
      <c r="K330" s="5" t="s">
        <v>3818</v>
      </c>
      <c r="L330" s="12" t="str">
        <f t="shared" si="1"/>
        <v>KSSMP_Kerli,1,1</v>
      </c>
    </row>
    <row r="331" ht="15.75" customHeight="1">
      <c r="A331" s="8" t="s">
        <v>3809</v>
      </c>
      <c r="B331" s="18"/>
      <c r="C331" s="8" t="s">
        <v>4200</v>
      </c>
      <c r="D331" s="8">
        <v>1.0</v>
      </c>
      <c r="E331" s="8">
        <v>4.0</v>
      </c>
      <c r="F331" s="8" t="s">
        <v>4202</v>
      </c>
      <c r="G331" s="3" t="s">
        <v>3450</v>
      </c>
      <c r="H331" s="16" t="s">
        <v>35</v>
      </c>
      <c r="I331" s="8" t="str">
        <f>IFERROR(__xludf.DUMMYFUNCTION("IF(OR(TRIM(G331)="""",TRIM(H331)=""""),"""",TEXTJOIN("", "",TRUE,ARRAYFORMULA(TRANSPOSE(TRIM(SPLIT(G331,"","")))&amp;""_""&amp;TRIM(SPLIT(H331,"","")))))"),"Elf_Female, Human_Female, Orc_Female, Khajiit_Female")</f>
        <v>Elf_Female, Human_Female, Orc_Female, Khajiit_Female</v>
      </c>
      <c r="J331" s="5" t="s">
        <v>705</v>
      </c>
      <c r="K331" s="5" t="s">
        <v>3818</v>
      </c>
      <c r="L331" s="12" t="str">
        <f t="shared" si="1"/>
        <v>KSSMP_Kikyo,1,4</v>
      </c>
    </row>
    <row r="332" ht="15.75" customHeight="1">
      <c r="A332" s="8" t="s">
        <v>3809</v>
      </c>
      <c r="B332" s="18"/>
      <c r="C332" s="8" t="s">
        <v>4212</v>
      </c>
      <c r="D332" s="8">
        <v>1.0</v>
      </c>
      <c r="E332" s="8">
        <v>3.0</v>
      </c>
      <c r="F332" s="8" t="s">
        <v>4214</v>
      </c>
      <c r="G332" s="3" t="s">
        <v>3450</v>
      </c>
      <c r="H332" s="16" t="s">
        <v>35</v>
      </c>
      <c r="I332" s="8" t="str">
        <f>IFERROR(__xludf.DUMMYFUNCTION("IF(OR(TRIM(G332)="""",TRIM(H332)=""""),"""",TEXTJOIN("", "",TRUE,ARRAYFORMULA(TRANSPOSE(TRIM(SPLIT(G332,"","")))&amp;""_""&amp;TRIM(SPLIT(H332,"","")))))"),"Elf_Female, Human_Female, Orc_Female, Khajiit_Female")</f>
        <v>Elf_Female, Human_Female, Orc_Female, Khajiit_Female</v>
      </c>
      <c r="J332" s="5" t="s">
        <v>705</v>
      </c>
      <c r="K332" s="5" t="s">
        <v>3818</v>
      </c>
      <c r="L332" s="12" t="str">
        <f t="shared" si="1"/>
        <v>KSSMP_Koala,1,3</v>
      </c>
    </row>
    <row r="333" ht="15.75" customHeight="1">
      <c r="A333" s="8" t="s">
        <v>3809</v>
      </c>
      <c r="B333" s="18"/>
      <c r="C333" s="8" t="s">
        <v>4224</v>
      </c>
      <c r="D333" s="8">
        <v>1.0</v>
      </c>
      <c r="E333" s="8">
        <v>1.0</v>
      </c>
      <c r="F333" s="8" t="s">
        <v>4226</v>
      </c>
      <c r="G333" s="3" t="s">
        <v>3450</v>
      </c>
      <c r="H333" s="16" t="s">
        <v>35</v>
      </c>
      <c r="I333" s="8" t="str">
        <f>IFERROR(__xludf.DUMMYFUNCTION("IF(OR(TRIM(G333)="""",TRIM(H333)=""""),"""",TEXTJOIN("", "",TRUE,ARRAYFORMULA(TRANSPOSE(TRIM(SPLIT(G333,"","")))&amp;""_""&amp;TRIM(SPLIT(H333,"","")))))"),"Elf_Female, Human_Female, Orc_Female, Khajiit_Female")</f>
        <v>Elf_Female, Human_Female, Orc_Female, Khajiit_Female</v>
      </c>
      <c r="J333" s="5" t="s">
        <v>705</v>
      </c>
      <c r="K333" s="5" t="s">
        <v>3818</v>
      </c>
      <c r="L333" s="12" t="str">
        <f t="shared" si="1"/>
        <v>KSSMP_Lavender,1,1</v>
      </c>
    </row>
    <row r="334" ht="15.75" customHeight="1">
      <c r="A334" s="8" t="s">
        <v>3809</v>
      </c>
      <c r="B334" s="18"/>
      <c r="C334" s="8" t="s">
        <v>4232</v>
      </c>
      <c r="D334" s="8">
        <v>1.0</v>
      </c>
      <c r="E334" s="8">
        <v>1.0</v>
      </c>
      <c r="F334" s="8" t="s">
        <v>4235</v>
      </c>
      <c r="G334" s="3" t="s">
        <v>3450</v>
      </c>
      <c r="H334" s="16" t="s">
        <v>35</v>
      </c>
      <c r="I334" s="8" t="str">
        <f>IFERROR(__xludf.DUMMYFUNCTION("IF(OR(TRIM(G334)="""",TRIM(H334)=""""),"""",TEXTJOIN("", "",TRUE,ARRAYFORMULA(TRANSPOSE(TRIM(SPLIT(G334,"","")))&amp;""_""&amp;TRIM(SPLIT(H334,"","")))))"),"Elf_Female, Human_Female, Orc_Female, Khajiit_Female")</f>
        <v>Elf_Female, Human_Female, Orc_Female, Khajiit_Female</v>
      </c>
      <c r="J334" s="5" t="s">
        <v>705</v>
      </c>
      <c r="K334" s="5" t="s">
        <v>3818</v>
      </c>
      <c r="L334" s="12" t="str">
        <f t="shared" si="1"/>
        <v>KSSMP_Lime,1,1</v>
      </c>
    </row>
    <row r="335" ht="15.75" customHeight="1">
      <c r="A335" s="8" t="s">
        <v>3809</v>
      </c>
      <c r="B335" s="18"/>
      <c r="C335" s="8" t="s">
        <v>4240</v>
      </c>
      <c r="D335" s="8">
        <v>1.0</v>
      </c>
      <c r="E335" s="8">
        <v>2.0</v>
      </c>
      <c r="F335" s="8" t="s">
        <v>4243</v>
      </c>
      <c r="G335" s="3" t="s">
        <v>3450</v>
      </c>
      <c r="H335" s="16" t="s">
        <v>35</v>
      </c>
      <c r="I335" s="8" t="str">
        <f>IFERROR(__xludf.DUMMYFUNCTION("IF(OR(TRIM(G335)="""",TRIM(H335)=""""),"""",TEXTJOIN("", "",TRUE,ARRAYFORMULA(TRANSPOSE(TRIM(SPLIT(G335,"","")))&amp;""_""&amp;TRIM(SPLIT(H335,"","")))))"),"Elf_Female, Human_Female, Orc_Female, Khajiit_Female")</f>
        <v>Elf_Female, Human_Female, Orc_Female, Khajiit_Female</v>
      </c>
      <c r="J335" s="5" t="s">
        <v>705</v>
      </c>
      <c r="K335" s="5" t="s">
        <v>3818</v>
      </c>
      <c r="L335" s="12" t="str">
        <f t="shared" si="1"/>
        <v>KSSMP_Lotus,1,2</v>
      </c>
    </row>
    <row r="336" ht="15.75" customHeight="1">
      <c r="A336" s="8" t="s">
        <v>3809</v>
      </c>
      <c r="B336" s="18"/>
      <c r="C336" s="8" t="s">
        <v>4250</v>
      </c>
      <c r="D336" s="8">
        <v>2.0</v>
      </c>
      <c r="E336" s="8">
        <v>2.0</v>
      </c>
      <c r="F336" s="8" t="s">
        <v>4253</v>
      </c>
      <c r="G336" s="3" t="s">
        <v>3450</v>
      </c>
      <c r="H336" s="16" t="s">
        <v>35</v>
      </c>
      <c r="I336" s="8" t="str">
        <f>IFERROR(__xludf.DUMMYFUNCTION("IF(OR(TRIM(G336)="""",TRIM(H336)=""""),"""",TEXTJOIN("", "",TRUE,ARRAYFORMULA(TRANSPOSE(TRIM(SPLIT(G336,"","")))&amp;""_""&amp;TRIM(SPLIT(H336,"","")))))"),"Elf_Female, Human_Female, Orc_Female, Khajiit_Female")</f>
        <v>Elf_Female, Human_Female, Orc_Female, Khajiit_Female</v>
      </c>
      <c r="J336" s="5" t="s">
        <v>705</v>
      </c>
      <c r="K336" s="5" t="s">
        <v>3818</v>
      </c>
      <c r="L336" s="12" t="str">
        <f t="shared" si="1"/>
        <v>KSSMP_Mellow,2,2</v>
      </c>
    </row>
    <row r="337" ht="15.75" customHeight="1">
      <c r="A337" s="8" t="s">
        <v>3809</v>
      </c>
      <c r="B337" s="18"/>
      <c r="C337" s="8" t="s">
        <v>4260</v>
      </c>
      <c r="D337" s="8">
        <v>3.0</v>
      </c>
      <c r="E337" s="8">
        <v>3.0</v>
      </c>
      <c r="F337" s="8" t="s">
        <v>4261</v>
      </c>
      <c r="G337" s="3" t="s">
        <v>3450</v>
      </c>
      <c r="H337" s="16" t="s">
        <v>35</v>
      </c>
      <c r="I337" s="8" t="str">
        <f>IFERROR(__xludf.DUMMYFUNCTION("IF(OR(TRIM(G337)="""",TRIM(H337)=""""),"""",TEXTJOIN("", "",TRUE,ARRAYFORMULA(TRANSPOSE(TRIM(SPLIT(G337,"","")))&amp;""_""&amp;TRIM(SPLIT(H337,"","")))))"),"Elf_Female, Human_Female, Orc_Female, Khajiit_Female")</f>
        <v>Elf_Female, Human_Female, Orc_Female, Khajiit_Female</v>
      </c>
      <c r="J337" s="5" t="s">
        <v>705</v>
      </c>
      <c r="K337" s="5" t="s">
        <v>3818</v>
      </c>
      <c r="L337" s="12" t="str">
        <f t="shared" si="1"/>
        <v>KSSMP_Metropolis,3,3</v>
      </c>
    </row>
    <row r="338" ht="15.75" customHeight="1">
      <c r="A338" s="8" t="s">
        <v>3809</v>
      </c>
      <c r="B338" s="18"/>
      <c r="C338" s="8" t="s">
        <v>4268</v>
      </c>
      <c r="D338" s="8">
        <v>3.0</v>
      </c>
      <c r="E338" s="8">
        <v>3.0</v>
      </c>
      <c r="F338" s="8" t="s">
        <v>4269</v>
      </c>
      <c r="G338" s="8" t="s">
        <v>1979</v>
      </c>
      <c r="H338" s="16" t="s">
        <v>35</v>
      </c>
      <c r="I338" s="8" t="str">
        <f>IFERROR(__xludf.DUMMYFUNCTION("IF(OR(TRIM(G338)="""",TRIM(H338)=""""),"""",TEXTJOIN("", "",TRUE,ARRAYFORMULA(TRANSPOSE(TRIM(SPLIT(G338,"","")))&amp;""_""&amp;TRIM(SPLIT(H338,"","")))))"),"Elf_Female, Human_Female, Orc_Female")</f>
        <v>Elf_Female, Human_Female, Orc_Female</v>
      </c>
      <c r="J338" s="5" t="s">
        <v>705</v>
      </c>
      <c r="L338" s="12" t="str">
        <f t="shared" si="1"/>
        <v>KSSMP_Metropolis2,3,3</v>
      </c>
    </row>
    <row r="339" ht="15.75" customHeight="1">
      <c r="A339" s="8" t="s">
        <v>3809</v>
      </c>
      <c r="B339" s="18"/>
      <c r="C339" s="8" t="s">
        <v>4278</v>
      </c>
      <c r="D339" s="8">
        <v>2.0</v>
      </c>
      <c r="E339" s="8">
        <v>2.0</v>
      </c>
      <c r="F339" s="8" t="s">
        <v>4280</v>
      </c>
      <c r="G339" s="3" t="s">
        <v>3450</v>
      </c>
      <c r="H339" s="16" t="s">
        <v>35</v>
      </c>
      <c r="I339" s="8" t="str">
        <f>IFERROR(__xludf.DUMMYFUNCTION("IF(OR(TRIM(G339)="""",TRIM(H339)=""""),"""",TEXTJOIN("", "",TRUE,ARRAYFORMULA(TRANSPOSE(TRIM(SPLIT(G339,"","")))&amp;""_""&amp;TRIM(SPLIT(H339,"","")))))"),"Elf_Female, Human_Female, Orc_Female, Khajiit_Female")</f>
        <v>Elf_Female, Human_Female, Orc_Female, Khajiit_Female</v>
      </c>
      <c r="J339" s="5" t="s">
        <v>705</v>
      </c>
      <c r="K339" s="5" t="s">
        <v>3818</v>
      </c>
      <c r="L339" s="12" t="str">
        <f t="shared" si="1"/>
        <v>KSSMP_Milliet,2,2</v>
      </c>
    </row>
    <row r="340" ht="15.75" customHeight="1">
      <c r="A340" s="8" t="s">
        <v>3809</v>
      </c>
      <c r="B340" s="18"/>
      <c r="C340" s="8" t="s">
        <v>4288</v>
      </c>
      <c r="D340" s="8">
        <v>3.0</v>
      </c>
      <c r="E340" s="8">
        <v>3.0</v>
      </c>
      <c r="F340" s="8" t="s">
        <v>4290</v>
      </c>
      <c r="G340" s="3" t="s">
        <v>3450</v>
      </c>
      <c r="H340" s="16" t="s">
        <v>35</v>
      </c>
      <c r="I340" s="8" t="str">
        <f>IFERROR(__xludf.DUMMYFUNCTION("IF(OR(TRIM(G340)="""",TRIM(H340)=""""),"""",TEXTJOIN("", "",TRUE,ARRAYFORMULA(TRANSPOSE(TRIM(SPLIT(G340,"","")))&amp;""_""&amp;TRIM(SPLIT(H340,"","")))))"),"Elf_Female, Human_Female, Orc_Female, Khajiit_Female")</f>
        <v>Elf_Female, Human_Female, Orc_Female, Khajiit_Female</v>
      </c>
      <c r="J340" s="5" t="s">
        <v>705</v>
      </c>
      <c r="K340" s="5" t="s">
        <v>3818</v>
      </c>
      <c r="L340" s="12" t="str">
        <f t="shared" si="1"/>
        <v>KSSMP_Moonrise,3,3</v>
      </c>
    </row>
    <row r="341" ht="15.75" customHeight="1">
      <c r="A341" s="8" t="s">
        <v>3809</v>
      </c>
      <c r="B341" s="18"/>
      <c r="C341" s="8" t="s">
        <v>4299</v>
      </c>
      <c r="D341" s="8">
        <v>1.0</v>
      </c>
      <c r="E341" s="8">
        <v>1.0</v>
      </c>
      <c r="F341" s="8" t="s">
        <v>4300</v>
      </c>
      <c r="G341" s="3" t="s">
        <v>3450</v>
      </c>
      <c r="H341" s="16" t="s">
        <v>35</v>
      </c>
      <c r="I341" s="8" t="str">
        <f>IFERROR(__xludf.DUMMYFUNCTION("IF(OR(TRIM(G341)="""",TRIM(H341)=""""),"""",TEXTJOIN("", "",TRUE,ARRAYFORMULA(TRANSPOSE(TRIM(SPLIT(G341,"","")))&amp;""_""&amp;TRIM(SPLIT(H341,"","")))))"),"Elf_Female, Human_Female, Orc_Female, Khajiit_Female")</f>
        <v>Elf_Female, Human_Female, Orc_Female, Khajiit_Female</v>
      </c>
      <c r="J341" s="5" t="s">
        <v>705</v>
      </c>
      <c r="K341" s="5" t="s">
        <v>3818</v>
      </c>
      <c r="L341" s="12" t="str">
        <f t="shared" si="1"/>
        <v>KSSMP_Ominous,1,1</v>
      </c>
    </row>
    <row r="342" ht="15.75" customHeight="1">
      <c r="A342" s="8" t="s">
        <v>3809</v>
      </c>
      <c r="B342" s="18"/>
      <c r="C342" s="8" t="s">
        <v>4308</v>
      </c>
      <c r="D342" s="8">
        <v>1.0</v>
      </c>
      <c r="E342" s="8">
        <v>1.0</v>
      </c>
      <c r="F342" s="8" t="s">
        <v>4309</v>
      </c>
      <c r="G342" s="8" t="s">
        <v>1979</v>
      </c>
      <c r="H342" s="16" t="s">
        <v>35</v>
      </c>
      <c r="I342" s="8" t="str">
        <f>IFERROR(__xludf.DUMMYFUNCTION("IF(OR(TRIM(G342)="""",TRIM(H342)=""""),"""",TEXTJOIN("", "",TRUE,ARRAYFORMULA(TRANSPOSE(TRIM(SPLIT(G342,"","")))&amp;""_""&amp;TRIM(SPLIT(H342,"","")))))"),"Elf_Female, Human_Female, Orc_Female")</f>
        <v>Elf_Female, Human_Female, Orc_Female</v>
      </c>
      <c r="J342" s="5" t="s">
        <v>705</v>
      </c>
      <c r="L342" s="12" t="str">
        <f t="shared" si="1"/>
        <v>KSSMP_OminousLace,1,1</v>
      </c>
    </row>
    <row r="343" ht="15.75" customHeight="1">
      <c r="A343" s="8" t="s">
        <v>3809</v>
      </c>
      <c r="B343" s="18"/>
      <c r="C343" s="8" t="s">
        <v>4318</v>
      </c>
      <c r="D343" s="8">
        <v>1.0</v>
      </c>
      <c r="E343" s="8">
        <v>1.0</v>
      </c>
      <c r="F343" s="8" t="s">
        <v>4320</v>
      </c>
      <c r="G343" s="3" t="s">
        <v>3450</v>
      </c>
      <c r="H343" s="16" t="s">
        <v>35</v>
      </c>
      <c r="I343" s="8" t="str">
        <f>IFERROR(__xludf.DUMMYFUNCTION("IF(OR(TRIM(G343)="""",TRIM(H343)=""""),"""",TEXTJOIN("", "",TRUE,ARRAYFORMULA(TRANSPOSE(TRIM(SPLIT(G343,"","")))&amp;""_""&amp;TRIM(SPLIT(H343,"","")))))"),"Elf_Female, Human_Female, Orc_Female, Khajiit_Female")</f>
        <v>Elf_Female, Human_Female, Orc_Female, Khajiit_Female</v>
      </c>
      <c r="J343" s="5" t="s">
        <v>705</v>
      </c>
      <c r="K343" s="5" t="s">
        <v>3818</v>
      </c>
      <c r="L343" s="12" t="str">
        <f t="shared" si="1"/>
        <v>KSSMP_OnlyYou,1,1</v>
      </c>
    </row>
    <row r="344" ht="15.75" customHeight="1">
      <c r="A344" s="8" t="s">
        <v>3809</v>
      </c>
      <c r="B344" s="18"/>
      <c r="C344" s="8" t="s">
        <v>4329</v>
      </c>
      <c r="D344" s="3">
        <v>1.0</v>
      </c>
      <c r="E344" s="3">
        <v>1.0</v>
      </c>
      <c r="F344" s="8" t="s">
        <v>4330</v>
      </c>
      <c r="G344" s="8" t="s">
        <v>1979</v>
      </c>
      <c r="H344" s="16" t="s">
        <v>35</v>
      </c>
      <c r="I344" s="8" t="str">
        <f>IFERROR(__xludf.DUMMYFUNCTION("IF(OR(TRIM(G344)="""",TRIM(H344)=""""),"""",TEXTJOIN("", "",TRUE,ARRAYFORMULA(TRANSPOSE(TRIM(SPLIT(G344,"","")))&amp;""_""&amp;TRIM(SPLIT(H344,"","")))))"),"Elf_Female, Human_Female, Orc_Female")</f>
        <v>Elf_Female, Human_Female, Orc_Female</v>
      </c>
      <c r="J344" s="5" t="s">
        <v>705</v>
      </c>
      <c r="L344" s="12" t="str">
        <f t="shared" si="1"/>
        <v>KSSMP_OnlyYouNoLace,1,1</v>
      </c>
    </row>
    <row r="345" ht="15.75" customHeight="1">
      <c r="A345" s="8" t="s">
        <v>3809</v>
      </c>
      <c r="B345" s="18"/>
      <c r="C345" s="8" t="s">
        <v>4340</v>
      </c>
      <c r="D345" s="8">
        <v>1.0</v>
      </c>
      <c r="E345" s="8">
        <v>2.0</v>
      </c>
      <c r="F345" s="8" t="s">
        <v>4341</v>
      </c>
      <c r="G345" s="3" t="s">
        <v>3450</v>
      </c>
      <c r="H345" s="16" t="s">
        <v>35</v>
      </c>
      <c r="I345" s="8" t="str">
        <f>IFERROR(__xludf.DUMMYFUNCTION("IF(OR(TRIM(G345)="""",TRIM(H345)=""""),"""",TEXTJOIN("", "",TRUE,ARRAYFORMULA(TRANSPOSE(TRIM(SPLIT(G345,"","")))&amp;""_""&amp;TRIM(SPLIT(H345,"","")))))"),"Elf_Female, Human_Female, Orc_Female, Khajiit_Female")</f>
        <v>Elf_Female, Human_Female, Orc_Female, Khajiit_Female</v>
      </c>
      <c r="J345" s="5" t="s">
        <v>705</v>
      </c>
      <c r="K345" s="5" t="s">
        <v>3818</v>
      </c>
      <c r="L345" s="12" t="str">
        <f t="shared" si="1"/>
        <v>KSSMP_Paraguay,1,2</v>
      </c>
    </row>
    <row r="346" ht="15.75" customHeight="1">
      <c r="A346" s="8" t="s">
        <v>3809</v>
      </c>
      <c r="B346" s="18"/>
      <c r="C346" s="8" t="s">
        <v>4349</v>
      </c>
      <c r="D346" s="8">
        <v>1.0</v>
      </c>
      <c r="E346" s="8">
        <v>1.0</v>
      </c>
      <c r="F346" s="8" t="s">
        <v>4352</v>
      </c>
      <c r="G346" s="3" t="s">
        <v>3450</v>
      </c>
      <c r="H346" s="16" t="s">
        <v>35</v>
      </c>
      <c r="I346" s="8" t="str">
        <f>IFERROR(__xludf.DUMMYFUNCTION("IF(OR(TRIM(G346)="""",TRIM(H346)=""""),"""",TEXTJOIN("", "",TRUE,ARRAYFORMULA(TRANSPOSE(TRIM(SPLIT(G346,"","")))&amp;""_""&amp;TRIM(SPLIT(H346,"","")))))"),"Elf_Female, Human_Female, Orc_Female, Khajiit_Female")</f>
        <v>Elf_Female, Human_Female, Orc_Female, Khajiit_Female</v>
      </c>
      <c r="J346" s="5" t="s">
        <v>705</v>
      </c>
      <c r="K346" s="5" t="s">
        <v>3818</v>
      </c>
      <c r="L346" s="12" t="str">
        <f t="shared" si="1"/>
        <v>KSSMP_Princess,1,1</v>
      </c>
    </row>
    <row r="347" ht="15.75" customHeight="1">
      <c r="A347" s="8" t="s">
        <v>3809</v>
      </c>
      <c r="B347" s="18"/>
      <c r="C347" s="8" t="s">
        <v>4360</v>
      </c>
      <c r="D347" s="8">
        <v>2.0</v>
      </c>
      <c r="E347" s="8">
        <v>2.0</v>
      </c>
      <c r="F347" s="8" t="s">
        <v>4363</v>
      </c>
      <c r="G347" s="3" t="s">
        <v>3450</v>
      </c>
      <c r="H347" s="16" t="s">
        <v>35</v>
      </c>
      <c r="I347" s="8" t="str">
        <f>IFERROR(__xludf.DUMMYFUNCTION("IF(OR(TRIM(G347)="""",TRIM(H347)=""""),"""",TEXTJOIN("", "",TRUE,ARRAYFORMULA(TRANSPOSE(TRIM(SPLIT(G347,"","")))&amp;""_""&amp;TRIM(SPLIT(H347,"","")))))"),"Elf_Female, Human_Female, Orc_Female, Khajiit_Female")</f>
        <v>Elf_Female, Human_Female, Orc_Female, Khajiit_Female</v>
      </c>
      <c r="J347" s="5" t="s">
        <v>705</v>
      </c>
      <c r="K347" s="5" t="s">
        <v>3818</v>
      </c>
      <c r="L347" s="12" t="str">
        <f t="shared" si="1"/>
        <v>KSSMP_Rosette,2,2</v>
      </c>
    </row>
    <row r="348" ht="15.75" customHeight="1">
      <c r="A348" s="8" t="s">
        <v>3809</v>
      </c>
      <c r="B348" s="18"/>
      <c r="C348" s="8" t="s">
        <v>4372</v>
      </c>
      <c r="D348" s="8">
        <v>2.0</v>
      </c>
      <c r="E348" s="8">
        <v>2.0</v>
      </c>
      <c r="F348" s="8" t="s">
        <v>4374</v>
      </c>
      <c r="G348" s="3" t="s">
        <v>3450</v>
      </c>
      <c r="H348" s="16" t="s">
        <v>35</v>
      </c>
      <c r="I348" s="8" t="str">
        <f>IFERROR(__xludf.DUMMYFUNCTION("IF(OR(TRIM(G348)="""",TRIM(H348)=""""),"""",TEXTJOIN("", "",TRUE,ARRAYFORMULA(TRANSPOSE(TRIM(SPLIT(G348,"","")))&amp;""_""&amp;TRIM(SPLIT(H348,"","")))))"),"Elf_Female, Human_Female, Orc_Female, Khajiit_Female")</f>
        <v>Elf_Female, Human_Female, Orc_Female, Khajiit_Female</v>
      </c>
      <c r="J348" s="5" t="s">
        <v>705</v>
      </c>
      <c r="K348" s="5" t="s">
        <v>3818</v>
      </c>
      <c r="L348" s="12" t="str">
        <f t="shared" si="1"/>
        <v>KSSMP_RosetteRoses,2,2</v>
      </c>
    </row>
    <row r="349" ht="15.75" customHeight="1">
      <c r="A349" s="8" t="s">
        <v>3809</v>
      </c>
      <c r="B349" s="18"/>
      <c r="C349" s="8" t="s">
        <v>4385</v>
      </c>
      <c r="D349" s="8">
        <v>2.0</v>
      </c>
      <c r="E349" s="8">
        <v>2.0</v>
      </c>
      <c r="F349" s="8" t="s">
        <v>4386</v>
      </c>
      <c r="G349" s="3" t="s">
        <v>3450</v>
      </c>
      <c r="H349" s="16" t="s">
        <v>35</v>
      </c>
      <c r="I349" s="8" t="str">
        <f>IFERROR(__xludf.DUMMYFUNCTION("IF(OR(TRIM(G349)="""",TRIM(H349)=""""),"""",TEXTJOIN("", "",TRUE,ARRAYFORMULA(TRANSPOSE(TRIM(SPLIT(G349,"","")))&amp;""_""&amp;TRIM(SPLIT(H349,"","")))))"),"Elf_Female, Human_Female, Orc_Female, Khajiit_Female")</f>
        <v>Elf_Female, Human_Female, Orc_Female, Khajiit_Female</v>
      </c>
      <c r="J349" s="5" t="s">
        <v>705</v>
      </c>
      <c r="K349" s="5" t="s">
        <v>3818</v>
      </c>
      <c r="L349" s="12" t="str">
        <f t="shared" si="1"/>
        <v>KSSMP_RosiCloud,2,2</v>
      </c>
    </row>
    <row r="350" ht="15.75" customHeight="1">
      <c r="A350" s="8" t="s">
        <v>3809</v>
      </c>
      <c r="B350" s="18"/>
      <c r="C350" s="8" t="s">
        <v>4395</v>
      </c>
      <c r="D350" s="8">
        <v>2.0</v>
      </c>
      <c r="E350" s="8">
        <v>3.0</v>
      </c>
      <c r="F350" s="8" t="s">
        <v>4396</v>
      </c>
      <c r="G350" s="3" t="s">
        <v>3450</v>
      </c>
      <c r="H350" s="16" t="s">
        <v>35</v>
      </c>
      <c r="I350" s="8" t="str">
        <f>IFERROR(__xludf.DUMMYFUNCTION("IF(OR(TRIM(G350)="""",TRIM(H350)=""""),"""",TEXTJOIN("", "",TRUE,ARRAYFORMULA(TRANSPOSE(TRIM(SPLIT(G350,"","")))&amp;""_""&amp;TRIM(SPLIT(H350,"","")))))"),"Elf_Female, Human_Female, Orc_Female, Khajiit_Female")</f>
        <v>Elf_Female, Human_Female, Orc_Female, Khajiit_Female</v>
      </c>
      <c r="J350" s="5" t="s">
        <v>705</v>
      </c>
      <c r="K350" s="5" t="s">
        <v>3818</v>
      </c>
      <c r="L350" s="12" t="str">
        <f t="shared" si="1"/>
        <v>KSSMP_Runaway,2,3</v>
      </c>
    </row>
    <row r="351" ht="15.75" customHeight="1">
      <c r="A351" s="8" t="s">
        <v>3809</v>
      </c>
      <c r="B351" s="18"/>
      <c r="C351" s="8" t="s">
        <v>4404</v>
      </c>
      <c r="D351" s="8">
        <v>2.0</v>
      </c>
      <c r="E351" s="8">
        <v>2.0</v>
      </c>
      <c r="F351" s="8" t="s">
        <v>4406</v>
      </c>
      <c r="G351" s="3" t="s">
        <v>3450</v>
      </c>
      <c r="H351" s="16" t="s">
        <v>35</v>
      </c>
      <c r="I351" s="8" t="str">
        <f>IFERROR(__xludf.DUMMYFUNCTION("IF(OR(TRIM(G351)="""",TRIM(H351)=""""),"""",TEXTJOIN("", "",TRUE,ARRAYFORMULA(TRANSPOSE(TRIM(SPLIT(G351,"","")))&amp;""_""&amp;TRIM(SPLIT(H351,"","")))))"),"Elf_Female, Human_Female, Orc_Female, Khajiit_Female")</f>
        <v>Elf_Female, Human_Female, Orc_Female, Khajiit_Female</v>
      </c>
      <c r="J351" s="5" t="s">
        <v>705</v>
      </c>
      <c r="K351" s="5" t="s">
        <v>3818</v>
      </c>
      <c r="L351" s="12" t="str">
        <f t="shared" si="1"/>
        <v>KSSMP_Scarlet,2,2</v>
      </c>
    </row>
    <row r="352" ht="15.75" customHeight="1">
      <c r="A352" s="8" t="s">
        <v>3809</v>
      </c>
      <c r="B352" s="18"/>
      <c r="C352" s="8" t="s">
        <v>4415</v>
      </c>
      <c r="D352" s="8">
        <v>2.0</v>
      </c>
      <c r="E352" s="8">
        <v>2.0</v>
      </c>
      <c r="F352" s="8" t="s">
        <v>4418</v>
      </c>
      <c r="G352" s="3" t="s">
        <v>3450</v>
      </c>
      <c r="H352" s="16" t="s">
        <v>35</v>
      </c>
      <c r="I352" s="8" t="str">
        <f>IFERROR(__xludf.DUMMYFUNCTION("IF(OR(TRIM(G352)="""",TRIM(H352)=""""),"""",TEXTJOIN("", "",TRUE,ARRAYFORMULA(TRANSPOSE(TRIM(SPLIT(G352,"","")))&amp;""_""&amp;TRIM(SPLIT(H352,"","")))))"),"Elf_Female, Human_Female, Orc_Female, Khajiit_Female")</f>
        <v>Elf_Female, Human_Female, Orc_Female, Khajiit_Female</v>
      </c>
      <c r="J352" s="5" t="s">
        <v>705</v>
      </c>
      <c r="K352" s="5" t="s">
        <v>3818</v>
      </c>
      <c r="L352" s="12" t="str">
        <f t="shared" si="1"/>
        <v>KSSMP_Searching,2,2</v>
      </c>
    </row>
    <row r="353" ht="15.75" customHeight="1">
      <c r="A353" s="8" t="s">
        <v>3809</v>
      </c>
      <c r="B353" s="18"/>
      <c r="C353" s="8" t="s">
        <v>4425</v>
      </c>
      <c r="D353" s="8">
        <v>1.0</v>
      </c>
      <c r="E353" s="3">
        <v>2.0</v>
      </c>
      <c r="F353" s="8" t="s">
        <v>4426</v>
      </c>
      <c r="G353" s="3" t="s">
        <v>3450</v>
      </c>
      <c r="H353" s="16" t="s">
        <v>35</v>
      </c>
      <c r="I353" s="8" t="str">
        <f>IFERROR(__xludf.DUMMYFUNCTION("IF(OR(TRIM(G353)="""",TRIM(H353)=""""),"""",TEXTJOIN("", "",TRUE,ARRAYFORMULA(TRANSPOSE(TRIM(SPLIT(G353,"","")))&amp;""_""&amp;TRIM(SPLIT(H353,"","")))))"),"Elf_Female, Human_Female, Orc_Female, Khajiit_Female")</f>
        <v>Elf_Female, Human_Female, Orc_Female, Khajiit_Female</v>
      </c>
      <c r="J353" s="5" t="s">
        <v>705</v>
      </c>
      <c r="K353" s="5" t="s">
        <v>3818</v>
      </c>
      <c r="L353" s="12" t="str">
        <f t="shared" si="1"/>
        <v>KSSMP_SilentLips,1,2</v>
      </c>
    </row>
    <row r="354" ht="15.75" customHeight="1">
      <c r="A354" s="8" t="s">
        <v>3809</v>
      </c>
      <c r="B354" s="18"/>
      <c r="C354" s="8" t="s">
        <v>4433</v>
      </c>
      <c r="D354" s="8">
        <v>3.0</v>
      </c>
      <c r="E354" s="8">
        <v>3.0</v>
      </c>
      <c r="F354" s="8" t="s">
        <v>4434</v>
      </c>
      <c r="G354" s="3" t="s">
        <v>3450</v>
      </c>
      <c r="H354" s="16" t="s">
        <v>35</v>
      </c>
      <c r="I354" s="8" t="str">
        <f>IFERROR(__xludf.DUMMYFUNCTION("IF(OR(TRIM(G354)="""",TRIM(H354)=""""),"""",TEXTJOIN("", "",TRUE,ARRAYFORMULA(TRANSPOSE(TRIM(SPLIT(G354,"","")))&amp;""_""&amp;TRIM(SPLIT(H354,"","")))))"),"Elf_Female, Human_Female, Orc_Female, Khajiit_Female")</f>
        <v>Elf_Female, Human_Female, Orc_Female, Khajiit_Female</v>
      </c>
      <c r="J354" s="5" t="s">
        <v>705</v>
      </c>
      <c r="K354" s="5" t="s">
        <v>3818</v>
      </c>
      <c r="L354" s="12" t="str">
        <f t="shared" si="1"/>
        <v>KSSMP_Sky022,3,3</v>
      </c>
    </row>
    <row r="355" ht="15.75" customHeight="1">
      <c r="A355" s="8" t="s">
        <v>3809</v>
      </c>
      <c r="B355" s="18"/>
      <c r="C355" s="8" t="s">
        <v>4444</v>
      </c>
      <c r="D355" s="8">
        <v>3.0</v>
      </c>
      <c r="E355" s="8">
        <v>3.0</v>
      </c>
      <c r="F355" s="8" t="s">
        <v>4446</v>
      </c>
      <c r="G355" s="3" t="s">
        <v>3450</v>
      </c>
      <c r="H355" s="16" t="s">
        <v>35</v>
      </c>
      <c r="I355" s="8" t="str">
        <f>IFERROR(__xludf.DUMMYFUNCTION("IF(OR(TRIM(G355)="""",TRIM(H355)=""""),"""",TEXTJOIN("", "",TRUE,ARRAYFORMULA(TRANSPOSE(TRIM(SPLIT(G355,"","")))&amp;""_""&amp;TRIM(SPLIT(H355,"","")))))"),"Elf_Female, Human_Female, Orc_Female, Khajiit_Female")</f>
        <v>Elf_Female, Human_Female, Orc_Female, Khajiit_Female</v>
      </c>
      <c r="J355" s="5" t="s">
        <v>705</v>
      </c>
      <c r="K355" s="5" t="s">
        <v>3818</v>
      </c>
      <c r="L355" s="12" t="str">
        <f t="shared" si="1"/>
        <v>KSSMP_Sky047,3,3</v>
      </c>
    </row>
    <row r="356" ht="15.75" customHeight="1">
      <c r="A356" s="8" t="s">
        <v>3809</v>
      </c>
      <c r="B356" s="18"/>
      <c r="C356" s="8" t="s">
        <v>4453</v>
      </c>
      <c r="D356" s="8">
        <v>2.0</v>
      </c>
      <c r="E356" s="8">
        <v>2.0</v>
      </c>
      <c r="F356" s="8" t="s">
        <v>4454</v>
      </c>
      <c r="G356" s="3" t="s">
        <v>3450</v>
      </c>
      <c r="H356" s="16" t="s">
        <v>35</v>
      </c>
      <c r="I356" s="8" t="str">
        <f>IFERROR(__xludf.DUMMYFUNCTION("IF(OR(TRIM(G356)="""",TRIM(H356)=""""),"""",TEXTJOIN("", "",TRUE,ARRAYFORMULA(TRANSPOSE(TRIM(SPLIT(G356,"","")))&amp;""_""&amp;TRIM(SPLIT(H356,"","")))))"),"Elf_Female, Human_Female, Orc_Female, Khajiit_Female")</f>
        <v>Elf_Female, Human_Female, Orc_Female, Khajiit_Female</v>
      </c>
      <c r="J356" s="5" t="s">
        <v>705</v>
      </c>
      <c r="K356" s="5" t="s">
        <v>3818</v>
      </c>
      <c r="L356" s="12" t="str">
        <f t="shared" si="1"/>
        <v>KSSMP_Sky097,2,2</v>
      </c>
    </row>
    <row r="357" ht="15.75" customHeight="1">
      <c r="A357" s="8" t="s">
        <v>3809</v>
      </c>
      <c r="B357" s="18"/>
      <c r="C357" s="8" t="s">
        <v>4460</v>
      </c>
      <c r="D357" s="8">
        <v>3.0</v>
      </c>
      <c r="E357" s="8">
        <v>3.0</v>
      </c>
      <c r="F357" s="8" t="s">
        <v>4462</v>
      </c>
      <c r="G357" s="3" t="s">
        <v>3450</v>
      </c>
      <c r="H357" s="16" t="s">
        <v>35</v>
      </c>
      <c r="I357" s="8" t="str">
        <f>IFERROR(__xludf.DUMMYFUNCTION("IF(OR(TRIM(G357)="""",TRIM(H357)=""""),"""",TEXTJOIN("", "",TRUE,ARRAYFORMULA(TRANSPOSE(TRIM(SPLIT(G357,"","")))&amp;""_""&amp;TRIM(SPLIT(H357,"","")))))"),"Elf_Female, Human_Female, Orc_Female, Khajiit_Female")</f>
        <v>Elf_Female, Human_Female, Orc_Female, Khajiit_Female</v>
      </c>
      <c r="J357" s="5" t="s">
        <v>705</v>
      </c>
      <c r="K357" s="5" t="s">
        <v>3818</v>
      </c>
      <c r="L357" s="12" t="str">
        <f t="shared" si="1"/>
        <v>KSSMP_Sky146,3,3</v>
      </c>
    </row>
    <row r="358" ht="15.75" customHeight="1">
      <c r="A358" s="8" t="s">
        <v>3809</v>
      </c>
      <c r="B358" s="18"/>
      <c r="C358" s="8" t="s">
        <v>4472</v>
      </c>
      <c r="D358" s="8">
        <v>1.0</v>
      </c>
      <c r="E358" s="8">
        <v>2.0</v>
      </c>
      <c r="F358" s="8" t="s">
        <v>4473</v>
      </c>
      <c r="G358" s="3" t="s">
        <v>3450</v>
      </c>
      <c r="H358" s="16" t="s">
        <v>35</v>
      </c>
      <c r="I358" s="8" t="str">
        <f>IFERROR(__xludf.DUMMYFUNCTION("IF(OR(TRIM(G358)="""",TRIM(H358)=""""),"""",TEXTJOIN("", "",TRUE,ARRAYFORMULA(TRANSPOSE(TRIM(SPLIT(G358,"","")))&amp;""_""&amp;TRIM(SPLIT(H358,"","")))))"),"Elf_Female, Human_Female, Orc_Female, Khajiit_Female")</f>
        <v>Elf_Female, Human_Female, Orc_Female, Khajiit_Female</v>
      </c>
      <c r="J358" s="5" t="s">
        <v>705</v>
      </c>
      <c r="K358" s="5" t="s">
        <v>3818</v>
      </c>
      <c r="L358" s="12" t="str">
        <f t="shared" si="1"/>
        <v>KSSMP_Sky176,1,2</v>
      </c>
    </row>
    <row r="359" ht="15.75" customHeight="1">
      <c r="A359" s="8" t="s">
        <v>3809</v>
      </c>
      <c r="B359" s="18"/>
      <c r="C359" s="8" t="s">
        <v>4484</v>
      </c>
      <c r="D359" s="8">
        <v>3.0</v>
      </c>
      <c r="E359" s="8">
        <v>3.0</v>
      </c>
      <c r="F359" s="8" t="s">
        <v>4485</v>
      </c>
      <c r="G359" s="3" t="s">
        <v>3450</v>
      </c>
      <c r="H359" s="16" t="s">
        <v>35</v>
      </c>
      <c r="I359" s="8" t="str">
        <f>IFERROR(__xludf.DUMMYFUNCTION("IF(OR(TRIM(G359)="""",TRIM(H359)=""""),"""",TEXTJOIN("", "",TRUE,ARRAYFORMULA(TRANSPOSE(TRIM(SPLIT(G359,"","")))&amp;""_""&amp;TRIM(SPLIT(H359,"","")))))"),"Elf_Female, Human_Female, Orc_Female, Khajiit_Female")</f>
        <v>Elf_Female, Human_Female, Orc_Female, Khajiit_Female</v>
      </c>
      <c r="J359" s="5" t="s">
        <v>705</v>
      </c>
      <c r="K359" s="5" t="s">
        <v>3818</v>
      </c>
      <c r="L359" s="12" t="str">
        <f t="shared" si="1"/>
        <v>KSSMP_Sky179,3,3</v>
      </c>
    </row>
    <row r="360" ht="15.75" customHeight="1">
      <c r="A360" s="8" t="s">
        <v>3809</v>
      </c>
      <c r="B360" s="18"/>
      <c r="C360" s="8" t="s">
        <v>4494</v>
      </c>
      <c r="D360" s="8">
        <v>1.0</v>
      </c>
      <c r="E360" s="3">
        <v>2.0</v>
      </c>
      <c r="F360" s="8" t="s">
        <v>4496</v>
      </c>
      <c r="G360" s="3" t="s">
        <v>3450</v>
      </c>
      <c r="H360" s="16" t="s">
        <v>35</v>
      </c>
      <c r="I360" s="8" t="str">
        <f>IFERROR(__xludf.DUMMYFUNCTION("IF(OR(TRIM(G360)="""",TRIM(H360)=""""),"""",TEXTJOIN("", "",TRUE,ARRAYFORMULA(TRANSPOSE(TRIM(SPLIT(G360,"","")))&amp;""_""&amp;TRIM(SPLIT(H360,"","")))))"),"Elf_Female, Human_Female, Orc_Female, Khajiit_Female")</f>
        <v>Elf_Female, Human_Female, Orc_Female, Khajiit_Female</v>
      </c>
      <c r="J360" s="5" t="s">
        <v>705</v>
      </c>
      <c r="K360" s="5" t="s">
        <v>3818</v>
      </c>
      <c r="L360" s="12" t="str">
        <f t="shared" si="1"/>
        <v>KSSMP_Sky188,1,2</v>
      </c>
    </row>
    <row r="361" ht="15.75" customHeight="1">
      <c r="A361" s="8" t="s">
        <v>3809</v>
      </c>
      <c r="B361" s="18"/>
      <c r="C361" s="8" t="s">
        <v>4504</v>
      </c>
      <c r="D361" s="8">
        <v>2.0</v>
      </c>
      <c r="E361" s="8">
        <v>2.0</v>
      </c>
      <c r="F361" s="8" t="s">
        <v>4507</v>
      </c>
      <c r="G361" s="3" t="s">
        <v>3450</v>
      </c>
      <c r="H361" s="16" t="s">
        <v>35</v>
      </c>
      <c r="I361" s="8" t="str">
        <f>IFERROR(__xludf.DUMMYFUNCTION("IF(OR(TRIM(G361)="""",TRIM(H361)=""""),"""",TEXTJOIN("", "",TRUE,ARRAYFORMULA(TRANSPOSE(TRIM(SPLIT(G361,"","")))&amp;""_""&amp;TRIM(SPLIT(H361,"","")))))"),"Elf_Female, Human_Female, Orc_Female, Khajiit_Female")</f>
        <v>Elf_Female, Human_Female, Orc_Female, Khajiit_Female</v>
      </c>
      <c r="J361" s="5" t="s">
        <v>705</v>
      </c>
      <c r="K361" s="5" t="s">
        <v>3818</v>
      </c>
      <c r="L361" s="12" t="str">
        <f t="shared" si="1"/>
        <v>KSSMP_Sky190,2,2</v>
      </c>
    </row>
    <row r="362" ht="15.75" customHeight="1">
      <c r="A362" s="8" t="s">
        <v>3809</v>
      </c>
      <c r="B362" s="18"/>
      <c r="C362" s="8" t="s">
        <v>4512</v>
      </c>
      <c r="D362" s="8">
        <v>1.0</v>
      </c>
      <c r="E362" s="8">
        <v>3.0</v>
      </c>
      <c r="F362" s="8" t="s">
        <v>4514</v>
      </c>
      <c r="G362" s="3" t="s">
        <v>3450</v>
      </c>
      <c r="H362" s="16" t="s">
        <v>35</v>
      </c>
      <c r="I362" s="8" t="str">
        <f>IFERROR(__xludf.DUMMYFUNCTION("IF(OR(TRIM(G362)="""",TRIM(H362)=""""),"""",TEXTJOIN("", "",TRUE,ARRAYFORMULA(TRANSPOSE(TRIM(SPLIT(G362,"","")))&amp;""_""&amp;TRIM(SPLIT(H362,"","")))))"),"Elf_Female, Human_Female, Orc_Female, Khajiit_Female")</f>
        <v>Elf_Female, Human_Female, Orc_Female, Khajiit_Female</v>
      </c>
      <c r="J362" s="5" t="s">
        <v>705</v>
      </c>
      <c r="K362" s="5" t="s">
        <v>3818</v>
      </c>
      <c r="L362" s="12" t="str">
        <f t="shared" si="1"/>
        <v>KSSMP_Sky201,1,3</v>
      </c>
    </row>
    <row r="363" ht="15.75" customHeight="1">
      <c r="A363" s="8" t="s">
        <v>3809</v>
      </c>
      <c r="B363" s="18"/>
      <c r="C363" s="8" t="s">
        <v>4520</v>
      </c>
      <c r="D363" s="8">
        <v>1.0</v>
      </c>
      <c r="E363" s="8">
        <v>3.0</v>
      </c>
      <c r="F363" s="8" t="s">
        <v>4521</v>
      </c>
      <c r="G363" s="3" t="s">
        <v>3450</v>
      </c>
      <c r="H363" s="16" t="s">
        <v>35</v>
      </c>
      <c r="I363" s="8" t="str">
        <f>IFERROR(__xludf.DUMMYFUNCTION("IF(OR(TRIM(G363)="""",TRIM(H363)=""""),"""",TEXTJOIN("", "",TRUE,ARRAYFORMULA(TRANSPOSE(TRIM(SPLIT(G363,"","")))&amp;""_""&amp;TRIM(SPLIT(H363,"","")))))"),"Elf_Female, Human_Female, Orc_Female, Khajiit_Female")</f>
        <v>Elf_Female, Human_Female, Orc_Female, Khajiit_Female</v>
      </c>
      <c r="J363" s="5" t="s">
        <v>705</v>
      </c>
      <c r="K363" s="5" t="s">
        <v>3818</v>
      </c>
      <c r="L363" s="12" t="str">
        <f t="shared" si="1"/>
        <v>KSSMP_Sky208,1,3</v>
      </c>
    </row>
    <row r="364" ht="15.75" customHeight="1">
      <c r="A364" s="8" t="s">
        <v>3809</v>
      </c>
      <c r="B364" s="18"/>
      <c r="C364" s="8" t="s">
        <v>4529</v>
      </c>
      <c r="D364" s="8">
        <v>1.0</v>
      </c>
      <c r="E364" s="8">
        <v>1.0</v>
      </c>
      <c r="F364" s="8" t="s">
        <v>4530</v>
      </c>
      <c r="G364" s="3" t="s">
        <v>3450</v>
      </c>
      <c r="H364" s="16" t="s">
        <v>35</v>
      </c>
      <c r="I364" s="8" t="str">
        <f>IFERROR(__xludf.DUMMYFUNCTION("IF(OR(TRIM(G364)="""",TRIM(H364)=""""),"""",TEXTJOIN("", "",TRUE,ARRAYFORMULA(TRANSPOSE(TRIM(SPLIT(G364,"","")))&amp;""_""&amp;TRIM(SPLIT(H364,"","")))))"),"Elf_Female, Human_Female, Orc_Female, Khajiit_Female")</f>
        <v>Elf_Female, Human_Female, Orc_Female, Khajiit_Female</v>
      </c>
      <c r="J364" s="5" t="s">
        <v>705</v>
      </c>
      <c r="K364" s="5" t="s">
        <v>3818</v>
      </c>
      <c r="L364" s="12" t="str">
        <f t="shared" si="1"/>
        <v>KSSMP_Sky218,1,1</v>
      </c>
    </row>
    <row r="365" ht="15.75" customHeight="1">
      <c r="A365" s="8" t="s">
        <v>3809</v>
      </c>
      <c r="B365" s="18"/>
      <c r="C365" s="8" t="s">
        <v>4537</v>
      </c>
      <c r="D365" s="8">
        <v>3.0</v>
      </c>
      <c r="E365" s="8">
        <v>3.0</v>
      </c>
      <c r="F365" s="8" t="s">
        <v>4539</v>
      </c>
      <c r="G365" s="3" t="s">
        <v>3450</v>
      </c>
      <c r="H365" s="16" t="s">
        <v>35</v>
      </c>
      <c r="I365" s="8" t="str">
        <f>IFERROR(__xludf.DUMMYFUNCTION("IF(OR(TRIM(G365)="""",TRIM(H365)=""""),"""",TEXTJOIN("", "",TRUE,ARRAYFORMULA(TRANSPOSE(TRIM(SPLIT(G365,"","")))&amp;""_""&amp;TRIM(SPLIT(H365,"","")))))"),"Elf_Female, Human_Female, Orc_Female, Khajiit_Female")</f>
        <v>Elf_Female, Human_Female, Orc_Female, Khajiit_Female</v>
      </c>
      <c r="J365" s="5" t="s">
        <v>705</v>
      </c>
      <c r="K365" s="5" t="s">
        <v>3818</v>
      </c>
      <c r="L365" s="12" t="str">
        <f t="shared" si="1"/>
        <v>KSSMP_Sky239,3,3</v>
      </c>
    </row>
    <row r="366" ht="15.75" customHeight="1">
      <c r="A366" s="8" t="s">
        <v>3809</v>
      </c>
      <c r="B366" s="18"/>
      <c r="C366" s="8" t="s">
        <v>4549</v>
      </c>
      <c r="D366" s="8">
        <v>2.0</v>
      </c>
      <c r="E366" s="8">
        <v>2.0</v>
      </c>
      <c r="F366" s="8" t="s">
        <v>4551</v>
      </c>
      <c r="G366" s="3" t="s">
        <v>3450</v>
      </c>
      <c r="H366" s="16" t="s">
        <v>35</v>
      </c>
      <c r="I366" s="8" t="str">
        <f>IFERROR(__xludf.DUMMYFUNCTION("IF(OR(TRIM(G366)="""",TRIM(H366)=""""),"""",TEXTJOIN("", "",TRUE,ARRAYFORMULA(TRANSPOSE(TRIM(SPLIT(G366,"","")))&amp;""_""&amp;TRIM(SPLIT(H366,"","")))))"),"Elf_Female, Human_Female, Orc_Female, Khajiit_Female")</f>
        <v>Elf_Female, Human_Female, Orc_Female, Khajiit_Female</v>
      </c>
      <c r="J366" s="5" t="s">
        <v>705</v>
      </c>
      <c r="K366" s="5" t="s">
        <v>3818</v>
      </c>
      <c r="L366" s="12" t="str">
        <f t="shared" si="1"/>
        <v>KSSMP_Sky250,2,2</v>
      </c>
    </row>
    <row r="367" ht="15.75" customHeight="1">
      <c r="A367" s="8" t="s">
        <v>3809</v>
      </c>
      <c r="B367" s="18"/>
      <c r="C367" s="8" t="s">
        <v>4562</v>
      </c>
      <c r="D367" s="8">
        <v>3.0</v>
      </c>
      <c r="E367" s="8">
        <v>3.0</v>
      </c>
      <c r="F367" s="8" t="s">
        <v>4563</v>
      </c>
      <c r="G367" s="3" t="s">
        <v>3450</v>
      </c>
      <c r="H367" s="16" t="s">
        <v>35</v>
      </c>
      <c r="I367" s="8" t="str">
        <f>IFERROR(__xludf.DUMMYFUNCTION("IF(OR(TRIM(G367)="""",TRIM(H367)=""""),"""",TEXTJOIN("", "",TRUE,ARRAYFORMULA(TRANSPOSE(TRIM(SPLIT(G367,"","")))&amp;""_""&amp;TRIM(SPLIT(H367,"","")))))"),"Elf_Female, Human_Female, Orc_Female, Khajiit_Female")</f>
        <v>Elf_Female, Human_Female, Orc_Female, Khajiit_Female</v>
      </c>
      <c r="J367" s="5" t="s">
        <v>705</v>
      </c>
      <c r="K367" s="5" t="s">
        <v>3818</v>
      </c>
      <c r="L367" s="12" t="str">
        <f t="shared" si="1"/>
        <v>KSSMP_Sky6063,3,3</v>
      </c>
    </row>
    <row r="368" ht="15.75" customHeight="1">
      <c r="A368" s="8" t="s">
        <v>3809</v>
      </c>
      <c r="B368" s="18"/>
      <c r="C368" s="8" t="s">
        <v>4574</v>
      </c>
      <c r="D368" s="8">
        <v>1.0</v>
      </c>
      <c r="E368" s="8">
        <v>1.0</v>
      </c>
      <c r="F368" s="8" t="s">
        <v>4576</v>
      </c>
      <c r="G368" s="3" t="s">
        <v>3450</v>
      </c>
      <c r="H368" s="16" t="s">
        <v>35</v>
      </c>
      <c r="I368" s="8" t="str">
        <f>IFERROR(__xludf.DUMMYFUNCTION("IF(OR(TRIM(G368)="""",TRIM(H368)=""""),"""",TEXTJOIN("", "",TRUE,ARRAYFORMULA(TRANSPOSE(TRIM(SPLIT(G368,"","")))&amp;""_""&amp;TRIM(SPLIT(H368,"","")))))"),"Elf_Female, Human_Female, Orc_Female, Khajiit_Female")</f>
        <v>Elf_Female, Human_Female, Orc_Female, Khajiit_Female</v>
      </c>
      <c r="J368" s="5" t="s">
        <v>705</v>
      </c>
      <c r="K368" s="5" t="s">
        <v>3818</v>
      </c>
      <c r="L368" s="12" t="str">
        <f t="shared" si="1"/>
        <v>KSSMP_Slowly,1,1</v>
      </c>
    </row>
    <row r="369" ht="15.75" customHeight="1">
      <c r="A369" s="8" t="s">
        <v>3809</v>
      </c>
      <c r="B369" s="18"/>
      <c r="C369" s="8" t="s">
        <v>4585</v>
      </c>
      <c r="D369" s="8">
        <v>2.0</v>
      </c>
      <c r="E369" s="8">
        <v>2.0</v>
      </c>
      <c r="F369" s="8" t="s">
        <v>4586</v>
      </c>
      <c r="G369" s="3" t="s">
        <v>3450</v>
      </c>
      <c r="H369" s="16" t="s">
        <v>35</v>
      </c>
      <c r="I369" s="8" t="str">
        <f>IFERROR(__xludf.DUMMYFUNCTION("IF(OR(TRIM(G369)="""",TRIM(H369)=""""),"""",TEXTJOIN("", "",TRUE,ARRAYFORMULA(TRANSPOSE(TRIM(SPLIT(G369,"","")))&amp;""_""&amp;TRIM(SPLIT(H369,"","")))))"),"Elf_Female, Human_Female, Orc_Female, Khajiit_Female")</f>
        <v>Elf_Female, Human_Female, Orc_Female, Khajiit_Female</v>
      </c>
      <c r="J369" s="5" t="s">
        <v>705</v>
      </c>
      <c r="K369" s="5" t="s">
        <v>3818</v>
      </c>
      <c r="L369" s="12" t="str">
        <f t="shared" si="1"/>
        <v>KSSMP_Snow,2,2</v>
      </c>
    </row>
    <row r="370" ht="15.75" customHeight="1">
      <c r="A370" s="8" t="s">
        <v>3809</v>
      </c>
      <c r="B370" s="18"/>
      <c r="C370" s="8" t="s">
        <v>4596</v>
      </c>
      <c r="D370" s="8">
        <v>3.0</v>
      </c>
      <c r="E370" s="8">
        <v>3.0</v>
      </c>
      <c r="F370" s="8" t="s">
        <v>4597</v>
      </c>
      <c r="G370" s="3" t="s">
        <v>3450</v>
      </c>
      <c r="H370" s="16" t="s">
        <v>35</v>
      </c>
      <c r="I370" s="8" t="str">
        <f>IFERROR(__xludf.DUMMYFUNCTION("IF(OR(TRIM(G370)="""",TRIM(H370)=""""),"""",TEXTJOIN("", "",TRUE,ARRAYFORMULA(TRANSPOSE(TRIM(SPLIT(G370,"","")))&amp;""_""&amp;TRIM(SPLIT(H370,"","")))))"),"Elf_Female, Human_Female, Orc_Female, Khajiit_Female")</f>
        <v>Elf_Female, Human_Female, Orc_Female, Khajiit_Female</v>
      </c>
      <c r="J370" s="5" t="s">
        <v>705</v>
      </c>
      <c r="K370" s="5" t="s">
        <v>3818</v>
      </c>
      <c r="L370" s="12" t="str">
        <f t="shared" si="1"/>
        <v>KSSMP_Sparklers,3,3</v>
      </c>
    </row>
    <row r="371" ht="15.75" customHeight="1">
      <c r="A371" s="8" t="s">
        <v>3809</v>
      </c>
      <c r="B371" s="18"/>
      <c r="C371" s="8" t="s">
        <v>4605</v>
      </c>
      <c r="D371" s="8">
        <v>1.0</v>
      </c>
      <c r="E371" s="8">
        <v>2.0</v>
      </c>
      <c r="F371" s="8" t="s">
        <v>4606</v>
      </c>
      <c r="G371" s="3" t="s">
        <v>3450</v>
      </c>
      <c r="H371" s="16" t="s">
        <v>35</v>
      </c>
      <c r="I371" s="8" t="str">
        <f>IFERROR(__xludf.DUMMYFUNCTION("IF(OR(TRIM(G371)="""",TRIM(H371)=""""),"""",TEXTJOIN("", "",TRUE,ARRAYFORMULA(TRANSPOSE(TRIM(SPLIT(G371,"","")))&amp;""_""&amp;TRIM(SPLIT(H371,"","")))))"),"Elf_Female, Human_Female, Orc_Female, Khajiit_Female")</f>
        <v>Elf_Female, Human_Female, Orc_Female, Khajiit_Female</v>
      </c>
      <c r="J371" s="5" t="s">
        <v>705</v>
      </c>
      <c r="K371" s="5" t="s">
        <v>3818</v>
      </c>
      <c r="L371" s="12" t="str">
        <f t="shared" si="1"/>
        <v>KSSMP_Spring,1,2</v>
      </c>
    </row>
    <row r="372" ht="15.75" customHeight="1">
      <c r="A372" s="8" t="s">
        <v>3809</v>
      </c>
      <c r="B372" s="18"/>
      <c r="C372" s="8" t="s">
        <v>4613</v>
      </c>
      <c r="D372" s="8">
        <v>1.0</v>
      </c>
      <c r="E372" s="8">
        <v>1.0</v>
      </c>
      <c r="F372" s="8" t="s">
        <v>4614</v>
      </c>
      <c r="G372" s="3" t="s">
        <v>3450</v>
      </c>
      <c r="H372" s="16" t="s">
        <v>35</v>
      </c>
      <c r="I372" s="8" t="str">
        <f>IFERROR(__xludf.DUMMYFUNCTION("IF(OR(TRIM(G372)="""",TRIM(H372)=""""),"""",TEXTJOIN("", "",TRUE,ARRAYFORMULA(TRANSPOSE(TRIM(SPLIT(G372,"","")))&amp;""_""&amp;TRIM(SPLIT(H372,"","")))))"),"Elf_Female, Human_Female, Orc_Female, Khajiit_Female")</f>
        <v>Elf_Female, Human_Female, Orc_Female, Khajiit_Female</v>
      </c>
      <c r="J372" s="5" t="s">
        <v>705</v>
      </c>
      <c r="K372" s="5" t="s">
        <v>3818</v>
      </c>
      <c r="L372" s="12" t="str">
        <f t="shared" si="1"/>
        <v>KSSMP_Starlet,1,1</v>
      </c>
    </row>
    <row r="373" ht="15.75" customHeight="1">
      <c r="A373" s="8" t="s">
        <v>3809</v>
      </c>
      <c r="B373" s="18"/>
      <c r="C373" s="8" t="s">
        <v>4625</v>
      </c>
      <c r="D373" s="8">
        <v>3.0</v>
      </c>
      <c r="E373" s="8">
        <v>3.0</v>
      </c>
      <c r="F373" s="8" t="s">
        <v>4627</v>
      </c>
      <c r="G373" s="3" t="s">
        <v>3450</v>
      </c>
      <c r="H373" s="16" t="s">
        <v>35</v>
      </c>
      <c r="I373" s="8" t="str">
        <f>IFERROR(__xludf.DUMMYFUNCTION("IF(OR(TRIM(G373)="""",TRIM(H373)=""""),"""",TEXTJOIN("", "",TRUE,ARRAYFORMULA(TRANSPOSE(TRIM(SPLIT(G373,"","")))&amp;""_""&amp;TRIM(SPLIT(H373,"","")))))"),"Elf_Female, Human_Female, Orc_Female, Khajiit_Female")</f>
        <v>Elf_Female, Human_Female, Orc_Female, Khajiit_Female</v>
      </c>
      <c r="J373" s="5" t="s">
        <v>705</v>
      </c>
      <c r="K373" s="5" t="s">
        <v>3818</v>
      </c>
      <c r="L373" s="12" t="str">
        <f t="shared" si="1"/>
        <v>KSSMP_StayAwake,3,3</v>
      </c>
    </row>
    <row r="374" ht="15.75" customHeight="1">
      <c r="A374" s="8" t="s">
        <v>3809</v>
      </c>
      <c r="B374" s="18"/>
      <c r="C374" s="8" t="s">
        <v>4636</v>
      </c>
      <c r="D374" s="8">
        <v>3.0</v>
      </c>
      <c r="E374" s="8">
        <v>4.0</v>
      </c>
      <c r="F374" s="8" t="s">
        <v>4637</v>
      </c>
      <c r="G374" s="3" t="s">
        <v>3450</v>
      </c>
      <c r="H374" s="16" t="s">
        <v>35</v>
      </c>
      <c r="I374" s="8" t="str">
        <f>IFERROR(__xludf.DUMMYFUNCTION("IF(OR(TRIM(G374)="""",TRIM(H374)=""""),"""",TEXTJOIN("", "",TRUE,ARRAYFORMULA(TRANSPOSE(TRIM(SPLIT(G374,"","")))&amp;""_""&amp;TRIM(SPLIT(H374,"","")))))"),"Elf_Female, Human_Female, Orc_Female, Khajiit_Female")</f>
        <v>Elf_Female, Human_Female, Orc_Female, Khajiit_Female</v>
      </c>
      <c r="J374" s="5" t="s">
        <v>705</v>
      </c>
      <c r="K374" s="5" t="s">
        <v>3818</v>
      </c>
      <c r="L374" s="12" t="str">
        <f t="shared" si="1"/>
        <v>KSSMP_Steammist,3,4</v>
      </c>
    </row>
    <row r="375" ht="15.75" customHeight="1">
      <c r="A375" s="8" t="s">
        <v>3809</v>
      </c>
      <c r="B375" s="18"/>
      <c r="C375" s="8" t="s">
        <v>4646</v>
      </c>
      <c r="D375" s="8">
        <v>1.0</v>
      </c>
      <c r="E375" s="8">
        <v>1.0</v>
      </c>
      <c r="F375" s="8" t="s">
        <v>4649</v>
      </c>
      <c r="G375" s="3" t="s">
        <v>3450</v>
      </c>
      <c r="H375" s="16" t="s">
        <v>35</v>
      </c>
      <c r="I375" s="8" t="str">
        <f>IFERROR(__xludf.DUMMYFUNCTION("IF(OR(TRIM(G375)="""",TRIM(H375)=""""),"""",TEXTJOIN("", "",TRUE,ARRAYFORMULA(TRANSPOSE(TRIM(SPLIT(G375,"","")))&amp;""_""&amp;TRIM(SPLIT(H375,"","")))))"),"Elf_Female, Human_Female, Orc_Female, Khajiit_Female")</f>
        <v>Elf_Female, Human_Female, Orc_Female, Khajiit_Female</v>
      </c>
      <c r="J375" s="5" t="s">
        <v>705</v>
      </c>
      <c r="K375" s="5" t="s">
        <v>3818</v>
      </c>
      <c r="L375" s="12" t="str">
        <f t="shared" si="1"/>
        <v>KSSMP_Studio,1,1</v>
      </c>
    </row>
    <row r="376" ht="15.75" customHeight="1">
      <c r="A376" s="8" t="s">
        <v>3809</v>
      </c>
      <c r="B376" s="18"/>
      <c r="C376" s="8" t="s">
        <v>4658</v>
      </c>
      <c r="D376" s="8">
        <v>3.0</v>
      </c>
      <c r="E376" s="8">
        <v>3.0</v>
      </c>
      <c r="F376" s="8" t="s">
        <v>4661</v>
      </c>
      <c r="G376" s="3" t="s">
        <v>3450</v>
      </c>
      <c r="H376" s="16" t="s">
        <v>35</v>
      </c>
      <c r="I376" s="8" t="str">
        <f>IFERROR(__xludf.DUMMYFUNCTION("IF(OR(TRIM(G376)="""",TRIM(H376)=""""),"""",TEXTJOIN("", "",TRUE,ARRAYFORMULA(TRANSPOSE(TRIM(SPLIT(G376,"","")))&amp;""_""&amp;TRIM(SPLIT(H376,"","")))))"),"Elf_Female, Human_Female, Orc_Female, Khajiit_Female")</f>
        <v>Elf_Female, Human_Female, Orc_Female, Khajiit_Female</v>
      </c>
      <c r="J376" s="5" t="s">
        <v>705</v>
      </c>
      <c r="K376" s="5" t="s">
        <v>3818</v>
      </c>
      <c r="L376" s="12" t="str">
        <f t="shared" si="1"/>
        <v>KSSMP_SummerHaze,3,3</v>
      </c>
    </row>
    <row r="377" ht="15.75" customHeight="1">
      <c r="A377" s="8" t="s">
        <v>3809</v>
      </c>
      <c r="B377" s="18"/>
      <c r="C377" s="8" t="s">
        <v>4668</v>
      </c>
      <c r="D377" s="8">
        <v>1.0</v>
      </c>
      <c r="E377" s="8">
        <v>1.0</v>
      </c>
      <c r="F377" s="8" t="s">
        <v>4669</v>
      </c>
      <c r="G377" s="3" t="s">
        <v>3450</v>
      </c>
      <c r="H377" s="16" t="s">
        <v>35</v>
      </c>
      <c r="I377" s="8" t="str">
        <f>IFERROR(__xludf.DUMMYFUNCTION("IF(OR(TRIM(G377)="""",TRIM(H377)=""""),"""",TEXTJOIN("", "",TRUE,ARRAYFORMULA(TRANSPOSE(TRIM(SPLIT(G377,"","")))&amp;""_""&amp;TRIM(SPLIT(H377,"","")))))"),"Elf_Female, Human_Female, Orc_Female, Khajiit_Female")</f>
        <v>Elf_Female, Human_Female, Orc_Female, Khajiit_Female</v>
      </c>
      <c r="J377" s="5" t="s">
        <v>705</v>
      </c>
      <c r="K377" s="5" t="s">
        <v>3818</v>
      </c>
      <c r="L377" s="12" t="str">
        <f t="shared" si="1"/>
        <v>KSSMP_SweetEscape,1,1</v>
      </c>
    </row>
    <row r="378" ht="15.75" customHeight="1">
      <c r="A378" s="8" t="s">
        <v>3809</v>
      </c>
      <c r="B378" s="18"/>
      <c r="C378" s="8" t="s">
        <v>4677</v>
      </c>
      <c r="D378" s="8">
        <v>1.0</v>
      </c>
      <c r="E378" s="8">
        <v>1.0</v>
      </c>
      <c r="F378" s="8" t="s">
        <v>4680</v>
      </c>
      <c r="G378" s="3" t="s">
        <v>3450</v>
      </c>
      <c r="H378" s="16" t="s">
        <v>35</v>
      </c>
      <c r="I378" s="8" t="str">
        <f>IFERROR(__xludf.DUMMYFUNCTION("IF(OR(TRIM(G378)="""",TRIM(H378)=""""),"""",TEXTJOIN("", "",TRUE,ARRAYFORMULA(TRANSPOSE(TRIM(SPLIT(G378,"","")))&amp;""_""&amp;TRIM(SPLIT(H378,"","")))))"),"Elf_Female, Human_Female, Orc_Female, Khajiit_Female")</f>
        <v>Elf_Female, Human_Female, Orc_Female, Khajiit_Female</v>
      </c>
      <c r="J378" s="5" t="s">
        <v>705</v>
      </c>
      <c r="K378" s="5" t="s">
        <v>3818</v>
      </c>
      <c r="L378" s="12" t="str">
        <f t="shared" si="1"/>
        <v>KSSMP_SweetScar,1,1</v>
      </c>
    </row>
    <row r="379" ht="15.75" customHeight="1">
      <c r="A379" s="8" t="s">
        <v>3809</v>
      </c>
      <c r="B379" s="18"/>
      <c r="C379" s="8" t="s">
        <v>4687</v>
      </c>
      <c r="D379" s="8">
        <v>1.0</v>
      </c>
      <c r="E379" s="8">
        <v>1.0</v>
      </c>
      <c r="F379" s="8" t="s">
        <v>4691</v>
      </c>
      <c r="G379" s="8" t="s">
        <v>1979</v>
      </c>
      <c r="H379" s="16" t="s">
        <v>35</v>
      </c>
      <c r="I379" s="8" t="str">
        <f>IFERROR(__xludf.DUMMYFUNCTION("IF(OR(TRIM(G379)="""",TRIM(H379)=""""),"""",TEXTJOIN("", "",TRUE,ARRAYFORMULA(TRANSPOSE(TRIM(SPLIT(G379,"","")))&amp;""_""&amp;TRIM(SPLIT(H379,"","")))))"),"Elf_Female, Human_Female, Orc_Female")</f>
        <v>Elf_Female, Human_Female, Orc_Female</v>
      </c>
      <c r="J379" s="5" t="s">
        <v>705</v>
      </c>
      <c r="L379" s="12" t="str">
        <f t="shared" si="1"/>
        <v>KSSMP_SweetScar2,1,1</v>
      </c>
    </row>
    <row r="380" ht="15.75" customHeight="1">
      <c r="A380" s="8" t="s">
        <v>3809</v>
      </c>
      <c r="B380" s="18"/>
      <c r="C380" s="8" t="s">
        <v>4699</v>
      </c>
      <c r="D380" s="8">
        <v>2.0</v>
      </c>
      <c r="E380" s="8">
        <v>2.0</v>
      </c>
      <c r="F380" s="8" t="s">
        <v>4702</v>
      </c>
      <c r="G380" s="3" t="s">
        <v>3450</v>
      </c>
      <c r="H380" s="16" t="s">
        <v>35</v>
      </c>
      <c r="I380" s="8" t="str">
        <f>IFERROR(__xludf.DUMMYFUNCTION("IF(OR(TRIM(G380)="""",TRIM(H380)=""""),"""",TEXTJOIN("", "",TRUE,ARRAYFORMULA(TRANSPOSE(TRIM(SPLIT(G380,"","")))&amp;""_""&amp;TRIM(SPLIT(H380,"","")))))"),"Elf_Female, Human_Female, Orc_Female, Khajiit_Female")</f>
        <v>Elf_Female, Human_Female, Orc_Female, Khajiit_Female</v>
      </c>
      <c r="J380" s="5" t="s">
        <v>705</v>
      </c>
      <c r="K380" s="5" t="s">
        <v>3818</v>
      </c>
      <c r="L380" s="12" t="str">
        <f t="shared" si="1"/>
        <v>KSSMP_SweetVillain,2,2</v>
      </c>
    </row>
    <row r="381" ht="15.75" customHeight="1">
      <c r="A381" s="8" t="s">
        <v>3809</v>
      </c>
      <c r="B381" s="18"/>
      <c r="C381" s="8" t="s">
        <v>4708</v>
      </c>
      <c r="D381" s="8">
        <v>2.0</v>
      </c>
      <c r="E381" s="8">
        <v>3.0</v>
      </c>
      <c r="F381" s="8" t="s">
        <v>4710</v>
      </c>
      <c r="G381" s="3" t="s">
        <v>3450</v>
      </c>
      <c r="H381" s="16" t="s">
        <v>35</v>
      </c>
      <c r="I381" s="8" t="str">
        <f>IFERROR(__xludf.DUMMYFUNCTION("IF(OR(TRIM(G381)="""",TRIM(H381)=""""),"""",TEXTJOIN("", "",TRUE,ARRAYFORMULA(TRANSPOSE(TRIM(SPLIT(G381,"","")))&amp;""_""&amp;TRIM(SPLIT(H381,"","")))))"),"Elf_Female, Human_Female, Orc_Female, Khajiit_Female")</f>
        <v>Elf_Female, Human_Female, Orc_Female, Khajiit_Female</v>
      </c>
      <c r="J381" s="5" t="s">
        <v>705</v>
      </c>
      <c r="K381" s="5" t="s">
        <v>3818</v>
      </c>
      <c r="L381" s="12" t="str">
        <f t="shared" si="1"/>
        <v>KSSMP_TellMe,2,3</v>
      </c>
    </row>
    <row r="382" ht="15.75" customHeight="1">
      <c r="A382" s="8" t="s">
        <v>3809</v>
      </c>
      <c r="B382" s="18"/>
      <c r="C382" s="8" t="s">
        <v>4719</v>
      </c>
      <c r="D382" s="8">
        <v>2.0</v>
      </c>
      <c r="E382" s="8">
        <v>2.0</v>
      </c>
      <c r="F382" s="8" t="s">
        <v>4721</v>
      </c>
      <c r="G382" s="3" t="s">
        <v>3450</v>
      </c>
      <c r="H382" s="16" t="s">
        <v>35</v>
      </c>
      <c r="I382" s="8" t="str">
        <f>IFERROR(__xludf.DUMMYFUNCTION("IF(OR(TRIM(G382)="""",TRIM(H382)=""""),"""",TEXTJOIN("", "",TRUE,ARRAYFORMULA(TRANSPOSE(TRIM(SPLIT(G382,"","")))&amp;""_""&amp;TRIM(SPLIT(H382,"","")))))"),"Elf_Female, Human_Female, Orc_Female, Khajiit_Female")</f>
        <v>Elf_Female, Human_Female, Orc_Female, Khajiit_Female</v>
      </c>
      <c r="J382" s="5" t="s">
        <v>705</v>
      </c>
      <c r="K382" s="5" t="s">
        <v>3818</v>
      </c>
      <c r="L382" s="12" t="str">
        <f t="shared" si="1"/>
        <v>KSSMP_Tonight,2,2</v>
      </c>
    </row>
    <row r="383" ht="15.75" customHeight="1">
      <c r="A383" s="8" t="s">
        <v>3809</v>
      </c>
      <c r="B383" s="18"/>
      <c r="C383" s="8" t="s">
        <v>4733</v>
      </c>
      <c r="D383" s="8">
        <v>1.0</v>
      </c>
      <c r="E383" s="8">
        <v>1.0</v>
      </c>
      <c r="F383" s="8" t="s">
        <v>4736</v>
      </c>
      <c r="G383" s="3" t="s">
        <v>3450</v>
      </c>
      <c r="H383" s="16" t="s">
        <v>35</v>
      </c>
      <c r="I383" s="8" t="str">
        <f>IFERROR(__xludf.DUMMYFUNCTION("IF(OR(TRIM(G383)="""",TRIM(H383)=""""),"""",TEXTJOIN("", "",TRUE,ARRAYFORMULA(TRANSPOSE(TRIM(SPLIT(G383,"","")))&amp;""_""&amp;TRIM(SPLIT(H383,"","")))))"),"Elf_Female, Human_Female, Orc_Female, Khajiit_Female")</f>
        <v>Elf_Female, Human_Female, Orc_Female, Khajiit_Female</v>
      </c>
      <c r="J383" s="5" t="s">
        <v>705</v>
      </c>
      <c r="K383" s="5" t="s">
        <v>3818</v>
      </c>
      <c r="L383" s="12" t="str">
        <f t="shared" si="1"/>
        <v>KSSMP_TopGorgeous,1,1</v>
      </c>
    </row>
    <row r="384" ht="15.75" customHeight="1">
      <c r="A384" s="8" t="s">
        <v>3809</v>
      </c>
      <c r="B384" s="18"/>
      <c r="C384" s="8" t="s">
        <v>4746</v>
      </c>
      <c r="D384" s="8">
        <v>1.0</v>
      </c>
      <c r="E384" s="8">
        <v>4.0</v>
      </c>
      <c r="F384" s="8" t="s">
        <v>4748</v>
      </c>
      <c r="G384" s="3" t="s">
        <v>3450</v>
      </c>
      <c r="H384" s="16" t="s">
        <v>35</v>
      </c>
      <c r="I384" s="8" t="str">
        <f>IFERROR(__xludf.DUMMYFUNCTION("IF(OR(TRIM(G384)="""",TRIM(H384)=""""),"""",TEXTJOIN("", "",TRUE,ARRAYFORMULA(TRANSPOSE(TRIM(SPLIT(G384,"","")))&amp;""_""&amp;TRIM(SPLIT(H384,"","")))))"),"Elf_Female, Human_Female, Orc_Female, Khajiit_Female")</f>
        <v>Elf_Female, Human_Female, Orc_Female, Khajiit_Female</v>
      </c>
      <c r="J384" s="5" t="s">
        <v>705</v>
      </c>
      <c r="K384" s="5" t="s">
        <v>3818</v>
      </c>
      <c r="L384" s="12" t="str">
        <f t="shared" si="1"/>
        <v>KSSMP_Traveler,1,4</v>
      </c>
    </row>
    <row r="385" ht="15.75" customHeight="1">
      <c r="A385" s="8" t="s">
        <v>3809</v>
      </c>
      <c r="B385" s="18"/>
      <c r="C385" s="8" t="s">
        <v>4757</v>
      </c>
      <c r="D385" s="8">
        <v>1.0</v>
      </c>
      <c r="E385" s="8">
        <v>1.0</v>
      </c>
      <c r="F385" s="8" t="s">
        <v>4759</v>
      </c>
      <c r="G385" s="3" t="s">
        <v>3450</v>
      </c>
      <c r="H385" s="16" t="s">
        <v>35</v>
      </c>
      <c r="I385" s="8" t="str">
        <f>IFERROR(__xludf.DUMMYFUNCTION("IF(OR(TRIM(G385)="""",TRIM(H385)=""""),"""",TEXTJOIN("", "",TRUE,ARRAYFORMULA(TRANSPOSE(TRIM(SPLIT(G385,"","")))&amp;""_""&amp;TRIM(SPLIT(H385,"","")))))"),"Elf_Female, Human_Female, Orc_Female, Khajiit_Female")</f>
        <v>Elf_Female, Human_Female, Orc_Female, Khajiit_Female</v>
      </c>
      <c r="J385" s="5" t="s">
        <v>705</v>
      </c>
      <c r="K385" s="5" t="s">
        <v>3818</v>
      </c>
      <c r="L385" s="12" t="str">
        <f t="shared" si="1"/>
        <v>KSSMP_Vapor,1,1</v>
      </c>
    </row>
    <row r="386" ht="15.75" customHeight="1">
      <c r="A386" s="8" t="s">
        <v>3809</v>
      </c>
      <c r="B386" s="18"/>
      <c r="C386" s="8" t="s">
        <v>4766</v>
      </c>
      <c r="D386" s="8">
        <v>2.0</v>
      </c>
      <c r="E386" s="8">
        <v>2.0</v>
      </c>
      <c r="F386" s="8" t="s">
        <v>4768</v>
      </c>
      <c r="G386" s="3" t="s">
        <v>3450</v>
      </c>
      <c r="H386" s="16" t="s">
        <v>35</v>
      </c>
      <c r="I386" s="8" t="str">
        <f>IFERROR(__xludf.DUMMYFUNCTION("IF(OR(TRIM(G386)="""",TRIM(H386)=""""),"""",TEXTJOIN("", "",TRUE,ARRAYFORMULA(TRANSPOSE(TRIM(SPLIT(G386,"","")))&amp;""_""&amp;TRIM(SPLIT(H386,"","")))))"),"Elf_Female, Human_Female, Orc_Female, Khajiit_Female")</f>
        <v>Elf_Female, Human_Female, Orc_Female, Khajiit_Female</v>
      </c>
      <c r="J386" s="5" t="s">
        <v>705</v>
      </c>
      <c r="K386" s="5" t="s">
        <v>3818</v>
      </c>
      <c r="L386" s="12" t="str">
        <f t="shared" si="1"/>
        <v>KSSMP_Veneris,2,2</v>
      </c>
    </row>
    <row r="387" ht="15.75" customHeight="1">
      <c r="A387" s="8" t="s">
        <v>3809</v>
      </c>
      <c r="B387" s="18"/>
      <c r="C387" s="8" t="s">
        <v>4778</v>
      </c>
      <c r="D387" s="8">
        <v>2.0</v>
      </c>
      <c r="E387" s="8">
        <v>2.0</v>
      </c>
      <c r="F387" s="8" t="s">
        <v>4779</v>
      </c>
      <c r="G387" s="3" t="s">
        <v>3450</v>
      </c>
      <c r="H387" s="16" t="s">
        <v>35</v>
      </c>
      <c r="I387" s="8" t="str">
        <f>IFERROR(__xludf.DUMMYFUNCTION("IF(OR(TRIM(G387)="""",TRIM(H387)=""""),"""",TEXTJOIN("", "",TRUE,ARRAYFORMULA(TRANSPOSE(TRIM(SPLIT(G387,"","")))&amp;""_""&amp;TRIM(SPLIT(H387,"","")))))"),"Elf_Female, Human_Female, Orc_Female, Khajiit_Female")</f>
        <v>Elf_Female, Human_Female, Orc_Female, Khajiit_Female</v>
      </c>
      <c r="J387" s="5" t="s">
        <v>705</v>
      </c>
      <c r="K387" s="5" t="s">
        <v>3818</v>
      </c>
      <c r="L387" s="12" t="str">
        <f t="shared" si="1"/>
        <v>KSSMP_ViceCity,2,2</v>
      </c>
    </row>
    <row r="388" ht="15.75" customHeight="1">
      <c r="A388" s="8" t="s">
        <v>3809</v>
      </c>
      <c r="B388" s="18"/>
      <c r="C388" s="8" t="s">
        <v>4788</v>
      </c>
      <c r="D388" s="3">
        <v>1.0</v>
      </c>
      <c r="E388" s="3">
        <v>1.0</v>
      </c>
      <c r="F388" s="8" t="s">
        <v>4790</v>
      </c>
      <c r="G388" s="3" t="s">
        <v>3450</v>
      </c>
      <c r="H388" s="16" t="s">
        <v>35</v>
      </c>
      <c r="I388" s="8" t="str">
        <f>IFERROR(__xludf.DUMMYFUNCTION("IF(OR(TRIM(G388)="""",TRIM(H388)=""""),"""",TEXTJOIN("", "",TRUE,ARRAYFORMULA(TRANSPOSE(TRIM(SPLIT(G388,"","")))&amp;""_""&amp;TRIM(SPLIT(H388,"","")))))"),"Elf_Female, Human_Female, Orc_Female, Khajiit_Female")</f>
        <v>Elf_Female, Human_Female, Orc_Female, Khajiit_Female</v>
      </c>
      <c r="J388" s="5" t="s">
        <v>705</v>
      </c>
      <c r="K388" s="5" t="s">
        <v>3818</v>
      </c>
      <c r="L388" s="12" t="str">
        <f t="shared" si="1"/>
        <v>KSSMP_Vivacity,1,1</v>
      </c>
    </row>
    <row r="389" ht="15.75" customHeight="1">
      <c r="A389" s="8" t="s">
        <v>3809</v>
      </c>
      <c r="B389" s="18"/>
      <c r="C389" s="8" t="s">
        <v>4797</v>
      </c>
      <c r="D389" s="8">
        <v>2.0</v>
      </c>
      <c r="E389" s="8">
        <v>2.0</v>
      </c>
      <c r="F389" s="8" t="s">
        <v>4800</v>
      </c>
      <c r="G389" s="3" t="s">
        <v>3450</v>
      </c>
      <c r="H389" s="16" t="s">
        <v>35</v>
      </c>
      <c r="I389" s="8" t="str">
        <f>IFERROR(__xludf.DUMMYFUNCTION("IF(OR(TRIM(G389)="""",TRIM(H389)=""""),"""",TEXTJOIN("", "",TRUE,ARRAYFORMULA(TRANSPOSE(TRIM(SPLIT(G389,"","")))&amp;""_""&amp;TRIM(SPLIT(H389,"","")))))"),"Elf_Female, Human_Female, Orc_Female, Khajiit_Female")</f>
        <v>Elf_Female, Human_Female, Orc_Female, Khajiit_Female</v>
      </c>
      <c r="J389" s="5" t="s">
        <v>705</v>
      </c>
      <c r="K389" s="5" t="s">
        <v>3818</v>
      </c>
      <c r="L389" s="12" t="str">
        <f t="shared" si="1"/>
        <v>KSSMP_Wine,2,2</v>
      </c>
    </row>
    <row r="390" ht="15.75" customHeight="1">
      <c r="A390" s="8" t="s">
        <v>3809</v>
      </c>
      <c r="B390" s="18"/>
      <c r="C390" s="8" t="s">
        <v>4807</v>
      </c>
      <c r="D390" s="8">
        <v>1.0</v>
      </c>
      <c r="E390" s="8">
        <v>1.0</v>
      </c>
      <c r="F390" s="8" t="s">
        <v>4808</v>
      </c>
      <c r="G390" s="3" t="s">
        <v>3450</v>
      </c>
      <c r="H390" s="16" t="s">
        <v>35</v>
      </c>
      <c r="I390" s="8" t="str">
        <f>IFERROR(__xludf.DUMMYFUNCTION("IF(OR(TRIM(G390)="""",TRIM(H390)=""""),"""",TEXTJOIN("", "",TRUE,ARRAYFORMULA(TRANSPOSE(TRIM(SPLIT(G390,"","")))&amp;""_""&amp;TRIM(SPLIT(H390,"","")))))"),"Elf_Female, Human_Female, Orc_Female, Khajiit_Female")</f>
        <v>Elf_Female, Human_Female, Orc_Female, Khajiit_Female</v>
      </c>
      <c r="J390" s="5" t="s">
        <v>705</v>
      </c>
      <c r="K390" s="5" t="s">
        <v>3818</v>
      </c>
      <c r="L390" s="12" t="str">
        <f t="shared" si="1"/>
        <v>KSSMP_XOXO,1,1</v>
      </c>
    </row>
    <row r="391" ht="15.75" customHeight="1">
      <c r="A391" s="8" t="s">
        <v>3809</v>
      </c>
      <c r="B391" s="18"/>
      <c r="C391" s="8" t="s">
        <v>4815</v>
      </c>
      <c r="D391" s="8">
        <v>2.0</v>
      </c>
      <c r="E391" s="8">
        <v>2.0</v>
      </c>
      <c r="F391" s="8" t="s">
        <v>4818</v>
      </c>
      <c r="G391" s="3" t="s">
        <v>3450</v>
      </c>
      <c r="H391" s="16" t="s">
        <v>35</v>
      </c>
      <c r="I391" s="8" t="str">
        <f>IFERROR(__xludf.DUMMYFUNCTION("IF(OR(TRIM(G391)="""",TRIM(H391)=""""),"""",TEXTJOIN("", "",TRUE,ARRAYFORMULA(TRANSPOSE(TRIM(SPLIT(G391,"","")))&amp;""_""&amp;TRIM(SPLIT(H391,"","")))))"),"Elf_Female, Human_Female, Orc_Female, Khajiit_Female")</f>
        <v>Elf_Female, Human_Female, Orc_Female, Khajiit_Female</v>
      </c>
      <c r="J391" s="5" t="s">
        <v>705</v>
      </c>
      <c r="K391" s="5" t="s">
        <v>3818</v>
      </c>
      <c r="L391" s="12" t="str">
        <f t="shared" si="1"/>
        <v>KSSMP_Youth,2,2</v>
      </c>
    </row>
    <row r="392" ht="15.75" customHeight="1">
      <c r="A392" s="8" t="s">
        <v>3809</v>
      </c>
      <c r="B392" s="18"/>
      <c r="C392" s="8" t="s">
        <v>4826</v>
      </c>
      <c r="D392" s="8">
        <v>2.0</v>
      </c>
      <c r="E392" s="8">
        <v>2.0</v>
      </c>
      <c r="F392" s="8" t="s">
        <v>4828</v>
      </c>
      <c r="G392" s="3" t="s">
        <v>3450</v>
      </c>
      <c r="H392" s="16" t="s">
        <v>35</v>
      </c>
      <c r="I392" s="8" t="str">
        <f>IFERROR(__xludf.DUMMYFUNCTION("IF(OR(TRIM(G392)="""",TRIM(H392)=""""),"""",TEXTJOIN("", "",TRUE,ARRAYFORMULA(TRANSPOSE(TRIM(SPLIT(G392,"","")))&amp;""_""&amp;TRIM(SPLIT(H392,"","")))))"),"Elf_Female, Human_Female, Orc_Female, Khajiit_Female")</f>
        <v>Elf_Female, Human_Female, Orc_Female, Khajiit_Female</v>
      </c>
      <c r="J392" s="5" t="s">
        <v>705</v>
      </c>
      <c r="K392" s="5" t="s">
        <v>3818</v>
      </c>
      <c r="L392" s="12" t="str">
        <f t="shared" si="1"/>
        <v>KSSMP_Zoella,2,2</v>
      </c>
    </row>
    <row r="393" ht="15.75" customHeight="1">
      <c r="A393" s="16" t="s">
        <v>4836</v>
      </c>
      <c r="B393" s="18"/>
      <c r="C393" s="8" t="s">
        <v>4838</v>
      </c>
      <c r="D393" s="8">
        <v>1.0</v>
      </c>
      <c r="E393" s="8">
        <v>1.0</v>
      </c>
      <c r="F393" s="8" t="s">
        <v>4840</v>
      </c>
      <c r="G393" s="8" t="s">
        <v>1979</v>
      </c>
      <c r="H393" s="16" t="s">
        <v>3116</v>
      </c>
      <c r="I393" s="8" t="str">
        <f>IFERROR(__xludf.DUMMYFUNCTION("IF(OR(TRIM(G393)="""",TRIM(H393)=""""),"""",TEXTJOIN("", "",TRUE,ARRAYFORMULA(TRANSPOSE(TRIM(SPLIT(G393,"","")))&amp;""_""&amp;TRIM(SPLIT(H393,"","")))))"),"Elf_Male, Elf_Female, Human_Male, Human_Female, Orc_Male, Orc_Female")</f>
        <v>Elf_Male, Elf_Female, Human_Male, Human_Female, Orc_Male, Orc_Female</v>
      </c>
      <c r="J393" s="5" t="s">
        <v>4844</v>
      </c>
      <c r="L393" s="12" t="str">
        <f t="shared" si="1"/>
        <v>ModularSMPHair_Dove,1,1</v>
      </c>
    </row>
    <row r="394" ht="15.75" customHeight="1">
      <c r="A394" s="16" t="s">
        <v>4836</v>
      </c>
      <c r="B394" s="18"/>
      <c r="C394" s="8" t="s">
        <v>4847</v>
      </c>
      <c r="D394" s="8">
        <v>2.0</v>
      </c>
      <c r="E394" s="8">
        <v>3.0</v>
      </c>
      <c r="F394" s="8" t="s">
        <v>4849</v>
      </c>
      <c r="G394" s="8" t="s">
        <v>3450</v>
      </c>
      <c r="H394" s="16" t="s">
        <v>3116</v>
      </c>
      <c r="I394" s="8" t="str">
        <f>IFERROR(__xludf.DUMMYFUNCTION("IF(OR(TRIM(G394)="""",TRIM(H394)=""""),"""",TEXTJOIN("", "",TRUE,ARRAYFORMULA(TRANSPOSE(TRIM(SPLIT(G394,"","")))&amp;""_""&amp;TRIM(SPLIT(H394,"","")))))"),"Elf_Male, Elf_Female, Human_Male, Human_Female, Orc_Male, Orc_Female, Khajiit_Male, Khajiit_Female")</f>
        <v>Elf_Male, Elf_Female, Human_Male, Human_Female, Orc_Male, Orc_Female, Khajiit_Male, Khajiit_Female</v>
      </c>
      <c r="J394" s="5" t="s">
        <v>4844</v>
      </c>
      <c r="L394" s="12" t="str">
        <f t="shared" si="1"/>
        <v>ModularSMPHair_Eventually,2,3</v>
      </c>
    </row>
    <row r="395" ht="15.75" customHeight="1">
      <c r="A395" s="16" t="s">
        <v>4836</v>
      </c>
      <c r="B395" s="18"/>
      <c r="C395" s="8" t="s">
        <v>4857</v>
      </c>
      <c r="D395" s="8">
        <v>2.0</v>
      </c>
      <c r="E395" s="8">
        <v>3.0</v>
      </c>
      <c r="F395" s="8" t="s">
        <v>4859</v>
      </c>
      <c r="G395" s="8" t="s">
        <v>3450</v>
      </c>
      <c r="H395" s="16" t="s">
        <v>3116</v>
      </c>
      <c r="I395" s="8" t="str">
        <f>IFERROR(__xludf.DUMMYFUNCTION("IF(OR(TRIM(G395)="""",TRIM(H395)=""""),"""",TEXTJOIN("", "",TRUE,ARRAYFORMULA(TRANSPOSE(TRIM(SPLIT(G395,"","")))&amp;""_""&amp;TRIM(SPLIT(H395,"","")))))"),"Elf_Male, Elf_Female, Human_Male, Human_Female, Orc_Male, Orc_Female, Khajiit_Male, Khajiit_Female")</f>
        <v>Elf_Male, Elf_Female, Human_Male, Human_Female, Orc_Male, Orc_Female, Khajiit_Male, Khajiit_Female</v>
      </c>
      <c r="J395" s="5" t="s">
        <v>4844</v>
      </c>
      <c r="L395" s="12" t="str">
        <f t="shared" si="1"/>
        <v>ModularSMPHair_Intensity,2,3</v>
      </c>
    </row>
    <row r="396" ht="15.75" customHeight="1">
      <c r="A396" s="16" t="s">
        <v>4836</v>
      </c>
      <c r="B396" s="18"/>
      <c r="C396" s="8" t="s">
        <v>4868</v>
      </c>
      <c r="D396" s="8">
        <v>1.0</v>
      </c>
      <c r="E396" s="8">
        <v>3.0</v>
      </c>
      <c r="F396" s="8" t="s">
        <v>4870</v>
      </c>
      <c r="G396" s="8" t="s">
        <v>3450</v>
      </c>
      <c r="H396" s="16" t="s">
        <v>3116</v>
      </c>
      <c r="I396" s="8" t="str">
        <f>IFERROR(__xludf.DUMMYFUNCTION("IF(OR(TRIM(G396)="""",TRIM(H396)=""""),"""",TEXTJOIN("", "",TRUE,ARRAYFORMULA(TRANSPOSE(TRIM(SPLIT(G396,"","")))&amp;""_""&amp;TRIM(SPLIT(H396,"","")))))"),"Elf_Male, Elf_Female, Human_Male, Human_Female, Orc_Male, Orc_Female, Khajiit_Male, Khajiit_Female")</f>
        <v>Elf_Male, Elf_Female, Human_Male, Human_Female, Orc_Male, Orc_Female, Khajiit_Male, Khajiit_Female</v>
      </c>
      <c r="J396" s="5" t="s">
        <v>4844</v>
      </c>
      <c r="L396" s="12" t="str">
        <f t="shared" si="1"/>
        <v>ModularSMPHair_Oracle,1,3</v>
      </c>
    </row>
    <row r="397" ht="15.75" customHeight="1">
      <c r="A397" s="16" t="s">
        <v>4836</v>
      </c>
      <c r="B397" s="18"/>
      <c r="C397" s="8" t="s">
        <v>4879</v>
      </c>
      <c r="D397" s="8">
        <v>1.0</v>
      </c>
      <c r="E397" s="8">
        <v>2.0</v>
      </c>
      <c r="F397" s="8" t="s">
        <v>4880</v>
      </c>
      <c r="G397" s="8" t="s">
        <v>1979</v>
      </c>
      <c r="H397" s="16" t="s">
        <v>3116</v>
      </c>
      <c r="I397" s="8" t="str">
        <f>IFERROR(__xludf.DUMMYFUNCTION("IF(OR(TRIM(G397)="""",TRIM(H397)=""""),"""",TEXTJOIN("", "",TRUE,ARRAYFORMULA(TRANSPOSE(TRIM(SPLIT(G397,"","")))&amp;""_""&amp;TRIM(SPLIT(H397,"","")))))"),"Elf_Male, Elf_Female, Human_Male, Human_Female, Orc_Male, Orc_Female")</f>
        <v>Elf_Male, Elf_Female, Human_Male, Human_Female, Orc_Male, Orc_Female</v>
      </c>
      <c r="J397" s="5" t="s">
        <v>4844</v>
      </c>
      <c r="L397" s="12" t="str">
        <f t="shared" si="1"/>
        <v>ModularSMPHair_Rogueish,1,2</v>
      </c>
    </row>
    <row r="398" ht="15.75" customHeight="1">
      <c r="A398" s="16" t="s">
        <v>4836</v>
      </c>
      <c r="B398" s="18"/>
      <c r="C398" s="8" t="s">
        <v>4891</v>
      </c>
      <c r="D398" s="8">
        <v>1.0</v>
      </c>
      <c r="E398" s="8">
        <v>2.0</v>
      </c>
      <c r="F398" s="8" t="s">
        <v>4893</v>
      </c>
      <c r="G398" s="8" t="s">
        <v>3450</v>
      </c>
      <c r="H398" s="16" t="s">
        <v>3116</v>
      </c>
      <c r="I398" s="8" t="str">
        <f>IFERROR(__xludf.DUMMYFUNCTION("IF(OR(TRIM(G398)="""",TRIM(H398)=""""),"""",TEXTJOIN("", "",TRUE,ARRAYFORMULA(TRANSPOSE(TRIM(SPLIT(G398,"","")))&amp;""_""&amp;TRIM(SPLIT(H398,"","")))))"),"Elf_Male, Elf_Female, Human_Male, Human_Female, Orc_Male, Orc_Female, Khajiit_Male, Khajiit_Female")</f>
        <v>Elf_Male, Elf_Female, Human_Male, Human_Female, Orc_Male, Orc_Female, Khajiit_Male, Khajiit_Female</v>
      </c>
      <c r="J398" s="5" t="s">
        <v>4844</v>
      </c>
      <c r="L398" s="12" t="str">
        <f t="shared" si="1"/>
        <v>ModularSMPHair_Scryer,1,2</v>
      </c>
    </row>
    <row r="399" ht="15.75" customHeight="1">
      <c r="A399" s="16" t="s">
        <v>4836</v>
      </c>
      <c r="B399" s="18"/>
      <c r="C399" s="8" t="s">
        <v>4902</v>
      </c>
      <c r="D399" s="8">
        <v>1.0</v>
      </c>
      <c r="E399" s="8">
        <v>3.0</v>
      </c>
      <c r="F399" s="8" t="s">
        <v>4903</v>
      </c>
      <c r="G399" s="8" t="s">
        <v>3450</v>
      </c>
      <c r="H399" s="16" t="s">
        <v>3116</v>
      </c>
      <c r="I399" s="8" t="str">
        <f>IFERROR(__xludf.DUMMYFUNCTION("IF(OR(TRIM(G399)="""",TRIM(H399)=""""),"""",TEXTJOIN("", "",TRUE,ARRAYFORMULA(TRANSPOSE(TRIM(SPLIT(G399,"","")))&amp;""_""&amp;TRIM(SPLIT(H399,"","")))))"),"Elf_Male, Elf_Female, Human_Male, Human_Female, Orc_Male, Orc_Female, Khajiit_Male, Khajiit_Female")</f>
        <v>Elf_Male, Elf_Female, Human_Male, Human_Female, Orc_Male, Orc_Female, Khajiit_Male, Khajiit_Female</v>
      </c>
      <c r="J399" s="5" t="s">
        <v>4844</v>
      </c>
      <c r="L399" s="12" t="str">
        <f t="shared" si="1"/>
        <v>ModularSMPHair_A,1,3</v>
      </c>
    </row>
    <row r="400" ht="15.75" customHeight="1">
      <c r="A400" s="16" t="s">
        <v>4836</v>
      </c>
      <c r="B400" s="18"/>
      <c r="C400" s="8" t="s">
        <v>4911</v>
      </c>
      <c r="D400" s="8">
        <v>2.0</v>
      </c>
      <c r="E400" s="8">
        <v>3.0</v>
      </c>
      <c r="F400" s="8" t="s">
        <v>4914</v>
      </c>
      <c r="G400" s="8" t="s">
        <v>1979</v>
      </c>
      <c r="H400" s="16" t="s">
        <v>3116</v>
      </c>
      <c r="I400" s="8" t="str">
        <f>IFERROR(__xludf.DUMMYFUNCTION("IF(OR(TRIM(G400)="""",TRIM(H400)=""""),"""",TEXTJOIN("", "",TRUE,ARRAYFORMULA(TRANSPOSE(TRIM(SPLIT(G400,"","")))&amp;""_""&amp;TRIM(SPLIT(H400,"","")))))"),"Elf_Male, Elf_Female, Human_Male, Human_Female, Orc_Male, Orc_Female")</f>
        <v>Elf_Male, Elf_Female, Human_Male, Human_Female, Orc_Male, Orc_Female</v>
      </c>
      <c r="J400" s="5" t="s">
        <v>4844</v>
      </c>
      <c r="L400" s="12" t="str">
        <f t="shared" si="1"/>
        <v>ModularSMPHair_AA,2,3</v>
      </c>
    </row>
    <row r="401" ht="15.75" customHeight="1">
      <c r="A401" s="16" t="s">
        <v>4836</v>
      </c>
      <c r="B401" s="18"/>
      <c r="C401" s="8" t="s">
        <v>4922</v>
      </c>
      <c r="D401" s="8">
        <v>2.0</v>
      </c>
      <c r="E401" s="8">
        <v>3.0</v>
      </c>
      <c r="F401" s="8" t="s">
        <v>4923</v>
      </c>
      <c r="G401" s="8" t="s">
        <v>1979</v>
      </c>
      <c r="H401" s="16" t="s">
        <v>3116</v>
      </c>
      <c r="I401" s="8" t="str">
        <f>IFERROR(__xludf.DUMMYFUNCTION("IF(OR(TRIM(G401)="""",TRIM(H401)=""""),"""",TEXTJOIN("", "",TRUE,ARRAYFORMULA(TRANSPOSE(TRIM(SPLIT(G401,"","")))&amp;""_""&amp;TRIM(SPLIT(H401,"","")))))"),"Elf_Male, Elf_Female, Human_Male, Human_Female, Orc_Male, Orc_Female")</f>
        <v>Elf_Male, Elf_Female, Human_Male, Human_Female, Orc_Male, Orc_Female</v>
      </c>
      <c r="J401" s="5" t="s">
        <v>4844</v>
      </c>
      <c r="L401" s="12" t="str">
        <f t="shared" si="1"/>
        <v>ModularSMPHair_AB,2,3</v>
      </c>
    </row>
    <row r="402" ht="15.75" customHeight="1">
      <c r="A402" s="16" t="s">
        <v>4836</v>
      </c>
      <c r="B402" s="18"/>
      <c r="C402" s="8" t="s">
        <v>4930</v>
      </c>
      <c r="D402" s="8">
        <v>1.0</v>
      </c>
      <c r="E402" s="8">
        <v>3.0</v>
      </c>
      <c r="F402" s="8" t="s">
        <v>4931</v>
      </c>
      <c r="G402" s="8" t="s">
        <v>1979</v>
      </c>
      <c r="H402" s="16" t="s">
        <v>3116</v>
      </c>
      <c r="I402" s="8" t="str">
        <f>IFERROR(__xludf.DUMMYFUNCTION("IF(OR(TRIM(G402)="""",TRIM(H402)=""""),"""",TEXTJOIN("", "",TRUE,ARRAYFORMULA(TRANSPOSE(TRIM(SPLIT(G402,"","")))&amp;""_""&amp;TRIM(SPLIT(H402,"","")))))"),"Elf_Male, Elf_Female, Human_Male, Human_Female, Orc_Male, Orc_Female")</f>
        <v>Elf_Male, Elf_Female, Human_Male, Human_Female, Orc_Male, Orc_Female</v>
      </c>
      <c r="J402" s="5" t="s">
        <v>4844</v>
      </c>
      <c r="L402" s="12" t="str">
        <f t="shared" si="1"/>
        <v>ModularSMPHair_AC,1,3</v>
      </c>
    </row>
    <row r="403" ht="15.75" customHeight="1">
      <c r="A403" s="16" t="s">
        <v>4836</v>
      </c>
      <c r="B403" s="18"/>
      <c r="C403" s="8" t="s">
        <v>4939</v>
      </c>
      <c r="D403" s="8">
        <v>1.0</v>
      </c>
      <c r="E403" s="8">
        <v>3.0</v>
      </c>
      <c r="F403" s="8" t="s">
        <v>4942</v>
      </c>
      <c r="G403" s="8" t="s">
        <v>1979</v>
      </c>
      <c r="H403" s="16" t="s">
        <v>3116</v>
      </c>
      <c r="I403" s="8" t="str">
        <f>IFERROR(__xludf.DUMMYFUNCTION("IF(OR(TRIM(G403)="""",TRIM(H403)=""""),"""",TEXTJOIN("", "",TRUE,ARRAYFORMULA(TRANSPOSE(TRIM(SPLIT(G403,"","")))&amp;""_""&amp;TRIM(SPLIT(H403,"","")))))"),"Elf_Male, Elf_Female, Human_Male, Human_Female, Orc_Male, Orc_Female")</f>
        <v>Elf_Male, Elf_Female, Human_Male, Human_Female, Orc_Male, Orc_Female</v>
      </c>
      <c r="J403" s="5" t="s">
        <v>4844</v>
      </c>
      <c r="L403" s="12" t="str">
        <f t="shared" si="1"/>
        <v>ModularSMPHair_AD,1,3</v>
      </c>
    </row>
    <row r="404" ht="15.75" customHeight="1">
      <c r="A404" s="16" t="s">
        <v>4836</v>
      </c>
      <c r="B404" s="18"/>
      <c r="C404" s="8" t="s">
        <v>4948</v>
      </c>
      <c r="D404" s="8">
        <v>2.0</v>
      </c>
      <c r="E404" s="8">
        <v>3.0</v>
      </c>
      <c r="F404" s="8" t="s">
        <v>4951</v>
      </c>
      <c r="G404" s="8" t="s">
        <v>1979</v>
      </c>
      <c r="H404" s="16" t="s">
        <v>3116</v>
      </c>
      <c r="I404" s="8" t="str">
        <f>IFERROR(__xludf.DUMMYFUNCTION("IF(OR(TRIM(G404)="""",TRIM(H404)=""""),"""",TEXTJOIN("", "",TRUE,ARRAYFORMULA(TRANSPOSE(TRIM(SPLIT(G404,"","")))&amp;""_""&amp;TRIM(SPLIT(H404,"","")))))"),"Elf_Male, Elf_Female, Human_Male, Human_Female, Orc_Male, Orc_Female")</f>
        <v>Elf_Male, Elf_Female, Human_Male, Human_Female, Orc_Male, Orc_Female</v>
      </c>
      <c r="J404" s="5" t="s">
        <v>4844</v>
      </c>
      <c r="L404" s="12" t="str">
        <f t="shared" si="1"/>
        <v>ModularSMPHair_AE,2,3</v>
      </c>
    </row>
    <row r="405" ht="15.75" customHeight="1">
      <c r="A405" s="16" t="s">
        <v>4836</v>
      </c>
      <c r="B405" s="18"/>
      <c r="C405" s="8" t="s">
        <v>4957</v>
      </c>
      <c r="D405" s="8">
        <v>1.0</v>
      </c>
      <c r="E405" s="8">
        <v>3.0</v>
      </c>
      <c r="F405" s="8" t="s">
        <v>4959</v>
      </c>
      <c r="G405" s="8" t="s">
        <v>1979</v>
      </c>
      <c r="H405" s="16" t="s">
        <v>3116</v>
      </c>
      <c r="I405" s="8" t="str">
        <f>IFERROR(__xludf.DUMMYFUNCTION("IF(OR(TRIM(G405)="""",TRIM(H405)=""""),"""",TEXTJOIN("", "",TRUE,ARRAYFORMULA(TRANSPOSE(TRIM(SPLIT(G405,"","")))&amp;""_""&amp;TRIM(SPLIT(H405,"","")))))"),"Elf_Male, Elf_Female, Human_Male, Human_Female, Orc_Male, Orc_Female")</f>
        <v>Elf_Male, Elf_Female, Human_Male, Human_Female, Orc_Male, Orc_Female</v>
      </c>
      <c r="J405" s="5" t="s">
        <v>4844</v>
      </c>
      <c r="L405" s="12" t="str">
        <f t="shared" si="1"/>
        <v>ModularSMPHair_AF,1,3</v>
      </c>
    </row>
    <row r="406" ht="15.75" customHeight="1">
      <c r="A406" s="16" t="s">
        <v>4836</v>
      </c>
      <c r="B406" s="18"/>
      <c r="C406" s="8" t="s">
        <v>4963</v>
      </c>
      <c r="D406" s="8">
        <v>1.0</v>
      </c>
      <c r="E406" s="8">
        <v>3.0</v>
      </c>
      <c r="F406" s="8" t="s">
        <v>4964</v>
      </c>
      <c r="G406" s="8" t="s">
        <v>1979</v>
      </c>
      <c r="H406" s="16" t="s">
        <v>3116</v>
      </c>
      <c r="I406" s="8" t="str">
        <f>IFERROR(__xludf.DUMMYFUNCTION("IF(OR(TRIM(G406)="""",TRIM(H406)=""""),"""",TEXTJOIN("", "",TRUE,ARRAYFORMULA(TRANSPOSE(TRIM(SPLIT(G406,"","")))&amp;""_""&amp;TRIM(SPLIT(H406,"","")))))"),"Elf_Male, Elf_Female, Human_Male, Human_Female, Orc_Male, Orc_Female")</f>
        <v>Elf_Male, Elf_Female, Human_Male, Human_Female, Orc_Male, Orc_Female</v>
      </c>
      <c r="J406" s="5" t="s">
        <v>4844</v>
      </c>
      <c r="L406" s="12" t="str">
        <f t="shared" si="1"/>
        <v>ModularSMPHair_AG,1,3</v>
      </c>
    </row>
    <row r="407" ht="15.75" customHeight="1">
      <c r="A407" s="16" t="s">
        <v>4836</v>
      </c>
      <c r="B407" s="18"/>
      <c r="C407" s="8" t="s">
        <v>4974</v>
      </c>
      <c r="D407" s="8">
        <v>1.0</v>
      </c>
      <c r="E407" s="8">
        <v>3.0</v>
      </c>
      <c r="F407" s="8" t="s">
        <v>4975</v>
      </c>
      <c r="G407" s="8" t="s">
        <v>1979</v>
      </c>
      <c r="H407" s="16" t="s">
        <v>3116</v>
      </c>
      <c r="I407" s="8" t="str">
        <f>IFERROR(__xludf.DUMMYFUNCTION("IF(OR(TRIM(G407)="""",TRIM(H407)=""""),"""",TEXTJOIN("", "",TRUE,ARRAYFORMULA(TRANSPOSE(TRIM(SPLIT(G407,"","")))&amp;""_""&amp;TRIM(SPLIT(H407,"","")))))"),"Elf_Male, Elf_Female, Human_Male, Human_Female, Orc_Male, Orc_Female")</f>
        <v>Elf_Male, Elf_Female, Human_Male, Human_Female, Orc_Male, Orc_Female</v>
      </c>
      <c r="J407" s="5" t="s">
        <v>4844</v>
      </c>
      <c r="L407" s="12" t="str">
        <f t="shared" si="1"/>
        <v>ModularSMPHair_AI,1,3</v>
      </c>
    </row>
    <row r="408" ht="15.75" customHeight="1">
      <c r="A408" s="16" t="s">
        <v>4836</v>
      </c>
      <c r="B408" s="18"/>
      <c r="C408" s="8" t="s">
        <v>4982</v>
      </c>
      <c r="D408" s="8">
        <v>1.0</v>
      </c>
      <c r="E408" s="8">
        <v>3.0</v>
      </c>
      <c r="F408" s="8" t="s">
        <v>4984</v>
      </c>
      <c r="G408" s="8" t="s">
        <v>1979</v>
      </c>
      <c r="H408" s="16" t="s">
        <v>3116</v>
      </c>
      <c r="I408" s="8" t="str">
        <f>IFERROR(__xludf.DUMMYFUNCTION("IF(OR(TRIM(G408)="""",TRIM(H408)=""""),"""",TEXTJOIN("", "",TRUE,ARRAYFORMULA(TRANSPOSE(TRIM(SPLIT(G408,"","")))&amp;""_""&amp;TRIM(SPLIT(H408,"","")))))"),"Elf_Male, Elf_Female, Human_Male, Human_Female, Orc_Male, Orc_Female")</f>
        <v>Elf_Male, Elf_Female, Human_Male, Human_Female, Orc_Male, Orc_Female</v>
      </c>
      <c r="J408" s="5" t="s">
        <v>4844</v>
      </c>
      <c r="L408" s="12" t="str">
        <f t="shared" si="1"/>
        <v>ModularSMPHair_AJ,1,3</v>
      </c>
    </row>
    <row r="409" ht="15.75" customHeight="1">
      <c r="A409" s="16" t="s">
        <v>4836</v>
      </c>
      <c r="B409" s="18"/>
      <c r="C409" s="8" t="s">
        <v>4989</v>
      </c>
      <c r="D409" s="8">
        <v>1.0</v>
      </c>
      <c r="E409" s="8">
        <v>3.0</v>
      </c>
      <c r="F409" s="8" t="s">
        <v>4990</v>
      </c>
      <c r="G409" s="8" t="s">
        <v>1979</v>
      </c>
      <c r="H409" s="16" t="s">
        <v>3116</v>
      </c>
      <c r="I409" s="8" t="str">
        <f>IFERROR(__xludf.DUMMYFUNCTION("IF(OR(TRIM(G409)="""",TRIM(H409)=""""),"""",TEXTJOIN("", "",TRUE,ARRAYFORMULA(TRANSPOSE(TRIM(SPLIT(G409,"","")))&amp;""_""&amp;TRIM(SPLIT(H409,"","")))))"),"Elf_Male, Elf_Female, Human_Male, Human_Female, Orc_Male, Orc_Female")</f>
        <v>Elf_Male, Elf_Female, Human_Male, Human_Female, Orc_Male, Orc_Female</v>
      </c>
      <c r="J409" s="5" t="s">
        <v>4844</v>
      </c>
      <c r="L409" s="12" t="str">
        <f t="shared" si="1"/>
        <v>ModularSMPHair_AK,1,3</v>
      </c>
    </row>
    <row r="410" ht="15.75" customHeight="1">
      <c r="A410" s="16" t="s">
        <v>4836</v>
      </c>
      <c r="B410" s="18"/>
      <c r="C410" s="8" t="s">
        <v>4999</v>
      </c>
      <c r="D410" s="8">
        <v>1.0</v>
      </c>
      <c r="E410" s="8">
        <v>3.0</v>
      </c>
      <c r="F410" s="8" t="s">
        <v>5001</v>
      </c>
      <c r="G410" s="8" t="s">
        <v>1979</v>
      </c>
      <c r="H410" s="16" t="s">
        <v>3116</v>
      </c>
      <c r="I410" s="8" t="str">
        <f>IFERROR(__xludf.DUMMYFUNCTION("IF(OR(TRIM(G410)="""",TRIM(H410)=""""),"""",TEXTJOIN("", "",TRUE,ARRAYFORMULA(TRANSPOSE(TRIM(SPLIT(G410,"","")))&amp;""_""&amp;TRIM(SPLIT(H410,"","")))))"),"Elf_Male, Elf_Female, Human_Male, Human_Female, Orc_Male, Orc_Female")</f>
        <v>Elf_Male, Elf_Female, Human_Male, Human_Female, Orc_Male, Orc_Female</v>
      </c>
      <c r="J410" s="5" t="s">
        <v>4844</v>
      </c>
      <c r="L410" s="12" t="str">
        <f t="shared" si="1"/>
        <v>ModularSMPHair_AL,1,3</v>
      </c>
    </row>
    <row r="411" ht="15.75" customHeight="1">
      <c r="A411" s="16" t="s">
        <v>4836</v>
      </c>
      <c r="B411" s="18"/>
      <c r="C411" s="8" t="s">
        <v>5008</v>
      </c>
      <c r="D411" s="8">
        <v>1.0</v>
      </c>
      <c r="E411" s="8">
        <v>3.0</v>
      </c>
      <c r="F411" s="8" t="s">
        <v>5009</v>
      </c>
      <c r="G411" s="8" t="s">
        <v>1979</v>
      </c>
      <c r="H411" s="16" t="s">
        <v>3116</v>
      </c>
      <c r="I411" s="8" t="str">
        <f>IFERROR(__xludf.DUMMYFUNCTION("IF(OR(TRIM(G411)="""",TRIM(H411)=""""),"""",TEXTJOIN("", "",TRUE,ARRAYFORMULA(TRANSPOSE(TRIM(SPLIT(G411,"","")))&amp;""_""&amp;TRIM(SPLIT(H411,"","")))))"),"Elf_Male, Elf_Female, Human_Male, Human_Female, Orc_Male, Orc_Female")</f>
        <v>Elf_Male, Elf_Female, Human_Male, Human_Female, Orc_Male, Orc_Female</v>
      </c>
      <c r="J411" s="5" t="s">
        <v>4844</v>
      </c>
      <c r="L411" s="12" t="str">
        <f t="shared" si="1"/>
        <v>ModularSMPHair_AM1,1,3</v>
      </c>
    </row>
    <row r="412" ht="15.75" customHeight="1">
      <c r="A412" s="16" t="s">
        <v>4836</v>
      </c>
      <c r="B412" s="18"/>
      <c r="C412" s="8" t="s">
        <v>5016</v>
      </c>
      <c r="D412" s="8">
        <v>1.0</v>
      </c>
      <c r="E412" s="8">
        <v>3.0</v>
      </c>
      <c r="F412" s="8" t="s">
        <v>5017</v>
      </c>
      <c r="G412" s="8" t="s">
        <v>1979</v>
      </c>
      <c r="H412" s="16" t="s">
        <v>3116</v>
      </c>
      <c r="I412" s="8" t="str">
        <f>IFERROR(__xludf.DUMMYFUNCTION("IF(OR(TRIM(G412)="""",TRIM(H412)=""""),"""",TEXTJOIN("", "",TRUE,ARRAYFORMULA(TRANSPOSE(TRIM(SPLIT(G412,"","")))&amp;""_""&amp;TRIM(SPLIT(H412,"","")))))"),"Elf_Male, Elf_Female, Human_Male, Human_Female, Orc_Male, Orc_Female")</f>
        <v>Elf_Male, Elf_Female, Human_Male, Human_Female, Orc_Male, Orc_Female</v>
      </c>
      <c r="J412" s="5" t="s">
        <v>4844</v>
      </c>
      <c r="L412" s="12" t="str">
        <f t="shared" si="1"/>
        <v>ModularSMPHair_AM2,1,3</v>
      </c>
    </row>
    <row r="413" ht="15.75" customHeight="1">
      <c r="A413" s="16" t="s">
        <v>4836</v>
      </c>
      <c r="B413" s="18"/>
      <c r="C413" s="8" t="s">
        <v>5027</v>
      </c>
      <c r="D413" s="8">
        <v>1.0</v>
      </c>
      <c r="E413" s="8">
        <v>2.0</v>
      </c>
      <c r="F413" s="8" t="s">
        <v>5030</v>
      </c>
      <c r="G413" s="8" t="s">
        <v>3450</v>
      </c>
      <c r="H413" s="16" t="s">
        <v>3116</v>
      </c>
      <c r="I413" s="8" t="str">
        <f>IFERROR(__xludf.DUMMYFUNCTION("IF(OR(TRIM(G413)="""",TRIM(H413)=""""),"""",TEXTJOIN("", "",TRUE,ARRAYFORMULA(TRANSPOSE(TRIM(SPLIT(G413,"","")))&amp;""_""&amp;TRIM(SPLIT(H413,"","")))))"),"Elf_Male, Elf_Female, Human_Male, Human_Female, Orc_Male, Orc_Female, Khajiit_Male, Khajiit_Female")</f>
        <v>Elf_Male, Elf_Female, Human_Male, Human_Female, Orc_Male, Orc_Female, Khajiit_Male, Khajiit_Female</v>
      </c>
      <c r="J413" s="5" t="s">
        <v>4844</v>
      </c>
      <c r="L413" s="12" t="str">
        <f t="shared" si="1"/>
        <v>ModularSMPHair_B,1,2</v>
      </c>
    </row>
    <row r="414" ht="15.75" customHeight="1">
      <c r="A414" s="16" t="s">
        <v>4836</v>
      </c>
      <c r="B414" s="18"/>
      <c r="C414" s="8" t="s">
        <v>5040</v>
      </c>
      <c r="D414" s="8">
        <v>2.0</v>
      </c>
      <c r="E414" s="8">
        <v>2.0</v>
      </c>
      <c r="F414" s="8" t="s">
        <v>5042</v>
      </c>
      <c r="G414" s="8" t="s">
        <v>1979</v>
      </c>
      <c r="H414" s="16" t="s">
        <v>3116</v>
      </c>
      <c r="I414" s="8" t="str">
        <f>IFERROR(__xludf.DUMMYFUNCTION("IF(OR(TRIM(G414)="""",TRIM(H414)=""""),"""",TEXTJOIN("", "",TRUE,ARRAYFORMULA(TRANSPOSE(TRIM(SPLIT(G414,"","")))&amp;""_""&amp;TRIM(SPLIT(H414,"","")))))"),"Elf_Male, Elf_Female, Human_Male, Human_Female, Orc_Male, Orc_Female")</f>
        <v>Elf_Male, Elf_Female, Human_Male, Human_Female, Orc_Male, Orc_Female</v>
      </c>
      <c r="J414" s="5" t="s">
        <v>4844</v>
      </c>
      <c r="L414" s="12" t="str">
        <f t="shared" si="1"/>
        <v>ModularSMPHair_BA,2,2</v>
      </c>
    </row>
    <row r="415" ht="15.75" customHeight="1">
      <c r="A415" s="16" t="s">
        <v>4836</v>
      </c>
      <c r="B415" s="18"/>
      <c r="C415" s="8" t="s">
        <v>5047</v>
      </c>
      <c r="D415" s="8">
        <v>2.0</v>
      </c>
      <c r="E415" s="8">
        <v>2.0</v>
      </c>
      <c r="F415" s="8" t="s">
        <v>5048</v>
      </c>
      <c r="G415" s="8" t="s">
        <v>1979</v>
      </c>
      <c r="H415" s="16" t="s">
        <v>3116</v>
      </c>
      <c r="I415" s="8" t="str">
        <f>IFERROR(__xludf.DUMMYFUNCTION("IF(OR(TRIM(G415)="""",TRIM(H415)=""""),"""",TEXTJOIN("", "",TRUE,ARRAYFORMULA(TRANSPOSE(TRIM(SPLIT(G415,"","")))&amp;""_""&amp;TRIM(SPLIT(H415,"","")))))"),"Elf_Male, Elf_Female, Human_Male, Human_Female, Orc_Male, Orc_Female")</f>
        <v>Elf_Male, Elf_Female, Human_Male, Human_Female, Orc_Male, Orc_Female</v>
      </c>
      <c r="J415" s="5" t="s">
        <v>4844</v>
      </c>
      <c r="L415" s="12" t="str">
        <f t="shared" si="1"/>
        <v>ModularSMPHair_BB,2,2</v>
      </c>
    </row>
    <row r="416" ht="15.75" customHeight="1">
      <c r="A416" s="16" t="s">
        <v>4836</v>
      </c>
      <c r="B416" s="18"/>
      <c r="C416" s="8" t="s">
        <v>5058</v>
      </c>
      <c r="D416" s="8">
        <v>1.0</v>
      </c>
      <c r="E416" s="8">
        <v>2.0</v>
      </c>
      <c r="F416" s="8" t="s">
        <v>5059</v>
      </c>
      <c r="G416" s="8" t="s">
        <v>1979</v>
      </c>
      <c r="H416" s="16" t="s">
        <v>3116</v>
      </c>
      <c r="I416" s="8" t="str">
        <f>IFERROR(__xludf.DUMMYFUNCTION("IF(OR(TRIM(G416)="""",TRIM(H416)=""""),"""",TEXTJOIN("", "",TRUE,ARRAYFORMULA(TRANSPOSE(TRIM(SPLIT(G416,"","")))&amp;""_""&amp;TRIM(SPLIT(H416,"","")))))"),"Elf_Male, Elf_Female, Human_Male, Human_Female, Orc_Male, Orc_Female")</f>
        <v>Elf_Male, Elf_Female, Human_Male, Human_Female, Orc_Male, Orc_Female</v>
      </c>
      <c r="J416" s="5" t="s">
        <v>4844</v>
      </c>
      <c r="L416" s="12" t="str">
        <f t="shared" si="1"/>
        <v>ModularSMPHair_BC,1,2</v>
      </c>
    </row>
    <row r="417" ht="15.75" customHeight="1">
      <c r="A417" s="16" t="s">
        <v>4836</v>
      </c>
      <c r="B417" s="18"/>
      <c r="C417" s="8" t="s">
        <v>5067</v>
      </c>
      <c r="D417" s="8">
        <v>1.0</v>
      </c>
      <c r="E417" s="8">
        <v>2.0</v>
      </c>
      <c r="F417" s="8" t="s">
        <v>5070</v>
      </c>
      <c r="G417" s="8" t="s">
        <v>1979</v>
      </c>
      <c r="H417" s="16" t="s">
        <v>3116</v>
      </c>
      <c r="I417" s="8" t="str">
        <f>IFERROR(__xludf.DUMMYFUNCTION("IF(OR(TRIM(G417)="""",TRIM(H417)=""""),"""",TEXTJOIN("", "",TRUE,ARRAYFORMULA(TRANSPOSE(TRIM(SPLIT(G417,"","")))&amp;""_""&amp;TRIM(SPLIT(H417,"","")))))"),"Elf_Male, Elf_Female, Human_Male, Human_Female, Orc_Male, Orc_Female")</f>
        <v>Elf_Male, Elf_Female, Human_Male, Human_Female, Orc_Male, Orc_Female</v>
      </c>
      <c r="J417" s="5" t="s">
        <v>4844</v>
      </c>
      <c r="L417" s="12" t="str">
        <f t="shared" si="1"/>
        <v>ModularSMPHair_BD,1,2</v>
      </c>
    </row>
    <row r="418" ht="15.75" customHeight="1">
      <c r="A418" s="16" t="s">
        <v>4836</v>
      </c>
      <c r="B418" s="18"/>
      <c r="C418" s="8" t="s">
        <v>5075</v>
      </c>
      <c r="D418" s="8">
        <v>2.0</v>
      </c>
      <c r="E418" s="8">
        <v>2.0</v>
      </c>
      <c r="F418" s="8" t="s">
        <v>5076</v>
      </c>
      <c r="G418" s="8" t="s">
        <v>1979</v>
      </c>
      <c r="H418" s="16" t="s">
        <v>3116</v>
      </c>
      <c r="I418" s="8" t="str">
        <f>IFERROR(__xludf.DUMMYFUNCTION("IF(OR(TRIM(G418)="""",TRIM(H418)=""""),"""",TEXTJOIN("", "",TRUE,ARRAYFORMULA(TRANSPOSE(TRIM(SPLIT(G418,"","")))&amp;""_""&amp;TRIM(SPLIT(H418,"","")))))"),"Elf_Male, Elf_Female, Human_Male, Human_Female, Orc_Male, Orc_Female")</f>
        <v>Elf_Male, Elf_Female, Human_Male, Human_Female, Orc_Male, Orc_Female</v>
      </c>
      <c r="J418" s="5" t="s">
        <v>4844</v>
      </c>
      <c r="L418" s="12" t="str">
        <f t="shared" si="1"/>
        <v>ModularSMPHair_BE,2,2</v>
      </c>
    </row>
    <row r="419" ht="15.75" customHeight="1">
      <c r="A419" s="16" t="s">
        <v>4836</v>
      </c>
      <c r="B419" s="18"/>
      <c r="C419" s="8" t="s">
        <v>5086</v>
      </c>
      <c r="D419" s="8">
        <v>1.0</v>
      </c>
      <c r="E419" s="8">
        <v>2.0</v>
      </c>
      <c r="F419" s="8" t="s">
        <v>5089</v>
      </c>
      <c r="G419" s="8" t="s">
        <v>1979</v>
      </c>
      <c r="H419" s="16" t="s">
        <v>3116</v>
      </c>
      <c r="I419" s="8" t="str">
        <f>IFERROR(__xludf.DUMMYFUNCTION("IF(OR(TRIM(G419)="""",TRIM(H419)=""""),"""",TEXTJOIN("", "",TRUE,ARRAYFORMULA(TRANSPOSE(TRIM(SPLIT(G419,"","")))&amp;""_""&amp;TRIM(SPLIT(H419,"","")))))"),"Elf_Male, Elf_Female, Human_Male, Human_Female, Orc_Male, Orc_Female")</f>
        <v>Elf_Male, Elf_Female, Human_Male, Human_Female, Orc_Male, Orc_Female</v>
      </c>
      <c r="J419" s="5" t="s">
        <v>4844</v>
      </c>
      <c r="L419" s="12" t="str">
        <f t="shared" si="1"/>
        <v>ModularSMPHair_BF,1,2</v>
      </c>
    </row>
    <row r="420" ht="15.75" customHeight="1">
      <c r="A420" s="16" t="s">
        <v>4836</v>
      </c>
      <c r="B420" s="18"/>
      <c r="C420" s="8" t="s">
        <v>5097</v>
      </c>
      <c r="D420" s="8">
        <v>1.0</v>
      </c>
      <c r="E420" s="8">
        <v>2.0</v>
      </c>
      <c r="F420" s="8" t="s">
        <v>5098</v>
      </c>
      <c r="G420" s="8" t="s">
        <v>1979</v>
      </c>
      <c r="H420" s="16" t="s">
        <v>3116</v>
      </c>
      <c r="I420" s="8" t="str">
        <f>IFERROR(__xludf.DUMMYFUNCTION("IF(OR(TRIM(G420)="""",TRIM(H420)=""""),"""",TEXTJOIN("", "",TRUE,ARRAYFORMULA(TRANSPOSE(TRIM(SPLIT(G420,"","")))&amp;""_""&amp;TRIM(SPLIT(H420,"","")))))"),"Elf_Male, Elf_Female, Human_Male, Human_Female, Orc_Male, Orc_Female")</f>
        <v>Elf_Male, Elf_Female, Human_Male, Human_Female, Orc_Male, Orc_Female</v>
      </c>
      <c r="J420" s="5" t="s">
        <v>4844</v>
      </c>
      <c r="L420" s="12" t="str">
        <f t="shared" si="1"/>
        <v>ModularSMPHair_BG,1,2</v>
      </c>
    </row>
    <row r="421" ht="15.75" customHeight="1">
      <c r="A421" s="16" t="s">
        <v>4836</v>
      </c>
      <c r="B421" s="18"/>
      <c r="C421" s="8" t="s">
        <v>5103</v>
      </c>
      <c r="D421" s="8">
        <v>1.0</v>
      </c>
      <c r="E421" s="8">
        <v>2.0</v>
      </c>
      <c r="F421" s="8" t="s">
        <v>5105</v>
      </c>
      <c r="G421" s="8" t="s">
        <v>1979</v>
      </c>
      <c r="H421" s="16" t="s">
        <v>3116</v>
      </c>
      <c r="I421" s="8" t="str">
        <f>IFERROR(__xludf.DUMMYFUNCTION("IF(OR(TRIM(G421)="""",TRIM(H421)=""""),"""",TEXTJOIN("", "",TRUE,ARRAYFORMULA(TRANSPOSE(TRIM(SPLIT(G421,"","")))&amp;""_""&amp;TRIM(SPLIT(H421,"","")))))"),"Elf_Male, Elf_Female, Human_Male, Human_Female, Orc_Male, Orc_Female")</f>
        <v>Elf_Male, Elf_Female, Human_Male, Human_Female, Orc_Male, Orc_Female</v>
      </c>
      <c r="J421" s="5" t="s">
        <v>4844</v>
      </c>
      <c r="L421" s="12" t="str">
        <f t="shared" si="1"/>
        <v>ModularSMPHair_BI,1,2</v>
      </c>
    </row>
    <row r="422" ht="15.75" customHeight="1">
      <c r="A422" s="16" t="s">
        <v>4836</v>
      </c>
      <c r="B422" s="18"/>
      <c r="C422" s="8" t="s">
        <v>5114</v>
      </c>
      <c r="D422" s="8">
        <v>1.0</v>
      </c>
      <c r="E422" s="8">
        <v>2.0</v>
      </c>
      <c r="F422" s="8" t="s">
        <v>5116</v>
      </c>
      <c r="G422" s="8" t="s">
        <v>1979</v>
      </c>
      <c r="H422" s="16" t="s">
        <v>3116</v>
      </c>
      <c r="I422" s="8" t="str">
        <f>IFERROR(__xludf.DUMMYFUNCTION("IF(OR(TRIM(G422)="""",TRIM(H422)=""""),"""",TEXTJOIN("", "",TRUE,ARRAYFORMULA(TRANSPOSE(TRIM(SPLIT(G422,"","")))&amp;""_""&amp;TRIM(SPLIT(H422,"","")))))"),"Elf_Male, Elf_Female, Human_Male, Human_Female, Orc_Male, Orc_Female")</f>
        <v>Elf_Male, Elf_Female, Human_Male, Human_Female, Orc_Male, Orc_Female</v>
      </c>
      <c r="J422" s="5" t="s">
        <v>4844</v>
      </c>
      <c r="L422" s="12" t="str">
        <f t="shared" si="1"/>
        <v>ModularSMPHair_BJ,1,2</v>
      </c>
    </row>
    <row r="423" ht="15.75" customHeight="1">
      <c r="A423" s="16" t="s">
        <v>4836</v>
      </c>
      <c r="B423" s="18"/>
      <c r="C423" s="8" t="s">
        <v>5122</v>
      </c>
      <c r="D423" s="8">
        <v>1.0</v>
      </c>
      <c r="E423" s="8">
        <v>2.0</v>
      </c>
      <c r="F423" s="8" t="s">
        <v>5123</v>
      </c>
      <c r="G423" s="8" t="s">
        <v>1979</v>
      </c>
      <c r="H423" s="16" t="s">
        <v>3116</v>
      </c>
      <c r="I423" s="8" t="str">
        <f>IFERROR(__xludf.DUMMYFUNCTION("IF(OR(TRIM(G423)="""",TRIM(H423)=""""),"""",TEXTJOIN("", "",TRUE,ARRAYFORMULA(TRANSPOSE(TRIM(SPLIT(G423,"","")))&amp;""_""&amp;TRIM(SPLIT(H423,"","")))))"),"Elf_Male, Elf_Female, Human_Male, Human_Female, Orc_Male, Orc_Female")</f>
        <v>Elf_Male, Elf_Female, Human_Male, Human_Female, Orc_Male, Orc_Female</v>
      </c>
      <c r="J423" s="5" t="s">
        <v>4844</v>
      </c>
      <c r="L423" s="12" t="str">
        <f t="shared" si="1"/>
        <v>ModularSMPHair_BK,1,2</v>
      </c>
    </row>
    <row r="424" ht="15.75" customHeight="1">
      <c r="A424" s="16" t="s">
        <v>4836</v>
      </c>
      <c r="B424" s="18"/>
      <c r="C424" s="8" t="s">
        <v>5128</v>
      </c>
      <c r="D424" s="8">
        <v>1.0</v>
      </c>
      <c r="E424" s="8">
        <v>2.0</v>
      </c>
      <c r="F424" s="8" t="s">
        <v>5130</v>
      </c>
      <c r="G424" s="8" t="s">
        <v>1979</v>
      </c>
      <c r="H424" s="16" t="s">
        <v>3116</v>
      </c>
      <c r="I424" s="8" t="str">
        <f>IFERROR(__xludf.DUMMYFUNCTION("IF(OR(TRIM(G424)="""",TRIM(H424)=""""),"""",TEXTJOIN("", "",TRUE,ARRAYFORMULA(TRANSPOSE(TRIM(SPLIT(G424,"","")))&amp;""_""&amp;TRIM(SPLIT(H424,"","")))))"),"Elf_Male, Elf_Female, Human_Male, Human_Female, Orc_Male, Orc_Female")</f>
        <v>Elf_Male, Elf_Female, Human_Male, Human_Female, Orc_Male, Orc_Female</v>
      </c>
      <c r="J424" s="5" t="s">
        <v>4844</v>
      </c>
      <c r="L424" s="12" t="str">
        <f t="shared" si="1"/>
        <v>ModularSMPHair_BL,1,2</v>
      </c>
    </row>
    <row r="425" ht="15.75" customHeight="1">
      <c r="A425" s="16" t="s">
        <v>4836</v>
      </c>
      <c r="B425" s="18"/>
      <c r="C425" s="8" t="s">
        <v>5135</v>
      </c>
      <c r="D425" s="8">
        <v>1.0</v>
      </c>
      <c r="E425" s="8">
        <v>2.0</v>
      </c>
      <c r="F425" s="8" t="s">
        <v>5137</v>
      </c>
      <c r="G425" s="8" t="s">
        <v>1979</v>
      </c>
      <c r="H425" s="16" t="s">
        <v>3116</v>
      </c>
      <c r="I425" s="8" t="str">
        <f>IFERROR(__xludf.DUMMYFUNCTION("IF(OR(TRIM(G425)="""",TRIM(H425)=""""),"""",TEXTJOIN("", "",TRUE,ARRAYFORMULA(TRANSPOSE(TRIM(SPLIT(G425,"","")))&amp;""_""&amp;TRIM(SPLIT(H425,"","")))))"),"Elf_Male, Elf_Female, Human_Male, Human_Female, Orc_Male, Orc_Female")</f>
        <v>Elf_Male, Elf_Female, Human_Male, Human_Female, Orc_Male, Orc_Female</v>
      </c>
      <c r="J425" s="5" t="s">
        <v>4844</v>
      </c>
      <c r="L425" s="12" t="str">
        <f t="shared" si="1"/>
        <v>ModularSMPHair_BM1,1,2</v>
      </c>
    </row>
    <row r="426" ht="15.75" customHeight="1">
      <c r="A426" s="16" t="s">
        <v>4836</v>
      </c>
      <c r="B426" s="18"/>
      <c r="C426" s="8" t="s">
        <v>5142</v>
      </c>
      <c r="D426" s="8">
        <v>1.0</v>
      </c>
      <c r="E426" s="8">
        <v>2.0</v>
      </c>
      <c r="F426" s="8" t="s">
        <v>5144</v>
      </c>
      <c r="G426" s="8" t="s">
        <v>1979</v>
      </c>
      <c r="H426" s="16" t="s">
        <v>3116</v>
      </c>
      <c r="I426" s="8" t="str">
        <f>IFERROR(__xludf.DUMMYFUNCTION("IF(OR(TRIM(G426)="""",TRIM(H426)=""""),"""",TEXTJOIN("", "",TRUE,ARRAYFORMULA(TRANSPOSE(TRIM(SPLIT(G426,"","")))&amp;""_""&amp;TRIM(SPLIT(H426,"","")))))"),"Elf_Male, Elf_Female, Human_Male, Human_Female, Orc_Male, Orc_Female")</f>
        <v>Elf_Male, Elf_Female, Human_Male, Human_Female, Orc_Male, Orc_Female</v>
      </c>
      <c r="J426" s="5" t="s">
        <v>4844</v>
      </c>
      <c r="L426" s="12" t="str">
        <f t="shared" si="1"/>
        <v>ModularSMPHair_BM2,1,2</v>
      </c>
    </row>
    <row r="427" ht="15.75" customHeight="1">
      <c r="A427" s="16" t="s">
        <v>4836</v>
      </c>
      <c r="B427" s="18"/>
      <c r="C427" s="8" t="s">
        <v>5151</v>
      </c>
      <c r="D427" s="8">
        <v>1.0</v>
      </c>
      <c r="E427" s="8">
        <v>1.0</v>
      </c>
      <c r="F427" s="8" t="s">
        <v>5153</v>
      </c>
      <c r="G427" s="8" t="s">
        <v>3450</v>
      </c>
      <c r="H427" s="16" t="s">
        <v>3116</v>
      </c>
      <c r="I427" s="8" t="str">
        <f>IFERROR(__xludf.DUMMYFUNCTION("IF(OR(TRIM(G427)="""",TRIM(H427)=""""),"""",TEXTJOIN("", "",TRUE,ARRAYFORMULA(TRANSPOSE(TRIM(SPLIT(G427,"","")))&amp;""_""&amp;TRIM(SPLIT(H427,"","")))))"),"Elf_Male, Elf_Female, Human_Male, Human_Female, Orc_Male, Orc_Female, Khajiit_Male, Khajiit_Female")</f>
        <v>Elf_Male, Elf_Female, Human_Male, Human_Female, Orc_Male, Orc_Female, Khajiit_Male, Khajiit_Female</v>
      </c>
      <c r="J427" s="5" t="s">
        <v>4844</v>
      </c>
      <c r="L427" s="12" t="str">
        <f t="shared" si="1"/>
        <v>ModularSMPHair_C,1,1</v>
      </c>
    </row>
    <row r="428" ht="15.75" customHeight="1">
      <c r="A428" s="16" t="s">
        <v>4836</v>
      </c>
      <c r="B428" s="18"/>
      <c r="C428" s="8" t="s">
        <v>5158</v>
      </c>
      <c r="D428" s="8">
        <v>2.0</v>
      </c>
      <c r="E428" s="8">
        <v>2.0</v>
      </c>
      <c r="F428" s="8" t="s">
        <v>5160</v>
      </c>
      <c r="G428" s="8" t="s">
        <v>1979</v>
      </c>
      <c r="H428" s="16" t="s">
        <v>3116</v>
      </c>
      <c r="I428" s="8" t="str">
        <f>IFERROR(__xludf.DUMMYFUNCTION("IF(OR(TRIM(G428)="""",TRIM(H428)=""""),"""",TEXTJOIN("", "",TRUE,ARRAYFORMULA(TRANSPOSE(TRIM(SPLIT(G428,"","")))&amp;""_""&amp;TRIM(SPLIT(H428,"","")))))"),"Elf_Male, Elf_Female, Human_Male, Human_Female, Orc_Male, Orc_Female")</f>
        <v>Elf_Male, Elf_Female, Human_Male, Human_Female, Orc_Male, Orc_Female</v>
      </c>
      <c r="J428" s="5" t="s">
        <v>4844</v>
      </c>
      <c r="L428" s="12" t="str">
        <f t="shared" si="1"/>
        <v>ModularSMPHair_CA,2,2</v>
      </c>
    </row>
    <row r="429" ht="15.75" customHeight="1">
      <c r="A429" s="16" t="s">
        <v>4836</v>
      </c>
      <c r="B429" s="18"/>
      <c r="C429" s="8" t="s">
        <v>5165</v>
      </c>
      <c r="D429" s="8">
        <v>2.0</v>
      </c>
      <c r="E429" s="8">
        <v>2.0</v>
      </c>
      <c r="F429" s="8" t="s">
        <v>5166</v>
      </c>
      <c r="G429" s="8" t="s">
        <v>1979</v>
      </c>
      <c r="H429" s="16" t="s">
        <v>3116</v>
      </c>
      <c r="I429" s="8" t="str">
        <f>IFERROR(__xludf.DUMMYFUNCTION("IF(OR(TRIM(G429)="""",TRIM(H429)=""""),"""",TEXTJOIN("", "",TRUE,ARRAYFORMULA(TRANSPOSE(TRIM(SPLIT(G429,"","")))&amp;""_""&amp;TRIM(SPLIT(H429,"","")))))"),"Elf_Male, Elf_Female, Human_Male, Human_Female, Orc_Male, Orc_Female")</f>
        <v>Elf_Male, Elf_Female, Human_Male, Human_Female, Orc_Male, Orc_Female</v>
      </c>
      <c r="J429" s="5" t="s">
        <v>4844</v>
      </c>
      <c r="L429" s="12" t="str">
        <f t="shared" si="1"/>
        <v>ModularSMPHair_CB,2,2</v>
      </c>
    </row>
    <row r="430" ht="15.75" customHeight="1">
      <c r="A430" s="16" t="s">
        <v>4836</v>
      </c>
      <c r="B430" s="18"/>
      <c r="C430" s="8" t="s">
        <v>5171</v>
      </c>
      <c r="D430" s="8">
        <v>1.0</v>
      </c>
      <c r="E430" s="8">
        <v>1.0</v>
      </c>
      <c r="F430" s="8" t="s">
        <v>5173</v>
      </c>
      <c r="G430" s="8" t="s">
        <v>1979</v>
      </c>
      <c r="H430" s="16" t="s">
        <v>3116</v>
      </c>
      <c r="I430" s="8" t="str">
        <f>IFERROR(__xludf.DUMMYFUNCTION("IF(OR(TRIM(G430)="""",TRIM(H430)=""""),"""",TEXTJOIN("", "",TRUE,ARRAYFORMULA(TRANSPOSE(TRIM(SPLIT(G430,"","")))&amp;""_""&amp;TRIM(SPLIT(H430,"","")))))"),"Elf_Male, Elf_Female, Human_Male, Human_Female, Orc_Male, Orc_Female")</f>
        <v>Elf_Male, Elf_Female, Human_Male, Human_Female, Orc_Male, Orc_Female</v>
      </c>
      <c r="J430" s="5" t="s">
        <v>4844</v>
      </c>
      <c r="L430" s="12" t="str">
        <f t="shared" si="1"/>
        <v>ModularSMPHair_CC,1,1</v>
      </c>
    </row>
    <row r="431" ht="15.75" customHeight="1">
      <c r="A431" s="16" t="s">
        <v>4836</v>
      </c>
      <c r="B431" s="18"/>
      <c r="C431" s="8" t="s">
        <v>5177</v>
      </c>
      <c r="D431" s="8">
        <v>1.0</v>
      </c>
      <c r="E431" s="8">
        <v>1.0</v>
      </c>
      <c r="F431" s="8" t="s">
        <v>5179</v>
      </c>
      <c r="G431" s="8" t="s">
        <v>1979</v>
      </c>
      <c r="H431" s="16" t="s">
        <v>3116</v>
      </c>
      <c r="I431" s="8" t="str">
        <f>IFERROR(__xludf.DUMMYFUNCTION("IF(OR(TRIM(G431)="""",TRIM(H431)=""""),"""",TEXTJOIN("", "",TRUE,ARRAYFORMULA(TRANSPOSE(TRIM(SPLIT(G431,"","")))&amp;""_""&amp;TRIM(SPLIT(H431,"","")))))"),"Elf_Male, Elf_Female, Human_Male, Human_Female, Orc_Male, Orc_Female")</f>
        <v>Elf_Male, Elf_Female, Human_Male, Human_Female, Orc_Male, Orc_Female</v>
      </c>
      <c r="J431" s="5" t="s">
        <v>4844</v>
      </c>
      <c r="L431" s="12" t="str">
        <f t="shared" si="1"/>
        <v>ModularSMPHair_CD,1,1</v>
      </c>
    </row>
    <row r="432" ht="15.75" customHeight="1">
      <c r="A432" s="16" t="s">
        <v>4836</v>
      </c>
      <c r="B432" s="18"/>
      <c r="C432" s="8" t="s">
        <v>5186</v>
      </c>
      <c r="D432" s="8">
        <v>2.0</v>
      </c>
      <c r="E432" s="8">
        <v>2.0</v>
      </c>
      <c r="F432" s="8" t="s">
        <v>5188</v>
      </c>
      <c r="G432" s="8" t="s">
        <v>1979</v>
      </c>
      <c r="H432" s="16" t="s">
        <v>3116</v>
      </c>
      <c r="I432" s="8" t="str">
        <f>IFERROR(__xludf.DUMMYFUNCTION("IF(OR(TRIM(G432)="""",TRIM(H432)=""""),"""",TEXTJOIN("", "",TRUE,ARRAYFORMULA(TRANSPOSE(TRIM(SPLIT(G432,"","")))&amp;""_""&amp;TRIM(SPLIT(H432,"","")))))"),"Elf_Male, Elf_Female, Human_Male, Human_Female, Orc_Male, Orc_Female")</f>
        <v>Elf_Male, Elf_Female, Human_Male, Human_Female, Orc_Male, Orc_Female</v>
      </c>
      <c r="J432" s="5" t="s">
        <v>4844</v>
      </c>
      <c r="L432" s="12" t="str">
        <f t="shared" si="1"/>
        <v>ModularSMPHair_CE,2,2</v>
      </c>
    </row>
    <row r="433" ht="15.75" customHeight="1">
      <c r="A433" s="16" t="s">
        <v>4836</v>
      </c>
      <c r="B433" s="18"/>
      <c r="C433" s="8" t="s">
        <v>5192</v>
      </c>
      <c r="D433" s="8">
        <v>1.0</v>
      </c>
      <c r="E433" s="8">
        <v>1.0</v>
      </c>
      <c r="F433" s="8" t="s">
        <v>5193</v>
      </c>
      <c r="G433" s="8" t="s">
        <v>1979</v>
      </c>
      <c r="H433" s="16" t="s">
        <v>3116</v>
      </c>
      <c r="I433" s="8" t="str">
        <f>IFERROR(__xludf.DUMMYFUNCTION("IF(OR(TRIM(G433)="""",TRIM(H433)=""""),"""",TEXTJOIN("", "",TRUE,ARRAYFORMULA(TRANSPOSE(TRIM(SPLIT(G433,"","")))&amp;""_""&amp;TRIM(SPLIT(H433,"","")))))"),"Elf_Male, Elf_Female, Human_Male, Human_Female, Orc_Male, Orc_Female")</f>
        <v>Elf_Male, Elf_Female, Human_Male, Human_Female, Orc_Male, Orc_Female</v>
      </c>
      <c r="J433" s="5" t="s">
        <v>4844</v>
      </c>
      <c r="L433" s="12" t="str">
        <f t="shared" si="1"/>
        <v>ModularSMPHair_CF,1,1</v>
      </c>
    </row>
    <row r="434" ht="15.75" customHeight="1">
      <c r="A434" s="16" t="s">
        <v>4836</v>
      </c>
      <c r="B434" s="18"/>
      <c r="C434" s="8" t="s">
        <v>5197</v>
      </c>
      <c r="D434" s="8">
        <v>1.0</v>
      </c>
      <c r="E434" s="8">
        <v>1.0</v>
      </c>
      <c r="F434" s="8" t="s">
        <v>5199</v>
      </c>
      <c r="G434" s="8" t="s">
        <v>1979</v>
      </c>
      <c r="H434" s="16" t="s">
        <v>3116</v>
      </c>
      <c r="I434" s="8" t="str">
        <f>IFERROR(__xludf.DUMMYFUNCTION("IF(OR(TRIM(G434)="""",TRIM(H434)=""""),"""",TEXTJOIN("", "",TRUE,ARRAYFORMULA(TRANSPOSE(TRIM(SPLIT(G434,"","")))&amp;""_""&amp;TRIM(SPLIT(H434,"","")))))"),"Elf_Male, Elf_Female, Human_Male, Human_Female, Orc_Male, Orc_Female")</f>
        <v>Elf_Male, Elf_Female, Human_Male, Human_Female, Orc_Male, Orc_Female</v>
      </c>
      <c r="J434" s="5" t="s">
        <v>4844</v>
      </c>
      <c r="L434" s="12" t="str">
        <f t="shared" si="1"/>
        <v>ModularSMPHair_CG,1,1</v>
      </c>
    </row>
    <row r="435" ht="15.75" customHeight="1">
      <c r="A435" s="16" t="s">
        <v>4836</v>
      </c>
      <c r="B435" s="18"/>
      <c r="C435" s="8" t="s">
        <v>5206</v>
      </c>
      <c r="D435" s="8">
        <v>1.0</v>
      </c>
      <c r="E435" s="8">
        <v>1.0</v>
      </c>
      <c r="F435" s="8" t="s">
        <v>5208</v>
      </c>
      <c r="G435" s="8" t="s">
        <v>1979</v>
      </c>
      <c r="H435" s="16" t="s">
        <v>3116</v>
      </c>
      <c r="I435" s="8" t="str">
        <f>IFERROR(__xludf.DUMMYFUNCTION("IF(OR(TRIM(G435)="""",TRIM(H435)=""""),"""",TEXTJOIN("", "",TRUE,ARRAYFORMULA(TRANSPOSE(TRIM(SPLIT(G435,"","")))&amp;""_""&amp;TRIM(SPLIT(H435,"","")))))"),"Elf_Male, Elf_Female, Human_Male, Human_Female, Orc_Male, Orc_Female")</f>
        <v>Elf_Male, Elf_Female, Human_Male, Human_Female, Orc_Male, Orc_Female</v>
      </c>
      <c r="J435" s="5" t="s">
        <v>4844</v>
      </c>
      <c r="L435" s="12" t="str">
        <f t="shared" si="1"/>
        <v>ModularSMPHair_CI,1,1</v>
      </c>
    </row>
    <row r="436" ht="15.75" customHeight="1">
      <c r="A436" s="16" t="s">
        <v>4836</v>
      </c>
      <c r="B436" s="18"/>
      <c r="C436" s="8" t="s">
        <v>5215</v>
      </c>
      <c r="D436" s="8">
        <v>1.0</v>
      </c>
      <c r="E436" s="8">
        <v>1.0</v>
      </c>
      <c r="F436" s="8" t="s">
        <v>5216</v>
      </c>
      <c r="G436" s="8" t="s">
        <v>1979</v>
      </c>
      <c r="H436" s="16" t="s">
        <v>3116</v>
      </c>
      <c r="I436" s="8" t="str">
        <f>IFERROR(__xludf.DUMMYFUNCTION("IF(OR(TRIM(G436)="""",TRIM(H436)=""""),"""",TEXTJOIN("", "",TRUE,ARRAYFORMULA(TRANSPOSE(TRIM(SPLIT(G436,"","")))&amp;""_""&amp;TRIM(SPLIT(H436,"","")))))"),"Elf_Male, Elf_Female, Human_Male, Human_Female, Orc_Male, Orc_Female")</f>
        <v>Elf_Male, Elf_Female, Human_Male, Human_Female, Orc_Male, Orc_Female</v>
      </c>
      <c r="J436" s="5" t="s">
        <v>4844</v>
      </c>
      <c r="L436" s="12" t="str">
        <f t="shared" si="1"/>
        <v>ModularSMPHair_CJ,1,1</v>
      </c>
    </row>
    <row r="437" ht="15.75" customHeight="1">
      <c r="A437" s="16" t="s">
        <v>4836</v>
      </c>
      <c r="B437" s="18"/>
      <c r="C437" s="8" t="s">
        <v>5224</v>
      </c>
      <c r="D437" s="8">
        <v>1.0</v>
      </c>
      <c r="E437" s="8">
        <v>1.0</v>
      </c>
      <c r="F437" s="8" t="s">
        <v>5225</v>
      </c>
      <c r="G437" s="8" t="s">
        <v>1979</v>
      </c>
      <c r="H437" s="16" t="s">
        <v>3116</v>
      </c>
      <c r="I437" s="8" t="str">
        <f>IFERROR(__xludf.DUMMYFUNCTION("IF(OR(TRIM(G437)="""",TRIM(H437)=""""),"""",TEXTJOIN("", "",TRUE,ARRAYFORMULA(TRANSPOSE(TRIM(SPLIT(G437,"","")))&amp;""_""&amp;TRIM(SPLIT(H437,"","")))))"),"Elf_Male, Elf_Female, Human_Male, Human_Female, Orc_Male, Orc_Female")</f>
        <v>Elf_Male, Elf_Female, Human_Male, Human_Female, Orc_Male, Orc_Female</v>
      </c>
      <c r="J437" s="5" t="s">
        <v>4844</v>
      </c>
      <c r="L437" s="12" t="str">
        <f t="shared" si="1"/>
        <v>ModularSMPHair_CK,1,1</v>
      </c>
    </row>
    <row r="438" ht="15.75" customHeight="1">
      <c r="A438" s="16" t="s">
        <v>4836</v>
      </c>
      <c r="B438" s="18"/>
      <c r="C438" s="8" t="s">
        <v>5232</v>
      </c>
      <c r="D438" s="8">
        <v>1.0</v>
      </c>
      <c r="E438" s="8">
        <v>1.0</v>
      </c>
      <c r="F438" s="8" t="s">
        <v>5233</v>
      </c>
      <c r="G438" s="8" t="s">
        <v>1979</v>
      </c>
      <c r="H438" s="16" t="s">
        <v>3116</v>
      </c>
      <c r="I438" s="8" t="str">
        <f>IFERROR(__xludf.DUMMYFUNCTION("IF(OR(TRIM(G438)="""",TRIM(H438)=""""),"""",TEXTJOIN("", "",TRUE,ARRAYFORMULA(TRANSPOSE(TRIM(SPLIT(G438,"","")))&amp;""_""&amp;TRIM(SPLIT(H438,"","")))))"),"Elf_Male, Elf_Female, Human_Male, Human_Female, Orc_Male, Orc_Female")</f>
        <v>Elf_Male, Elf_Female, Human_Male, Human_Female, Orc_Male, Orc_Female</v>
      </c>
      <c r="J438" s="5" t="s">
        <v>4844</v>
      </c>
      <c r="L438" s="12" t="str">
        <f t="shared" si="1"/>
        <v>ModularSMPHair_CL,1,1</v>
      </c>
    </row>
    <row r="439" ht="15.75" customHeight="1">
      <c r="A439" s="16" t="s">
        <v>4836</v>
      </c>
      <c r="B439" s="18"/>
      <c r="C439" s="8" t="s">
        <v>5241</v>
      </c>
      <c r="D439" s="8">
        <v>1.0</v>
      </c>
      <c r="E439" s="8">
        <v>1.0</v>
      </c>
      <c r="F439" s="8" t="s">
        <v>5244</v>
      </c>
      <c r="G439" s="8" t="s">
        <v>1979</v>
      </c>
      <c r="H439" s="16" t="s">
        <v>3116</v>
      </c>
      <c r="I439" s="8" t="str">
        <f>IFERROR(__xludf.DUMMYFUNCTION("IF(OR(TRIM(G439)="""",TRIM(H439)=""""),"""",TEXTJOIN("", "",TRUE,ARRAYFORMULA(TRANSPOSE(TRIM(SPLIT(G439,"","")))&amp;""_""&amp;TRIM(SPLIT(H439,"","")))))"),"Elf_Male, Elf_Female, Human_Male, Human_Female, Orc_Male, Orc_Female")</f>
        <v>Elf_Male, Elf_Female, Human_Male, Human_Female, Orc_Male, Orc_Female</v>
      </c>
      <c r="J439" s="5" t="s">
        <v>4844</v>
      </c>
      <c r="L439" s="12" t="str">
        <f t="shared" si="1"/>
        <v>ModularSMPHair_CM1,1,1</v>
      </c>
    </row>
    <row r="440" ht="15.75" customHeight="1">
      <c r="A440" s="16" t="s">
        <v>4836</v>
      </c>
      <c r="B440" s="18"/>
      <c r="C440" s="8" t="s">
        <v>5251</v>
      </c>
      <c r="D440" s="8">
        <v>1.0</v>
      </c>
      <c r="E440" s="8">
        <v>1.0</v>
      </c>
      <c r="F440" s="8" t="s">
        <v>5252</v>
      </c>
      <c r="G440" s="8" t="s">
        <v>1979</v>
      </c>
      <c r="H440" s="16" t="s">
        <v>3116</v>
      </c>
      <c r="I440" s="8" t="str">
        <f>IFERROR(__xludf.DUMMYFUNCTION("IF(OR(TRIM(G440)="""",TRIM(H440)=""""),"""",TEXTJOIN("", "",TRUE,ARRAYFORMULA(TRANSPOSE(TRIM(SPLIT(G440,"","")))&amp;""_""&amp;TRIM(SPLIT(H440,"","")))))"),"Elf_Male, Elf_Female, Human_Male, Human_Female, Orc_Male, Orc_Female")</f>
        <v>Elf_Male, Elf_Female, Human_Male, Human_Female, Orc_Male, Orc_Female</v>
      </c>
      <c r="J440" s="5" t="s">
        <v>4844</v>
      </c>
      <c r="L440" s="12" t="str">
        <f t="shared" si="1"/>
        <v>ModularSMPHair_CM2,1,1</v>
      </c>
    </row>
    <row r="441" ht="15.75" customHeight="1">
      <c r="A441" s="16" t="s">
        <v>4836</v>
      </c>
      <c r="B441" s="18"/>
      <c r="C441" s="8" t="s">
        <v>5260</v>
      </c>
      <c r="D441" s="8">
        <v>1.0</v>
      </c>
      <c r="E441" s="8">
        <v>1.0</v>
      </c>
      <c r="F441" s="8" t="s">
        <v>5263</v>
      </c>
      <c r="G441" s="8" t="s">
        <v>3450</v>
      </c>
      <c r="H441" s="16" t="s">
        <v>3116</v>
      </c>
      <c r="I441" s="8" t="str">
        <f>IFERROR(__xludf.DUMMYFUNCTION("IF(OR(TRIM(G441)="""",TRIM(H441)=""""),"""",TEXTJOIN("", "",TRUE,ARRAYFORMULA(TRANSPOSE(TRIM(SPLIT(G441,"","")))&amp;""_""&amp;TRIM(SPLIT(H441,"","")))))"),"Elf_Male, Elf_Female, Human_Male, Human_Female, Orc_Male, Orc_Female, Khajiit_Male, Khajiit_Female")</f>
        <v>Elf_Male, Elf_Female, Human_Male, Human_Female, Orc_Male, Orc_Female, Khajiit_Male, Khajiit_Female</v>
      </c>
      <c r="J441" s="5" t="s">
        <v>4844</v>
      </c>
      <c r="L441" s="12" t="str">
        <f t="shared" si="1"/>
        <v>ModularSMPHair_D,1,1</v>
      </c>
    </row>
    <row r="442" ht="15.75" customHeight="1">
      <c r="A442" s="16" t="s">
        <v>4836</v>
      </c>
      <c r="B442" s="18"/>
      <c r="C442" s="8" t="s">
        <v>5272</v>
      </c>
      <c r="D442" s="8">
        <v>2.0</v>
      </c>
      <c r="E442" s="8">
        <v>2.0</v>
      </c>
      <c r="F442" s="8" t="s">
        <v>5273</v>
      </c>
      <c r="G442" s="8" t="s">
        <v>1979</v>
      </c>
      <c r="H442" s="16" t="s">
        <v>3116</v>
      </c>
      <c r="I442" s="8" t="str">
        <f>IFERROR(__xludf.DUMMYFUNCTION("IF(OR(TRIM(G442)="""",TRIM(H442)=""""),"""",TEXTJOIN("", "",TRUE,ARRAYFORMULA(TRANSPOSE(TRIM(SPLIT(G442,"","")))&amp;""_""&amp;TRIM(SPLIT(H442,"","")))))"),"Elf_Male, Elf_Female, Human_Male, Human_Female, Orc_Male, Orc_Female")</f>
        <v>Elf_Male, Elf_Female, Human_Male, Human_Female, Orc_Male, Orc_Female</v>
      </c>
      <c r="J442" s="5" t="s">
        <v>4844</v>
      </c>
      <c r="L442" s="12" t="str">
        <f t="shared" si="1"/>
        <v>ModularSMPHair_DB,2,2</v>
      </c>
    </row>
    <row r="443" ht="15.75" customHeight="1">
      <c r="A443" s="16" t="s">
        <v>4836</v>
      </c>
      <c r="B443" s="18"/>
      <c r="C443" s="8" t="s">
        <v>5280</v>
      </c>
      <c r="D443" s="8">
        <v>1.0</v>
      </c>
      <c r="E443" s="8">
        <v>1.0</v>
      </c>
      <c r="F443" s="8" t="s">
        <v>5281</v>
      </c>
      <c r="G443" s="8" t="s">
        <v>1979</v>
      </c>
      <c r="H443" s="16" t="s">
        <v>3116</v>
      </c>
      <c r="I443" s="8" t="str">
        <f>IFERROR(__xludf.DUMMYFUNCTION("IF(OR(TRIM(G443)="""",TRIM(H443)=""""),"""",TEXTJOIN("", "",TRUE,ARRAYFORMULA(TRANSPOSE(TRIM(SPLIT(G443,"","")))&amp;""_""&amp;TRIM(SPLIT(H443,"","")))))"),"Elf_Male, Elf_Female, Human_Male, Human_Female, Orc_Male, Orc_Female")</f>
        <v>Elf_Male, Elf_Female, Human_Male, Human_Female, Orc_Male, Orc_Female</v>
      </c>
      <c r="J443" s="5" t="s">
        <v>4844</v>
      </c>
      <c r="L443" s="12" t="str">
        <f t="shared" si="1"/>
        <v>ModularSMPHair_DC,1,1</v>
      </c>
    </row>
    <row r="444" ht="15.75" customHeight="1">
      <c r="A444" s="16" t="s">
        <v>4836</v>
      </c>
      <c r="B444" s="18"/>
      <c r="C444" s="8" t="s">
        <v>5287</v>
      </c>
      <c r="D444" s="8">
        <v>2.0</v>
      </c>
      <c r="E444" s="8">
        <v>2.0</v>
      </c>
      <c r="F444" s="8" t="s">
        <v>5290</v>
      </c>
      <c r="G444" s="8" t="s">
        <v>1979</v>
      </c>
      <c r="H444" s="16" t="s">
        <v>3116</v>
      </c>
      <c r="I444" s="8" t="str">
        <f>IFERROR(__xludf.DUMMYFUNCTION("IF(OR(TRIM(G444)="""",TRIM(H444)=""""),"""",TEXTJOIN("", "",TRUE,ARRAYFORMULA(TRANSPOSE(TRIM(SPLIT(G444,"","")))&amp;""_""&amp;TRIM(SPLIT(H444,"","")))))"),"Elf_Male, Elf_Female, Human_Male, Human_Female, Orc_Male, Orc_Female")</f>
        <v>Elf_Male, Elf_Female, Human_Male, Human_Female, Orc_Male, Orc_Female</v>
      </c>
      <c r="J444" s="5" t="s">
        <v>4844</v>
      </c>
      <c r="L444" s="12" t="str">
        <f t="shared" si="1"/>
        <v>ModularSMPHair_DE,2,2</v>
      </c>
    </row>
    <row r="445" ht="15.75" customHeight="1">
      <c r="A445" s="16" t="s">
        <v>4836</v>
      </c>
      <c r="B445" s="18"/>
      <c r="C445" s="8" t="s">
        <v>5295</v>
      </c>
      <c r="D445" s="8">
        <v>1.0</v>
      </c>
      <c r="E445" s="8">
        <v>1.0</v>
      </c>
      <c r="F445" s="8" t="s">
        <v>5296</v>
      </c>
      <c r="G445" s="8" t="s">
        <v>1979</v>
      </c>
      <c r="H445" s="16" t="s">
        <v>3116</v>
      </c>
      <c r="I445" s="8" t="str">
        <f>IFERROR(__xludf.DUMMYFUNCTION("IF(OR(TRIM(G445)="""",TRIM(H445)=""""),"""",TEXTJOIN("", "",TRUE,ARRAYFORMULA(TRANSPOSE(TRIM(SPLIT(G445,"","")))&amp;""_""&amp;TRIM(SPLIT(H445,"","")))))"),"Elf_Male, Elf_Female, Human_Male, Human_Female, Orc_Male, Orc_Female")</f>
        <v>Elf_Male, Elf_Female, Human_Male, Human_Female, Orc_Male, Orc_Female</v>
      </c>
      <c r="J445" s="5" t="s">
        <v>4844</v>
      </c>
      <c r="L445" s="12" t="str">
        <f t="shared" si="1"/>
        <v>ModularSMPHair_DF,1,1</v>
      </c>
    </row>
    <row r="446" ht="15.75" customHeight="1">
      <c r="A446" s="16" t="s">
        <v>4836</v>
      </c>
      <c r="B446" s="18"/>
      <c r="C446" s="8" t="s">
        <v>5302</v>
      </c>
      <c r="D446" s="8">
        <v>1.0</v>
      </c>
      <c r="E446" s="8">
        <v>1.0</v>
      </c>
      <c r="F446" s="8" t="s">
        <v>5304</v>
      </c>
      <c r="G446" s="8" t="s">
        <v>1979</v>
      </c>
      <c r="H446" s="16" t="s">
        <v>3116</v>
      </c>
      <c r="I446" s="8" t="str">
        <f>IFERROR(__xludf.DUMMYFUNCTION("IF(OR(TRIM(G446)="""",TRIM(H446)=""""),"""",TEXTJOIN("", "",TRUE,ARRAYFORMULA(TRANSPOSE(TRIM(SPLIT(G446,"","")))&amp;""_""&amp;TRIM(SPLIT(H446,"","")))))"),"Elf_Male, Elf_Female, Human_Male, Human_Female, Orc_Male, Orc_Female")</f>
        <v>Elf_Male, Elf_Female, Human_Male, Human_Female, Orc_Male, Orc_Female</v>
      </c>
      <c r="J446" s="5" t="s">
        <v>4844</v>
      </c>
      <c r="L446" s="12" t="str">
        <f t="shared" si="1"/>
        <v>ModularSMPHair_DG,1,1</v>
      </c>
    </row>
    <row r="447" ht="15.75" customHeight="1">
      <c r="A447" s="16" t="s">
        <v>4836</v>
      </c>
      <c r="B447" s="18"/>
      <c r="C447" s="8" t="s">
        <v>5308</v>
      </c>
      <c r="D447" s="8">
        <v>1.0</v>
      </c>
      <c r="E447" s="8">
        <v>1.0</v>
      </c>
      <c r="F447" s="8" t="s">
        <v>5309</v>
      </c>
      <c r="G447" s="8" t="s">
        <v>1979</v>
      </c>
      <c r="H447" s="16" t="s">
        <v>3116</v>
      </c>
      <c r="I447" s="8" t="str">
        <f>IFERROR(__xludf.DUMMYFUNCTION("IF(OR(TRIM(G447)="""",TRIM(H447)=""""),"""",TEXTJOIN("", "",TRUE,ARRAYFORMULA(TRANSPOSE(TRIM(SPLIT(G447,"","")))&amp;""_""&amp;TRIM(SPLIT(H447,"","")))))"),"Elf_Male, Elf_Female, Human_Male, Human_Female, Orc_Male, Orc_Female")</f>
        <v>Elf_Male, Elf_Female, Human_Male, Human_Female, Orc_Male, Orc_Female</v>
      </c>
      <c r="J447" s="5" t="s">
        <v>4844</v>
      </c>
      <c r="L447" s="12" t="str">
        <f t="shared" si="1"/>
        <v>ModularSMPHair_DH,1,1</v>
      </c>
    </row>
    <row r="448" ht="15.75" customHeight="1">
      <c r="A448" s="16" t="s">
        <v>4836</v>
      </c>
      <c r="B448" s="18"/>
      <c r="C448" s="8" t="s">
        <v>5312</v>
      </c>
      <c r="D448" s="8">
        <v>1.0</v>
      </c>
      <c r="E448" s="8">
        <v>1.0</v>
      </c>
      <c r="F448" s="8" t="s">
        <v>5314</v>
      </c>
      <c r="G448" s="8" t="s">
        <v>1979</v>
      </c>
      <c r="H448" s="16" t="s">
        <v>3116</v>
      </c>
      <c r="I448" s="8" t="str">
        <f>IFERROR(__xludf.DUMMYFUNCTION("IF(OR(TRIM(G448)="""",TRIM(H448)=""""),"""",TEXTJOIN("", "",TRUE,ARRAYFORMULA(TRANSPOSE(TRIM(SPLIT(G448,"","")))&amp;""_""&amp;TRIM(SPLIT(H448,"","")))))"),"Elf_Male, Elf_Female, Human_Male, Human_Female, Orc_Male, Orc_Female")</f>
        <v>Elf_Male, Elf_Female, Human_Male, Human_Female, Orc_Male, Orc_Female</v>
      </c>
      <c r="J448" s="5" t="s">
        <v>4844</v>
      </c>
      <c r="L448" s="12" t="str">
        <f t="shared" si="1"/>
        <v>ModularSMPHair_DI,1,1</v>
      </c>
    </row>
    <row r="449" ht="15.75" customHeight="1">
      <c r="A449" s="16" t="s">
        <v>4836</v>
      </c>
      <c r="B449" s="18"/>
      <c r="C449" s="8" t="s">
        <v>5318</v>
      </c>
      <c r="D449" s="8">
        <v>1.0</v>
      </c>
      <c r="E449" s="8">
        <v>1.0</v>
      </c>
      <c r="F449" s="8" t="s">
        <v>5320</v>
      </c>
      <c r="G449" s="8" t="s">
        <v>1979</v>
      </c>
      <c r="H449" s="16" t="s">
        <v>3116</v>
      </c>
      <c r="I449" s="8" t="str">
        <f>IFERROR(__xludf.DUMMYFUNCTION("IF(OR(TRIM(G449)="""",TRIM(H449)=""""),"""",TEXTJOIN("", "",TRUE,ARRAYFORMULA(TRANSPOSE(TRIM(SPLIT(G449,"","")))&amp;""_""&amp;TRIM(SPLIT(H449,"","")))))"),"Elf_Male, Elf_Female, Human_Male, Human_Female, Orc_Male, Orc_Female")</f>
        <v>Elf_Male, Elf_Female, Human_Male, Human_Female, Orc_Male, Orc_Female</v>
      </c>
      <c r="J449" s="5" t="s">
        <v>4844</v>
      </c>
      <c r="L449" s="12" t="str">
        <f t="shared" si="1"/>
        <v>ModularSMPHair_DJ,1,1</v>
      </c>
    </row>
    <row r="450" ht="15.75" customHeight="1">
      <c r="A450" s="16" t="s">
        <v>4836</v>
      </c>
      <c r="B450" s="18"/>
      <c r="C450" s="8" t="s">
        <v>5326</v>
      </c>
      <c r="D450" s="8">
        <v>1.0</v>
      </c>
      <c r="E450" s="8">
        <v>1.0</v>
      </c>
      <c r="F450" s="8" t="s">
        <v>5328</v>
      </c>
      <c r="G450" s="8" t="s">
        <v>1979</v>
      </c>
      <c r="H450" s="16" t="s">
        <v>3116</v>
      </c>
      <c r="I450" s="8" t="str">
        <f>IFERROR(__xludf.DUMMYFUNCTION("IF(OR(TRIM(G450)="""",TRIM(H450)=""""),"""",TEXTJOIN("", "",TRUE,ARRAYFORMULA(TRANSPOSE(TRIM(SPLIT(G450,"","")))&amp;""_""&amp;TRIM(SPLIT(H450,"","")))))"),"Elf_Male, Elf_Female, Human_Male, Human_Female, Orc_Male, Orc_Female")</f>
        <v>Elf_Male, Elf_Female, Human_Male, Human_Female, Orc_Male, Orc_Female</v>
      </c>
      <c r="J450" s="5" t="s">
        <v>4844</v>
      </c>
      <c r="L450" s="12" t="str">
        <f t="shared" si="1"/>
        <v>ModularSMPHair_DK,1,1</v>
      </c>
    </row>
    <row r="451" ht="15.75" customHeight="1">
      <c r="A451" s="16" t="s">
        <v>4836</v>
      </c>
      <c r="B451" s="18"/>
      <c r="C451" s="8" t="s">
        <v>5335</v>
      </c>
      <c r="D451" s="8">
        <v>1.0</v>
      </c>
      <c r="E451" s="8">
        <v>1.0</v>
      </c>
      <c r="F451" s="8" t="s">
        <v>5337</v>
      </c>
      <c r="G451" s="8" t="s">
        <v>1979</v>
      </c>
      <c r="H451" s="16" t="s">
        <v>3116</v>
      </c>
      <c r="I451" s="8" t="str">
        <f>IFERROR(__xludf.DUMMYFUNCTION("IF(OR(TRIM(G451)="""",TRIM(H451)=""""),"""",TEXTJOIN("", "",TRUE,ARRAYFORMULA(TRANSPOSE(TRIM(SPLIT(G451,"","")))&amp;""_""&amp;TRIM(SPLIT(H451,"","")))))"),"Elf_Male, Elf_Female, Human_Male, Human_Female, Orc_Male, Orc_Female")</f>
        <v>Elf_Male, Elf_Female, Human_Male, Human_Female, Orc_Male, Orc_Female</v>
      </c>
      <c r="J451" s="5" t="s">
        <v>4844</v>
      </c>
      <c r="L451" s="12" t="str">
        <f t="shared" si="1"/>
        <v>ModularSMPHair_DL,1,1</v>
      </c>
    </row>
    <row r="452" ht="15.75" customHeight="1">
      <c r="A452" s="16" t="s">
        <v>4836</v>
      </c>
      <c r="B452" s="18"/>
      <c r="C452" s="8" t="s">
        <v>5348</v>
      </c>
      <c r="D452" s="8">
        <v>1.0</v>
      </c>
      <c r="E452" s="8">
        <v>1.0</v>
      </c>
      <c r="F452" s="8" t="s">
        <v>5349</v>
      </c>
      <c r="G452" s="8" t="s">
        <v>1979</v>
      </c>
      <c r="H452" s="16" t="s">
        <v>3116</v>
      </c>
      <c r="I452" s="8" t="str">
        <f>IFERROR(__xludf.DUMMYFUNCTION("IF(OR(TRIM(G452)="""",TRIM(H452)=""""),"""",TEXTJOIN("", "",TRUE,ARRAYFORMULA(TRANSPOSE(TRIM(SPLIT(G452,"","")))&amp;""_""&amp;TRIM(SPLIT(H452,"","")))))"),"Elf_Male, Elf_Female, Human_Male, Human_Female, Orc_Male, Orc_Female")</f>
        <v>Elf_Male, Elf_Female, Human_Male, Human_Female, Orc_Male, Orc_Female</v>
      </c>
      <c r="J452" s="5" t="s">
        <v>4844</v>
      </c>
      <c r="L452" s="12" t="str">
        <f t="shared" si="1"/>
        <v>ModularSMPHair_DM1,1,1</v>
      </c>
    </row>
    <row r="453" ht="15.75" customHeight="1">
      <c r="A453" s="16" t="s">
        <v>4836</v>
      </c>
      <c r="B453" s="18"/>
      <c r="C453" s="8" t="s">
        <v>5352</v>
      </c>
      <c r="D453" s="8">
        <v>1.0</v>
      </c>
      <c r="E453" s="8">
        <v>1.0</v>
      </c>
      <c r="F453" s="8" t="s">
        <v>5354</v>
      </c>
      <c r="G453" s="8" t="s">
        <v>1979</v>
      </c>
      <c r="H453" s="16" t="s">
        <v>3116</v>
      </c>
      <c r="I453" s="8" t="str">
        <f>IFERROR(__xludf.DUMMYFUNCTION("IF(OR(TRIM(G453)="""",TRIM(H453)=""""),"""",TEXTJOIN("", "",TRUE,ARRAYFORMULA(TRANSPOSE(TRIM(SPLIT(G453,"","")))&amp;""_""&amp;TRIM(SPLIT(H453,"","")))))"),"Elf_Male, Elf_Female, Human_Male, Human_Female, Orc_Male, Orc_Female")</f>
        <v>Elf_Male, Elf_Female, Human_Male, Human_Female, Orc_Male, Orc_Female</v>
      </c>
      <c r="J453" s="5" t="s">
        <v>4844</v>
      </c>
      <c r="L453" s="12" t="str">
        <f t="shared" si="1"/>
        <v>ModularSMPHair_DM2,1,1</v>
      </c>
    </row>
    <row r="454" ht="15.75" customHeight="1">
      <c r="A454" s="16" t="s">
        <v>4836</v>
      </c>
      <c r="B454" s="18"/>
      <c r="C454" s="8" t="s">
        <v>5360</v>
      </c>
      <c r="D454" s="8">
        <v>1.0</v>
      </c>
      <c r="E454" s="8">
        <v>1.0</v>
      </c>
      <c r="F454" s="8" t="s">
        <v>5362</v>
      </c>
      <c r="G454" s="8" t="s">
        <v>3450</v>
      </c>
      <c r="H454" s="16" t="s">
        <v>3116</v>
      </c>
      <c r="I454" s="8" t="str">
        <f>IFERROR(__xludf.DUMMYFUNCTION("IF(OR(TRIM(G454)="""",TRIM(H454)=""""),"""",TEXTJOIN("", "",TRUE,ARRAYFORMULA(TRANSPOSE(TRIM(SPLIT(G454,"","")))&amp;""_""&amp;TRIM(SPLIT(H454,"","")))))"),"Elf_Male, Elf_Female, Human_Male, Human_Female, Orc_Male, Orc_Female, Khajiit_Male, Khajiit_Female")</f>
        <v>Elf_Male, Elf_Female, Human_Male, Human_Female, Orc_Male, Orc_Female, Khajiit_Male, Khajiit_Female</v>
      </c>
      <c r="J454" s="5" t="s">
        <v>4844</v>
      </c>
      <c r="L454" s="12" t="str">
        <f t="shared" si="1"/>
        <v>ModularSMPHair_E,1,1</v>
      </c>
    </row>
    <row r="455" ht="15.75" customHeight="1">
      <c r="A455" s="16" t="s">
        <v>4836</v>
      </c>
      <c r="B455" s="18"/>
      <c r="C455" s="8" t="s">
        <v>5369</v>
      </c>
      <c r="D455" s="8">
        <v>2.0</v>
      </c>
      <c r="E455" s="8">
        <v>2.0</v>
      </c>
      <c r="F455" s="8" t="s">
        <v>5370</v>
      </c>
      <c r="G455" s="8" t="s">
        <v>1979</v>
      </c>
      <c r="H455" s="16" t="s">
        <v>3116</v>
      </c>
      <c r="I455" s="8" t="str">
        <f>IFERROR(__xludf.DUMMYFUNCTION("IF(OR(TRIM(G455)="""",TRIM(H455)=""""),"""",TEXTJOIN("", "",TRUE,ARRAYFORMULA(TRANSPOSE(TRIM(SPLIT(G455,"","")))&amp;""_""&amp;TRIM(SPLIT(H455,"","")))))"),"Elf_Male, Elf_Female, Human_Male, Human_Female, Orc_Male, Orc_Female")</f>
        <v>Elf_Male, Elf_Female, Human_Male, Human_Female, Orc_Male, Orc_Female</v>
      </c>
      <c r="J455" s="5" t="s">
        <v>4844</v>
      </c>
      <c r="L455" s="12" t="str">
        <f t="shared" si="1"/>
        <v>ModularSMPHair_EB,2,2</v>
      </c>
    </row>
    <row r="456" ht="15.75" customHeight="1">
      <c r="A456" s="16" t="s">
        <v>4836</v>
      </c>
      <c r="B456" s="18"/>
      <c r="C456" s="8" t="s">
        <v>5375</v>
      </c>
      <c r="D456" s="8">
        <v>1.0</v>
      </c>
      <c r="E456" s="8">
        <v>1.0</v>
      </c>
      <c r="F456" s="8" t="s">
        <v>5382</v>
      </c>
      <c r="G456" s="8" t="s">
        <v>1979</v>
      </c>
      <c r="H456" s="16" t="s">
        <v>3116</v>
      </c>
      <c r="I456" s="8" t="str">
        <f>IFERROR(__xludf.DUMMYFUNCTION("IF(OR(TRIM(G456)="""",TRIM(H456)=""""),"""",TEXTJOIN("", "",TRUE,ARRAYFORMULA(TRANSPOSE(TRIM(SPLIT(G456,"","")))&amp;""_""&amp;TRIM(SPLIT(H456,"","")))))"),"Elf_Male, Elf_Female, Human_Male, Human_Female, Orc_Male, Orc_Female")</f>
        <v>Elf_Male, Elf_Female, Human_Male, Human_Female, Orc_Male, Orc_Female</v>
      </c>
      <c r="J456" s="5" t="s">
        <v>4844</v>
      </c>
      <c r="L456" s="12" t="str">
        <f t="shared" si="1"/>
        <v>ModularSMPHair_EC,1,1</v>
      </c>
    </row>
    <row r="457" ht="15.75" customHeight="1">
      <c r="A457" s="16" t="s">
        <v>4836</v>
      </c>
      <c r="B457" s="18"/>
      <c r="C457" s="8" t="s">
        <v>5388</v>
      </c>
      <c r="D457" s="8">
        <v>2.0</v>
      </c>
      <c r="E457" s="8">
        <v>2.0</v>
      </c>
      <c r="F457" s="8" t="s">
        <v>5389</v>
      </c>
      <c r="G457" s="8" t="s">
        <v>1979</v>
      </c>
      <c r="H457" s="16" t="s">
        <v>3116</v>
      </c>
      <c r="I457" s="8" t="str">
        <f>IFERROR(__xludf.DUMMYFUNCTION("IF(OR(TRIM(G457)="""",TRIM(H457)=""""),"""",TEXTJOIN("", "",TRUE,ARRAYFORMULA(TRANSPOSE(TRIM(SPLIT(G457,"","")))&amp;""_""&amp;TRIM(SPLIT(H457,"","")))))"),"Elf_Male, Elf_Female, Human_Male, Human_Female, Orc_Male, Orc_Female")</f>
        <v>Elf_Male, Elf_Female, Human_Male, Human_Female, Orc_Male, Orc_Female</v>
      </c>
      <c r="J457" s="5" t="s">
        <v>4844</v>
      </c>
      <c r="L457" s="12" t="str">
        <f t="shared" si="1"/>
        <v>ModularSMPHair_EE,2,2</v>
      </c>
    </row>
    <row r="458" ht="15.75" customHeight="1">
      <c r="A458" s="16" t="s">
        <v>4836</v>
      </c>
      <c r="B458" s="18"/>
      <c r="C458" s="8" t="s">
        <v>5396</v>
      </c>
      <c r="D458" s="8">
        <v>1.0</v>
      </c>
      <c r="E458" s="8">
        <v>1.0</v>
      </c>
      <c r="F458" s="8" t="s">
        <v>5398</v>
      </c>
      <c r="G458" s="8" t="s">
        <v>1979</v>
      </c>
      <c r="H458" s="16" t="s">
        <v>3116</v>
      </c>
      <c r="I458" s="8" t="str">
        <f>IFERROR(__xludf.DUMMYFUNCTION("IF(OR(TRIM(G458)="""",TRIM(H458)=""""),"""",TEXTJOIN("", "",TRUE,ARRAYFORMULA(TRANSPOSE(TRIM(SPLIT(G458,"","")))&amp;""_""&amp;TRIM(SPLIT(H458,"","")))))"),"Elf_Male, Elf_Female, Human_Male, Human_Female, Orc_Male, Orc_Female")</f>
        <v>Elf_Male, Elf_Female, Human_Male, Human_Female, Orc_Male, Orc_Female</v>
      </c>
      <c r="J458" s="5" t="s">
        <v>4844</v>
      </c>
      <c r="L458" s="12" t="str">
        <f t="shared" si="1"/>
        <v>ModularSMPHair_EF,1,1</v>
      </c>
    </row>
    <row r="459" ht="15.75" customHeight="1">
      <c r="A459" s="16" t="s">
        <v>4836</v>
      </c>
      <c r="B459" s="18"/>
      <c r="C459" s="8" t="s">
        <v>5406</v>
      </c>
      <c r="D459" s="8">
        <v>1.0</v>
      </c>
      <c r="E459" s="8">
        <v>1.0</v>
      </c>
      <c r="F459" s="8" t="s">
        <v>5408</v>
      </c>
      <c r="G459" s="8" t="s">
        <v>1979</v>
      </c>
      <c r="H459" s="16" t="s">
        <v>3116</v>
      </c>
      <c r="I459" s="8" t="str">
        <f>IFERROR(__xludf.DUMMYFUNCTION("IF(OR(TRIM(G459)="""",TRIM(H459)=""""),"""",TEXTJOIN("", "",TRUE,ARRAYFORMULA(TRANSPOSE(TRIM(SPLIT(G459,"","")))&amp;""_""&amp;TRIM(SPLIT(H459,"","")))))"),"Elf_Male, Elf_Female, Human_Male, Human_Female, Orc_Male, Orc_Female")</f>
        <v>Elf_Male, Elf_Female, Human_Male, Human_Female, Orc_Male, Orc_Female</v>
      </c>
      <c r="J459" s="5" t="s">
        <v>4844</v>
      </c>
      <c r="L459" s="12" t="str">
        <f t="shared" si="1"/>
        <v>ModularSMPHair_EG,1,1</v>
      </c>
    </row>
    <row r="460" ht="15.75" customHeight="1">
      <c r="A460" s="16" t="s">
        <v>4836</v>
      </c>
      <c r="B460" s="18"/>
      <c r="C460" s="8" t="s">
        <v>5416</v>
      </c>
      <c r="D460" s="8">
        <v>1.0</v>
      </c>
      <c r="E460" s="8">
        <v>1.0</v>
      </c>
      <c r="F460" s="8" t="s">
        <v>5418</v>
      </c>
      <c r="G460" s="8" t="s">
        <v>1979</v>
      </c>
      <c r="H460" s="16" t="s">
        <v>3116</v>
      </c>
      <c r="I460" s="8" t="str">
        <f>IFERROR(__xludf.DUMMYFUNCTION("IF(OR(TRIM(G460)="""",TRIM(H460)=""""),"""",TEXTJOIN("", "",TRUE,ARRAYFORMULA(TRANSPOSE(TRIM(SPLIT(G460,"","")))&amp;""_""&amp;TRIM(SPLIT(H460,"","")))))"),"Elf_Male, Elf_Female, Human_Male, Human_Female, Orc_Male, Orc_Female")</f>
        <v>Elf_Male, Elf_Female, Human_Male, Human_Female, Orc_Male, Orc_Female</v>
      </c>
      <c r="J460" s="5" t="s">
        <v>4844</v>
      </c>
      <c r="L460" s="12" t="str">
        <f t="shared" si="1"/>
        <v>ModularSMPHair_EH,1,1</v>
      </c>
    </row>
    <row r="461" ht="15.75" customHeight="1">
      <c r="A461" s="16" t="s">
        <v>4836</v>
      </c>
      <c r="B461" s="18"/>
      <c r="C461" s="8" t="s">
        <v>5427</v>
      </c>
      <c r="D461" s="8">
        <v>1.0</v>
      </c>
      <c r="E461" s="8">
        <v>1.0</v>
      </c>
      <c r="F461" s="8" t="s">
        <v>5429</v>
      </c>
      <c r="G461" s="8" t="s">
        <v>1979</v>
      </c>
      <c r="H461" s="16" t="s">
        <v>3116</v>
      </c>
      <c r="I461" s="8" t="str">
        <f>IFERROR(__xludf.DUMMYFUNCTION("IF(OR(TRIM(G461)="""",TRIM(H461)=""""),"""",TEXTJOIN("", "",TRUE,ARRAYFORMULA(TRANSPOSE(TRIM(SPLIT(G461,"","")))&amp;""_""&amp;TRIM(SPLIT(H461,"","")))))"),"Elf_Male, Elf_Female, Human_Male, Human_Female, Orc_Male, Orc_Female")</f>
        <v>Elf_Male, Elf_Female, Human_Male, Human_Female, Orc_Male, Orc_Female</v>
      </c>
      <c r="J461" s="5" t="s">
        <v>4844</v>
      </c>
      <c r="L461" s="12" t="str">
        <f t="shared" si="1"/>
        <v>ModularSMPHair_EI,1,1</v>
      </c>
    </row>
    <row r="462" ht="15.75" customHeight="1">
      <c r="A462" s="16" t="s">
        <v>4836</v>
      </c>
      <c r="B462" s="18"/>
      <c r="C462" s="8" t="s">
        <v>5436</v>
      </c>
      <c r="D462" s="8">
        <v>1.0</v>
      </c>
      <c r="E462" s="8">
        <v>1.0</v>
      </c>
      <c r="F462" s="8" t="s">
        <v>5437</v>
      </c>
      <c r="G462" s="8" t="s">
        <v>1979</v>
      </c>
      <c r="H462" s="16" t="s">
        <v>3116</v>
      </c>
      <c r="I462" s="8" t="str">
        <f>IFERROR(__xludf.DUMMYFUNCTION("IF(OR(TRIM(G462)="""",TRIM(H462)=""""),"""",TEXTJOIN("", "",TRUE,ARRAYFORMULA(TRANSPOSE(TRIM(SPLIT(G462,"","")))&amp;""_""&amp;TRIM(SPLIT(H462,"","")))))"),"Elf_Male, Elf_Female, Human_Male, Human_Female, Orc_Male, Orc_Female")</f>
        <v>Elf_Male, Elf_Female, Human_Male, Human_Female, Orc_Male, Orc_Female</v>
      </c>
      <c r="J462" s="5" t="s">
        <v>4844</v>
      </c>
      <c r="L462" s="12" t="str">
        <f t="shared" si="1"/>
        <v>ModularSMPHair_EJ,1,1</v>
      </c>
    </row>
    <row r="463" ht="15.75" customHeight="1">
      <c r="A463" s="16" t="s">
        <v>4836</v>
      </c>
      <c r="B463" s="18"/>
      <c r="C463" s="8" t="s">
        <v>5444</v>
      </c>
      <c r="D463" s="8">
        <v>1.0</v>
      </c>
      <c r="E463" s="8">
        <v>1.0</v>
      </c>
      <c r="F463" s="8" t="s">
        <v>5446</v>
      </c>
      <c r="G463" s="8" t="s">
        <v>1979</v>
      </c>
      <c r="H463" s="16" t="s">
        <v>3116</v>
      </c>
      <c r="I463" s="8" t="str">
        <f>IFERROR(__xludf.DUMMYFUNCTION("IF(OR(TRIM(G463)="""",TRIM(H463)=""""),"""",TEXTJOIN("", "",TRUE,ARRAYFORMULA(TRANSPOSE(TRIM(SPLIT(G463,"","")))&amp;""_""&amp;TRIM(SPLIT(H463,"","")))))"),"Elf_Male, Elf_Female, Human_Male, Human_Female, Orc_Male, Orc_Female")</f>
        <v>Elf_Male, Elf_Female, Human_Male, Human_Female, Orc_Male, Orc_Female</v>
      </c>
      <c r="J463" s="5" t="s">
        <v>4844</v>
      </c>
      <c r="L463" s="12" t="str">
        <f t="shared" si="1"/>
        <v>ModularSMPHair_EK,1,1</v>
      </c>
    </row>
    <row r="464" ht="15.75" customHeight="1">
      <c r="A464" s="16" t="s">
        <v>4836</v>
      </c>
      <c r="B464" s="18"/>
      <c r="C464" s="8" t="s">
        <v>5453</v>
      </c>
      <c r="D464" s="8">
        <v>1.0</v>
      </c>
      <c r="E464" s="8">
        <v>1.0</v>
      </c>
      <c r="F464" s="8" t="s">
        <v>5454</v>
      </c>
      <c r="G464" s="8" t="s">
        <v>1979</v>
      </c>
      <c r="H464" s="16" t="s">
        <v>3116</v>
      </c>
      <c r="I464" s="8" t="str">
        <f>IFERROR(__xludf.DUMMYFUNCTION("IF(OR(TRIM(G464)="""",TRIM(H464)=""""),"""",TEXTJOIN("", "",TRUE,ARRAYFORMULA(TRANSPOSE(TRIM(SPLIT(G464,"","")))&amp;""_""&amp;TRIM(SPLIT(H464,"","")))))"),"Elf_Male, Elf_Female, Human_Male, Human_Female, Orc_Male, Orc_Female")</f>
        <v>Elf_Male, Elf_Female, Human_Male, Human_Female, Orc_Male, Orc_Female</v>
      </c>
      <c r="J464" s="5" t="s">
        <v>4844</v>
      </c>
      <c r="L464" s="12" t="str">
        <f t="shared" si="1"/>
        <v>ModularSMPHair_EL,1,1</v>
      </c>
    </row>
    <row r="465" ht="15.75" customHeight="1">
      <c r="A465" s="16" t="s">
        <v>4836</v>
      </c>
      <c r="B465" s="18"/>
      <c r="C465" s="8" t="s">
        <v>5461</v>
      </c>
      <c r="D465" s="8">
        <v>1.0</v>
      </c>
      <c r="E465" s="8">
        <v>1.0</v>
      </c>
      <c r="F465" s="8" t="s">
        <v>5464</v>
      </c>
      <c r="G465" s="8" t="s">
        <v>1979</v>
      </c>
      <c r="H465" s="16" t="s">
        <v>3116</v>
      </c>
      <c r="I465" s="8" t="str">
        <f>IFERROR(__xludf.DUMMYFUNCTION("IF(OR(TRIM(G465)="""",TRIM(H465)=""""),"""",TEXTJOIN("", "",TRUE,ARRAYFORMULA(TRANSPOSE(TRIM(SPLIT(G465,"","")))&amp;""_""&amp;TRIM(SPLIT(H465,"","")))))"),"Elf_Male, Elf_Female, Human_Male, Human_Female, Orc_Male, Orc_Female")</f>
        <v>Elf_Male, Elf_Female, Human_Male, Human_Female, Orc_Male, Orc_Female</v>
      </c>
      <c r="J465" s="5" t="s">
        <v>4844</v>
      </c>
      <c r="L465" s="12" t="str">
        <f t="shared" si="1"/>
        <v>ModularSMPHair_EM1,1,1</v>
      </c>
    </row>
    <row r="466" ht="15.75" customHeight="1">
      <c r="A466" s="16" t="s">
        <v>4836</v>
      </c>
      <c r="B466" s="18"/>
      <c r="C466" s="8" t="s">
        <v>5470</v>
      </c>
      <c r="D466" s="8">
        <v>1.0</v>
      </c>
      <c r="E466" s="8">
        <v>1.0</v>
      </c>
      <c r="F466" s="8" t="s">
        <v>5471</v>
      </c>
      <c r="G466" s="8" t="s">
        <v>1979</v>
      </c>
      <c r="H466" s="16" t="s">
        <v>3116</v>
      </c>
      <c r="I466" s="8" t="str">
        <f>IFERROR(__xludf.DUMMYFUNCTION("IF(OR(TRIM(G466)="""",TRIM(H466)=""""),"""",TEXTJOIN("", "",TRUE,ARRAYFORMULA(TRANSPOSE(TRIM(SPLIT(G466,"","")))&amp;""_""&amp;TRIM(SPLIT(H466,"","")))))"),"Elf_Male, Elf_Female, Human_Male, Human_Female, Orc_Male, Orc_Female")</f>
        <v>Elf_Male, Elf_Female, Human_Male, Human_Female, Orc_Male, Orc_Female</v>
      </c>
      <c r="J466" s="5" t="s">
        <v>4844</v>
      </c>
      <c r="L466" s="12" t="str">
        <f t="shared" si="1"/>
        <v>ModularSMPHair_EM2,1,1</v>
      </c>
    </row>
    <row r="467" ht="15.75" customHeight="1">
      <c r="A467" s="16" t="s">
        <v>4836</v>
      </c>
      <c r="B467" s="18"/>
      <c r="C467" s="8" t="s">
        <v>5480</v>
      </c>
      <c r="D467" s="8">
        <v>1.0</v>
      </c>
      <c r="E467" s="8">
        <v>1.0</v>
      </c>
      <c r="F467" s="8" t="s">
        <v>5482</v>
      </c>
      <c r="G467" s="8" t="s">
        <v>3450</v>
      </c>
      <c r="H467" s="16" t="s">
        <v>3116</v>
      </c>
      <c r="I467" s="8" t="str">
        <f>IFERROR(__xludf.DUMMYFUNCTION("IF(OR(TRIM(G467)="""",TRIM(H467)=""""),"""",TEXTJOIN("", "",TRUE,ARRAYFORMULA(TRANSPOSE(TRIM(SPLIT(G467,"","")))&amp;""_""&amp;TRIM(SPLIT(H467,"","")))))"),"Elf_Male, Elf_Female, Human_Male, Human_Female, Orc_Male, Orc_Female, Khajiit_Male, Khajiit_Female")</f>
        <v>Elf_Male, Elf_Female, Human_Male, Human_Female, Orc_Male, Orc_Female, Khajiit_Male, Khajiit_Female</v>
      </c>
      <c r="J467" s="5" t="s">
        <v>4844</v>
      </c>
      <c r="L467" s="12" t="str">
        <f t="shared" si="1"/>
        <v>ModularSMPHair_F,1,1</v>
      </c>
    </row>
    <row r="468" ht="15.75" customHeight="1">
      <c r="A468" s="16" t="s">
        <v>4836</v>
      </c>
      <c r="B468" s="18"/>
      <c r="C468" s="8" t="s">
        <v>5489</v>
      </c>
      <c r="D468" s="8">
        <v>2.0</v>
      </c>
      <c r="E468" s="8">
        <v>2.0</v>
      </c>
      <c r="F468" s="8" t="s">
        <v>5490</v>
      </c>
      <c r="G468" s="8" t="s">
        <v>1979</v>
      </c>
      <c r="H468" s="16" t="s">
        <v>3116</v>
      </c>
      <c r="I468" s="8" t="str">
        <f>IFERROR(__xludf.DUMMYFUNCTION("IF(OR(TRIM(G468)="""",TRIM(H468)=""""),"""",TEXTJOIN("", "",TRUE,ARRAYFORMULA(TRANSPOSE(TRIM(SPLIT(G468,"","")))&amp;""_""&amp;TRIM(SPLIT(H468,"","")))))"),"Elf_Male, Elf_Female, Human_Male, Human_Female, Orc_Male, Orc_Female")</f>
        <v>Elf_Male, Elf_Female, Human_Male, Human_Female, Orc_Male, Orc_Female</v>
      </c>
      <c r="J468" s="5" t="s">
        <v>4844</v>
      </c>
      <c r="L468" s="12" t="str">
        <f t="shared" si="1"/>
        <v>ModularSMPHair_FB,2,2</v>
      </c>
    </row>
    <row r="469" ht="15.75" customHeight="1">
      <c r="A469" s="16" t="s">
        <v>4836</v>
      </c>
      <c r="B469" s="18"/>
      <c r="C469" s="8" t="s">
        <v>5499</v>
      </c>
      <c r="D469" s="8">
        <v>1.0</v>
      </c>
      <c r="E469" s="8">
        <v>1.0</v>
      </c>
      <c r="F469" s="8" t="s">
        <v>5500</v>
      </c>
      <c r="G469" s="8" t="s">
        <v>1979</v>
      </c>
      <c r="H469" s="16" t="s">
        <v>3116</v>
      </c>
      <c r="I469" s="8" t="str">
        <f>IFERROR(__xludf.DUMMYFUNCTION("IF(OR(TRIM(G469)="""",TRIM(H469)=""""),"""",TEXTJOIN("", "",TRUE,ARRAYFORMULA(TRANSPOSE(TRIM(SPLIT(G469,"","")))&amp;""_""&amp;TRIM(SPLIT(H469,"","")))))"),"Elf_Male, Elf_Female, Human_Male, Human_Female, Orc_Male, Orc_Female")</f>
        <v>Elf_Male, Elf_Female, Human_Male, Human_Female, Orc_Male, Orc_Female</v>
      </c>
      <c r="J469" s="5" t="s">
        <v>4844</v>
      </c>
      <c r="L469" s="12" t="str">
        <f t="shared" si="1"/>
        <v>ModularSMPHair_FC,1,1</v>
      </c>
    </row>
    <row r="470" ht="15.75" customHeight="1">
      <c r="A470" s="16" t="s">
        <v>4836</v>
      </c>
      <c r="B470" s="18"/>
      <c r="C470" s="8" t="s">
        <v>5506</v>
      </c>
      <c r="D470" s="8">
        <v>2.0</v>
      </c>
      <c r="E470" s="8">
        <v>2.0</v>
      </c>
      <c r="F470" s="8" t="s">
        <v>5508</v>
      </c>
      <c r="G470" s="8" t="s">
        <v>1979</v>
      </c>
      <c r="H470" s="16" t="s">
        <v>3116</v>
      </c>
      <c r="I470" s="8" t="str">
        <f>IFERROR(__xludf.DUMMYFUNCTION("IF(OR(TRIM(G470)="""",TRIM(H470)=""""),"""",TEXTJOIN("", "",TRUE,ARRAYFORMULA(TRANSPOSE(TRIM(SPLIT(G470,"","")))&amp;""_""&amp;TRIM(SPLIT(H470,"","")))))"),"Elf_Male, Elf_Female, Human_Male, Human_Female, Orc_Male, Orc_Female")</f>
        <v>Elf_Male, Elf_Female, Human_Male, Human_Female, Orc_Male, Orc_Female</v>
      </c>
      <c r="J470" s="5" t="s">
        <v>4844</v>
      </c>
      <c r="L470" s="12" t="str">
        <f t="shared" si="1"/>
        <v>ModularSMPHair_FE,2,2</v>
      </c>
    </row>
    <row r="471" ht="15.75" customHeight="1">
      <c r="A471" s="16" t="s">
        <v>4836</v>
      </c>
      <c r="B471" s="18"/>
      <c r="C471" s="8" t="s">
        <v>5512</v>
      </c>
      <c r="D471" s="8">
        <v>1.0</v>
      </c>
      <c r="E471" s="8">
        <v>1.0</v>
      </c>
      <c r="F471" s="8" t="s">
        <v>5514</v>
      </c>
      <c r="G471" s="8" t="s">
        <v>1979</v>
      </c>
      <c r="H471" s="16" t="s">
        <v>3116</v>
      </c>
      <c r="I471" s="8" t="str">
        <f>IFERROR(__xludf.DUMMYFUNCTION("IF(OR(TRIM(G471)="""",TRIM(H471)=""""),"""",TEXTJOIN("", "",TRUE,ARRAYFORMULA(TRANSPOSE(TRIM(SPLIT(G471,"","")))&amp;""_""&amp;TRIM(SPLIT(H471,"","")))))"),"Elf_Male, Elf_Female, Human_Male, Human_Female, Orc_Male, Orc_Female")</f>
        <v>Elf_Male, Elf_Female, Human_Male, Human_Female, Orc_Male, Orc_Female</v>
      </c>
      <c r="J471" s="5" t="s">
        <v>4844</v>
      </c>
      <c r="L471" s="12" t="str">
        <f t="shared" si="1"/>
        <v>ModularSMPHair_FF,1,1</v>
      </c>
    </row>
    <row r="472" ht="15.75" customHeight="1">
      <c r="A472" s="16" t="s">
        <v>4836</v>
      </c>
      <c r="B472" s="18"/>
      <c r="C472" s="8" t="s">
        <v>5522</v>
      </c>
      <c r="D472" s="8">
        <v>1.0</v>
      </c>
      <c r="E472" s="8">
        <v>1.0</v>
      </c>
      <c r="F472" s="8" t="s">
        <v>5523</v>
      </c>
      <c r="G472" s="8" t="s">
        <v>1979</v>
      </c>
      <c r="H472" s="16" t="s">
        <v>3116</v>
      </c>
      <c r="I472" s="8" t="str">
        <f>IFERROR(__xludf.DUMMYFUNCTION("IF(OR(TRIM(G472)="""",TRIM(H472)=""""),"""",TEXTJOIN("", "",TRUE,ARRAYFORMULA(TRANSPOSE(TRIM(SPLIT(G472,"","")))&amp;""_""&amp;TRIM(SPLIT(H472,"","")))))"),"Elf_Male, Elf_Female, Human_Male, Human_Female, Orc_Male, Orc_Female")</f>
        <v>Elf_Male, Elf_Female, Human_Male, Human_Female, Orc_Male, Orc_Female</v>
      </c>
      <c r="J472" s="5" t="s">
        <v>4844</v>
      </c>
      <c r="L472" s="12" t="str">
        <f t="shared" si="1"/>
        <v>ModularSMPHair_FG,1,1</v>
      </c>
    </row>
    <row r="473" ht="15.75" customHeight="1">
      <c r="A473" s="16" t="s">
        <v>4836</v>
      </c>
      <c r="B473" s="18"/>
      <c r="C473" s="8" t="s">
        <v>5530</v>
      </c>
      <c r="D473" s="8">
        <v>1.0</v>
      </c>
      <c r="E473" s="8">
        <v>1.0</v>
      </c>
      <c r="F473" s="8" t="s">
        <v>5531</v>
      </c>
      <c r="G473" s="8" t="s">
        <v>1979</v>
      </c>
      <c r="H473" s="16" t="s">
        <v>3116</v>
      </c>
      <c r="I473" s="8" t="str">
        <f>IFERROR(__xludf.DUMMYFUNCTION("IF(OR(TRIM(G473)="""",TRIM(H473)=""""),"""",TEXTJOIN("", "",TRUE,ARRAYFORMULA(TRANSPOSE(TRIM(SPLIT(G473,"","")))&amp;""_""&amp;TRIM(SPLIT(H473,"","")))))"),"Elf_Male, Elf_Female, Human_Male, Human_Female, Orc_Male, Orc_Female")</f>
        <v>Elf_Male, Elf_Female, Human_Male, Human_Female, Orc_Male, Orc_Female</v>
      </c>
      <c r="J473" s="5" t="s">
        <v>4844</v>
      </c>
      <c r="L473" s="12" t="str">
        <f t="shared" si="1"/>
        <v>ModularSMPHair_FH,1,1</v>
      </c>
    </row>
    <row r="474" ht="15.75" customHeight="1">
      <c r="A474" s="16" t="s">
        <v>4836</v>
      </c>
      <c r="B474" s="18"/>
      <c r="C474" s="8" t="s">
        <v>5538</v>
      </c>
      <c r="D474" s="8">
        <v>1.0</v>
      </c>
      <c r="E474" s="8">
        <v>1.0</v>
      </c>
      <c r="F474" s="8" t="s">
        <v>5539</v>
      </c>
      <c r="G474" s="8" t="s">
        <v>1979</v>
      </c>
      <c r="H474" s="16" t="s">
        <v>3116</v>
      </c>
      <c r="I474" s="8" t="str">
        <f>IFERROR(__xludf.DUMMYFUNCTION("IF(OR(TRIM(G474)="""",TRIM(H474)=""""),"""",TEXTJOIN("", "",TRUE,ARRAYFORMULA(TRANSPOSE(TRIM(SPLIT(G474,"","")))&amp;""_""&amp;TRIM(SPLIT(H474,"","")))))"),"Elf_Male, Elf_Female, Human_Male, Human_Female, Orc_Male, Orc_Female")</f>
        <v>Elf_Male, Elf_Female, Human_Male, Human_Female, Orc_Male, Orc_Female</v>
      </c>
      <c r="J474" s="5" t="s">
        <v>4844</v>
      </c>
      <c r="L474" s="12" t="str">
        <f t="shared" si="1"/>
        <v>ModularSMPHair_FI,1,1</v>
      </c>
    </row>
    <row r="475" ht="15.75" customHeight="1">
      <c r="A475" s="16" t="s">
        <v>4836</v>
      </c>
      <c r="B475" s="18"/>
      <c r="C475" s="8" t="s">
        <v>5546</v>
      </c>
      <c r="D475" s="8">
        <v>1.0</v>
      </c>
      <c r="E475" s="8">
        <v>1.0</v>
      </c>
      <c r="F475" s="8" t="s">
        <v>5549</v>
      </c>
      <c r="G475" s="8" t="s">
        <v>1979</v>
      </c>
      <c r="H475" s="16" t="s">
        <v>3116</v>
      </c>
      <c r="I475" s="8" t="str">
        <f>IFERROR(__xludf.DUMMYFUNCTION("IF(OR(TRIM(G475)="""",TRIM(H475)=""""),"""",TEXTJOIN("", "",TRUE,ARRAYFORMULA(TRANSPOSE(TRIM(SPLIT(G475,"","")))&amp;""_""&amp;TRIM(SPLIT(H475,"","")))))"),"Elf_Male, Elf_Female, Human_Male, Human_Female, Orc_Male, Orc_Female")</f>
        <v>Elf_Male, Elf_Female, Human_Male, Human_Female, Orc_Male, Orc_Female</v>
      </c>
      <c r="J475" s="5" t="s">
        <v>4844</v>
      </c>
      <c r="L475" s="12" t="str">
        <f t="shared" si="1"/>
        <v>ModularSMPHair_FJ,1,1</v>
      </c>
    </row>
    <row r="476" ht="15.75" customHeight="1">
      <c r="A476" s="16" t="s">
        <v>4836</v>
      </c>
      <c r="B476" s="18"/>
      <c r="C476" s="8" t="s">
        <v>5559</v>
      </c>
      <c r="D476" s="8">
        <v>1.0</v>
      </c>
      <c r="E476" s="8">
        <v>1.0</v>
      </c>
      <c r="F476" s="8" t="s">
        <v>5562</v>
      </c>
      <c r="G476" s="8" t="s">
        <v>1979</v>
      </c>
      <c r="H476" s="16" t="s">
        <v>3116</v>
      </c>
      <c r="I476" s="8" t="str">
        <f>IFERROR(__xludf.DUMMYFUNCTION("IF(OR(TRIM(G476)="""",TRIM(H476)=""""),"""",TEXTJOIN("", "",TRUE,ARRAYFORMULA(TRANSPOSE(TRIM(SPLIT(G476,"","")))&amp;""_""&amp;TRIM(SPLIT(H476,"","")))))"),"Elf_Male, Elf_Female, Human_Male, Human_Female, Orc_Male, Orc_Female")</f>
        <v>Elf_Male, Elf_Female, Human_Male, Human_Female, Orc_Male, Orc_Female</v>
      </c>
      <c r="J476" s="5" t="s">
        <v>4844</v>
      </c>
      <c r="L476" s="12" t="str">
        <f t="shared" si="1"/>
        <v>ModularSMPHair_FK,1,1</v>
      </c>
    </row>
    <row r="477" ht="15.75" customHeight="1">
      <c r="A477" s="16" t="s">
        <v>4836</v>
      </c>
      <c r="B477" s="18"/>
      <c r="C477" s="8" t="s">
        <v>5570</v>
      </c>
      <c r="D477" s="8">
        <v>1.0</v>
      </c>
      <c r="E477" s="8">
        <v>1.0</v>
      </c>
      <c r="F477" s="8" t="s">
        <v>5573</v>
      </c>
      <c r="G477" s="8" t="s">
        <v>1979</v>
      </c>
      <c r="H477" s="16" t="s">
        <v>3116</v>
      </c>
      <c r="I477" s="8" t="str">
        <f>IFERROR(__xludf.DUMMYFUNCTION("IF(OR(TRIM(G477)="""",TRIM(H477)=""""),"""",TEXTJOIN("", "",TRUE,ARRAYFORMULA(TRANSPOSE(TRIM(SPLIT(G477,"","")))&amp;""_""&amp;TRIM(SPLIT(H477,"","")))))"),"Elf_Male, Elf_Female, Human_Male, Human_Female, Orc_Male, Orc_Female")</f>
        <v>Elf_Male, Elf_Female, Human_Male, Human_Female, Orc_Male, Orc_Female</v>
      </c>
      <c r="J477" s="5" t="s">
        <v>4844</v>
      </c>
      <c r="L477" s="12" t="str">
        <f t="shared" si="1"/>
        <v>ModularSMPHair_FL,1,1</v>
      </c>
    </row>
    <row r="478" ht="15.75" customHeight="1">
      <c r="A478" s="16" t="s">
        <v>4836</v>
      </c>
      <c r="B478" s="18"/>
      <c r="C478" s="8" t="s">
        <v>5581</v>
      </c>
      <c r="D478" s="8">
        <v>1.0</v>
      </c>
      <c r="E478" s="8">
        <v>1.0</v>
      </c>
      <c r="F478" s="8" t="s">
        <v>5583</v>
      </c>
      <c r="G478" s="8" t="s">
        <v>1979</v>
      </c>
      <c r="H478" s="16" t="s">
        <v>3116</v>
      </c>
      <c r="I478" s="8" t="str">
        <f>IFERROR(__xludf.DUMMYFUNCTION("IF(OR(TRIM(G478)="""",TRIM(H478)=""""),"""",TEXTJOIN("", "",TRUE,ARRAYFORMULA(TRANSPOSE(TRIM(SPLIT(G478,"","")))&amp;""_""&amp;TRIM(SPLIT(H478,"","")))))"),"Elf_Male, Elf_Female, Human_Male, Human_Female, Orc_Male, Orc_Female")</f>
        <v>Elf_Male, Elf_Female, Human_Male, Human_Female, Orc_Male, Orc_Female</v>
      </c>
      <c r="J478" s="5" t="s">
        <v>4844</v>
      </c>
      <c r="L478" s="12" t="str">
        <f t="shared" si="1"/>
        <v>ModularSMPHair_FM1,1,1</v>
      </c>
    </row>
    <row r="479" ht="15.75" customHeight="1">
      <c r="A479" s="16" t="s">
        <v>4836</v>
      </c>
      <c r="B479" s="18"/>
      <c r="C479" s="8" t="s">
        <v>5589</v>
      </c>
      <c r="D479" s="8">
        <v>1.0</v>
      </c>
      <c r="E479" s="8">
        <v>1.0</v>
      </c>
      <c r="F479" s="8" t="s">
        <v>5590</v>
      </c>
      <c r="G479" s="8" t="s">
        <v>1979</v>
      </c>
      <c r="H479" s="16" t="s">
        <v>3116</v>
      </c>
      <c r="I479" s="8" t="str">
        <f>IFERROR(__xludf.DUMMYFUNCTION("IF(OR(TRIM(G479)="""",TRIM(H479)=""""),"""",TEXTJOIN("", "",TRUE,ARRAYFORMULA(TRANSPOSE(TRIM(SPLIT(G479,"","")))&amp;""_""&amp;TRIM(SPLIT(H479,"","")))))"),"Elf_Male, Elf_Female, Human_Male, Human_Female, Orc_Male, Orc_Female")</f>
        <v>Elf_Male, Elf_Female, Human_Male, Human_Female, Orc_Male, Orc_Female</v>
      </c>
      <c r="J479" s="5" t="s">
        <v>4844</v>
      </c>
      <c r="L479" s="12" t="str">
        <f t="shared" si="1"/>
        <v>ModularSMPHair_FM2,1,1</v>
      </c>
    </row>
    <row r="480" ht="15.75" customHeight="1">
      <c r="A480" s="16" t="s">
        <v>4836</v>
      </c>
      <c r="B480" s="18"/>
      <c r="C480" s="8" t="s">
        <v>5596</v>
      </c>
      <c r="D480" s="8">
        <v>1.0</v>
      </c>
      <c r="E480" s="8">
        <v>2.0</v>
      </c>
      <c r="F480" s="8" t="s">
        <v>5598</v>
      </c>
      <c r="G480" s="8" t="s">
        <v>3450</v>
      </c>
      <c r="H480" s="16" t="s">
        <v>3116</v>
      </c>
      <c r="I480" s="8" t="str">
        <f>IFERROR(__xludf.DUMMYFUNCTION("IF(OR(TRIM(G480)="""",TRIM(H480)=""""),"""",TEXTJOIN("", "",TRUE,ARRAYFORMULA(TRANSPOSE(TRIM(SPLIT(G480,"","")))&amp;""_""&amp;TRIM(SPLIT(H480,"","")))))"),"Elf_Male, Elf_Female, Human_Male, Human_Female, Orc_Male, Orc_Female, Khajiit_Male, Khajiit_Female")</f>
        <v>Elf_Male, Elf_Female, Human_Male, Human_Female, Orc_Male, Orc_Female, Khajiit_Male, Khajiit_Female</v>
      </c>
      <c r="J480" s="5" t="s">
        <v>4844</v>
      </c>
      <c r="L480" s="12" t="str">
        <f t="shared" si="1"/>
        <v>ModularSMPHair_G,1,2</v>
      </c>
    </row>
    <row r="481" ht="15.75" customHeight="1">
      <c r="A481" s="16" t="s">
        <v>4836</v>
      </c>
      <c r="B481" s="18"/>
      <c r="C481" s="8" t="s">
        <v>5606</v>
      </c>
      <c r="D481" s="8">
        <v>2.0</v>
      </c>
      <c r="E481" s="8">
        <v>2.0</v>
      </c>
      <c r="F481" s="8" t="s">
        <v>5607</v>
      </c>
      <c r="G481" s="8" t="s">
        <v>1979</v>
      </c>
      <c r="H481" s="16" t="s">
        <v>3116</v>
      </c>
      <c r="I481" s="8" t="str">
        <f>IFERROR(__xludf.DUMMYFUNCTION("IF(OR(TRIM(G481)="""",TRIM(H481)=""""),"""",TEXTJOIN("", "",TRUE,ARRAYFORMULA(TRANSPOSE(TRIM(SPLIT(G481,"","")))&amp;""_""&amp;TRIM(SPLIT(H481,"","")))))"),"Elf_Male, Elf_Female, Human_Male, Human_Female, Orc_Male, Orc_Female")</f>
        <v>Elf_Male, Elf_Female, Human_Male, Human_Female, Orc_Male, Orc_Female</v>
      </c>
      <c r="J481" s="5" t="s">
        <v>4844</v>
      </c>
      <c r="L481" s="12" t="str">
        <f t="shared" si="1"/>
        <v>ModularSMPHair_GB,2,2</v>
      </c>
    </row>
    <row r="482" ht="15.75" customHeight="1">
      <c r="A482" s="16" t="s">
        <v>4836</v>
      </c>
      <c r="B482" s="18"/>
      <c r="C482" s="8" t="s">
        <v>5614</v>
      </c>
      <c r="D482" s="8">
        <v>1.0</v>
      </c>
      <c r="E482" s="8">
        <v>2.0</v>
      </c>
      <c r="F482" s="8" t="s">
        <v>5615</v>
      </c>
      <c r="G482" s="8" t="s">
        <v>1979</v>
      </c>
      <c r="H482" s="16" t="s">
        <v>3116</v>
      </c>
      <c r="I482" s="8" t="str">
        <f>IFERROR(__xludf.DUMMYFUNCTION("IF(OR(TRIM(G482)="""",TRIM(H482)=""""),"""",TEXTJOIN("", "",TRUE,ARRAYFORMULA(TRANSPOSE(TRIM(SPLIT(G482,"","")))&amp;""_""&amp;TRIM(SPLIT(H482,"","")))))"),"Elf_Male, Elf_Female, Human_Male, Human_Female, Orc_Male, Orc_Female")</f>
        <v>Elf_Male, Elf_Female, Human_Male, Human_Female, Orc_Male, Orc_Female</v>
      </c>
      <c r="J482" s="5" t="s">
        <v>4844</v>
      </c>
      <c r="L482" s="12" t="str">
        <f t="shared" si="1"/>
        <v>ModularSMPHair_GC,1,2</v>
      </c>
    </row>
    <row r="483" ht="15.75" customHeight="1">
      <c r="A483" s="16" t="s">
        <v>4836</v>
      </c>
      <c r="B483" s="18"/>
      <c r="C483" s="8" t="s">
        <v>5623</v>
      </c>
      <c r="D483" s="8">
        <v>2.0</v>
      </c>
      <c r="E483" s="8">
        <v>2.0</v>
      </c>
      <c r="F483" s="8" t="s">
        <v>5624</v>
      </c>
      <c r="G483" s="8" t="s">
        <v>1979</v>
      </c>
      <c r="H483" s="16" t="s">
        <v>3116</v>
      </c>
      <c r="I483" s="8" t="str">
        <f>IFERROR(__xludf.DUMMYFUNCTION("IF(OR(TRIM(G483)="""",TRIM(H483)=""""),"""",TEXTJOIN("", "",TRUE,ARRAYFORMULA(TRANSPOSE(TRIM(SPLIT(G483,"","")))&amp;""_""&amp;TRIM(SPLIT(H483,"","")))))"),"Elf_Male, Elf_Female, Human_Male, Human_Female, Orc_Male, Orc_Female")</f>
        <v>Elf_Male, Elf_Female, Human_Male, Human_Female, Orc_Male, Orc_Female</v>
      </c>
      <c r="J483" s="5" t="s">
        <v>4844</v>
      </c>
      <c r="L483" s="12" t="str">
        <f t="shared" si="1"/>
        <v>ModularSMPHair_GE,2,2</v>
      </c>
    </row>
    <row r="484" ht="15.75" customHeight="1">
      <c r="A484" s="16" t="s">
        <v>4836</v>
      </c>
      <c r="B484" s="18"/>
      <c r="C484" s="8" t="s">
        <v>5630</v>
      </c>
      <c r="D484" s="8">
        <v>1.0</v>
      </c>
      <c r="E484" s="8">
        <v>2.0</v>
      </c>
      <c r="F484" s="8" t="s">
        <v>5631</v>
      </c>
      <c r="G484" s="8" t="s">
        <v>1979</v>
      </c>
      <c r="H484" s="16" t="s">
        <v>3116</v>
      </c>
      <c r="I484" s="8" t="str">
        <f>IFERROR(__xludf.DUMMYFUNCTION("IF(OR(TRIM(G484)="""",TRIM(H484)=""""),"""",TEXTJOIN("", "",TRUE,ARRAYFORMULA(TRANSPOSE(TRIM(SPLIT(G484,"","")))&amp;""_""&amp;TRIM(SPLIT(H484,"","")))))"),"Elf_Male, Elf_Female, Human_Male, Human_Female, Orc_Male, Orc_Female")</f>
        <v>Elf_Male, Elf_Female, Human_Male, Human_Female, Orc_Male, Orc_Female</v>
      </c>
      <c r="J484" s="5" t="s">
        <v>4844</v>
      </c>
      <c r="L484" s="12" t="str">
        <f t="shared" si="1"/>
        <v>ModularSMPHair_GF,1,2</v>
      </c>
    </row>
    <row r="485" ht="15.75" customHeight="1">
      <c r="A485" s="16" t="s">
        <v>4836</v>
      </c>
      <c r="B485" s="18"/>
      <c r="C485" s="8" t="s">
        <v>5638</v>
      </c>
      <c r="D485" s="8">
        <v>1.0</v>
      </c>
      <c r="E485" s="8">
        <v>2.0</v>
      </c>
      <c r="F485" s="8" t="s">
        <v>5639</v>
      </c>
      <c r="G485" s="8" t="s">
        <v>1979</v>
      </c>
      <c r="H485" s="16" t="s">
        <v>3116</v>
      </c>
      <c r="I485" s="8" t="str">
        <f>IFERROR(__xludf.DUMMYFUNCTION("IF(OR(TRIM(G485)="""",TRIM(H485)=""""),"""",TEXTJOIN("", "",TRUE,ARRAYFORMULA(TRANSPOSE(TRIM(SPLIT(G485,"","")))&amp;""_""&amp;TRIM(SPLIT(H485,"","")))))"),"Elf_Male, Elf_Female, Human_Male, Human_Female, Orc_Male, Orc_Female")</f>
        <v>Elf_Male, Elf_Female, Human_Male, Human_Female, Orc_Male, Orc_Female</v>
      </c>
      <c r="J485" s="5" t="s">
        <v>4844</v>
      </c>
      <c r="L485" s="12" t="str">
        <f t="shared" si="1"/>
        <v>ModularSMPHair_GG,1,2</v>
      </c>
    </row>
    <row r="486" ht="15.75" customHeight="1">
      <c r="A486" s="16" t="s">
        <v>4836</v>
      </c>
      <c r="B486" s="18"/>
      <c r="C486" s="8" t="s">
        <v>5643</v>
      </c>
      <c r="D486" s="8">
        <v>1.0</v>
      </c>
      <c r="E486" s="8">
        <v>2.0</v>
      </c>
      <c r="F486" s="8" t="s">
        <v>5646</v>
      </c>
      <c r="G486" s="8" t="s">
        <v>1979</v>
      </c>
      <c r="H486" s="16" t="s">
        <v>3116</v>
      </c>
      <c r="I486" s="8" t="str">
        <f>IFERROR(__xludf.DUMMYFUNCTION("IF(OR(TRIM(G486)="""",TRIM(H486)=""""),"""",TEXTJOIN("", "",TRUE,ARRAYFORMULA(TRANSPOSE(TRIM(SPLIT(G486,"","")))&amp;""_""&amp;TRIM(SPLIT(H486,"","")))))"),"Elf_Male, Elf_Female, Human_Male, Human_Female, Orc_Male, Orc_Female")</f>
        <v>Elf_Male, Elf_Female, Human_Male, Human_Female, Orc_Male, Orc_Female</v>
      </c>
      <c r="J486" s="5" t="s">
        <v>4844</v>
      </c>
      <c r="L486" s="12" t="str">
        <f t="shared" si="1"/>
        <v>ModularSMPHair_GH,1,2</v>
      </c>
    </row>
    <row r="487" ht="15.75" customHeight="1">
      <c r="A487" s="16" t="s">
        <v>4836</v>
      </c>
      <c r="B487" s="18"/>
      <c r="C487" s="8" t="s">
        <v>5653</v>
      </c>
      <c r="D487" s="8">
        <v>1.0</v>
      </c>
      <c r="E487" s="8">
        <v>2.0</v>
      </c>
      <c r="F487" s="8" t="s">
        <v>5656</v>
      </c>
      <c r="G487" s="8" t="s">
        <v>1979</v>
      </c>
      <c r="H487" s="16" t="s">
        <v>3116</v>
      </c>
      <c r="I487" s="8" t="str">
        <f>IFERROR(__xludf.DUMMYFUNCTION("IF(OR(TRIM(G487)="""",TRIM(H487)=""""),"""",TEXTJOIN("", "",TRUE,ARRAYFORMULA(TRANSPOSE(TRIM(SPLIT(G487,"","")))&amp;""_""&amp;TRIM(SPLIT(H487,"","")))))"),"Elf_Male, Elf_Female, Human_Male, Human_Female, Orc_Male, Orc_Female")</f>
        <v>Elf_Male, Elf_Female, Human_Male, Human_Female, Orc_Male, Orc_Female</v>
      </c>
      <c r="J487" s="5" t="s">
        <v>4844</v>
      </c>
      <c r="L487" s="12" t="str">
        <f t="shared" si="1"/>
        <v>ModularSMPHair_GI,1,2</v>
      </c>
    </row>
    <row r="488" ht="15.75" customHeight="1">
      <c r="A488" s="16" t="s">
        <v>4836</v>
      </c>
      <c r="B488" s="18"/>
      <c r="C488" s="8" t="s">
        <v>5660</v>
      </c>
      <c r="D488" s="8">
        <v>1.0</v>
      </c>
      <c r="E488" s="8">
        <v>2.0</v>
      </c>
      <c r="F488" s="8" t="s">
        <v>5661</v>
      </c>
      <c r="G488" s="8" t="s">
        <v>1979</v>
      </c>
      <c r="H488" s="16" t="s">
        <v>3116</v>
      </c>
      <c r="I488" s="8" t="str">
        <f>IFERROR(__xludf.DUMMYFUNCTION("IF(OR(TRIM(G488)="""",TRIM(H488)=""""),"""",TEXTJOIN("", "",TRUE,ARRAYFORMULA(TRANSPOSE(TRIM(SPLIT(G488,"","")))&amp;""_""&amp;TRIM(SPLIT(H488,"","")))))"),"Elf_Male, Elf_Female, Human_Male, Human_Female, Orc_Male, Orc_Female")</f>
        <v>Elf_Male, Elf_Female, Human_Male, Human_Female, Orc_Male, Orc_Female</v>
      </c>
      <c r="J488" s="5" t="s">
        <v>4844</v>
      </c>
      <c r="L488" s="12" t="str">
        <f t="shared" si="1"/>
        <v>ModularSMPHair_GJ,1,2</v>
      </c>
    </row>
    <row r="489" ht="15.75" customHeight="1">
      <c r="A489" s="16" t="s">
        <v>4836</v>
      </c>
      <c r="B489" s="18"/>
      <c r="C489" s="8" t="s">
        <v>5665</v>
      </c>
      <c r="D489" s="8">
        <v>1.0</v>
      </c>
      <c r="E489" s="8">
        <v>2.0</v>
      </c>
      <c r="F489" s="8" t="s">
        <v>5666</v>
      </c>
      <c r="G489" s="8" t="s">
        <v>1979</v>
      </c>
      <c r="H489" s="16" t="s">
        <v>3116</v>
      </c>
      <c r="I489" s="8" t="str">
        <f>IFERROR(__xludf.DUMMYFUNCTION("IF(OR(TRIM(G489)="""",TRIM(H489)=""""),"""",TEXTJOIN("", "",TRUE,ARRAYFORMULA(TRANSPOSE(TRIM(SPLIT(G489,"","")))&amp;""_""&amp;TRIM(SPLIT(H489,"","")))))"),"Elf_Male, Elf_Female, Human_Male, Human_Female, Orc_Male, Orc_Female")</f>
        <v>Elf_Male, Elf_Female, Human_Male, Human_Female, Orc_Male, Orc_Female</v>
      </c>
      <c r="J489" s="5" t="s">
        <v>4844</v>
      </c>
      <c r="L489" s="12" t="str">
        <f t="shared" si="1"/>
        <v>ModularSMPHair_GK,1,2</v>
      </c>
    </row>
    <row r="490" ht="15.75" customHeight="1">
      <c r="A490" s="16" t="s">
        <v>4836</v>
      </c>
      <c r="B490" s="18"/>
      <c r="C490" s="8" t="s">
        <v>5674</v>
      </c>
      <c r="D490" s="8">
        <v>1.0</v>
      </c>
      <c r="E490" s="8">
        <v>2.0</v>
      </c>
      <c r="F490" s="8" t="s">
        <v>5675</v>
      </c>
      <c r="G490" s="8" t="s">
        <v>1979</v>
      </c>
      <c r="H490" s="16" t="s">
        <v>3116</v>
      </c>
      <c r="I490" s="8" t="str">
        <f>IFERROR(__xludf.DUMMYFUNCTION("IF(OR(TRIM(G490)="""",TRIM(H490)=""""),"""",TEXTJOIN("", "",TRUE,ARRAYFORMULA(TRANSPOSE(TRIM(SPLIT(G490,"","")))&amp;""_""&amp;TRIM(SPLIT(H490,"","")))))"),"Elf_Male, Elf_Female, Human_Male, Human_Female, Orc_Male, Orc_Female")</f>
        <v>Elf_Male, Elf_Female, Human_Male, Human_Female, Orc_Male, Orc_Female</v>
      </c>
      <c r="J490" s="5" t="s">
        <v>4844</v>
      </c>
      <c r="L490" s="12" t="str">
        <f t="shared" si="1"/>
        <v>ModularSMPHair_GL,1,2</v>
      </c>
    </row>
    <row r="491" ht="15.75" customHeight="1">
      <c r="A491" s="16" t="s">
        <v>4836</v>
      </c>
      <c r="B491" s="18"/>
      <c r="C491" s="8" t="s">
        <v>5682</v>
      </c>
      <c r="D491" s="8">
        <v>1.0</v>
      </c>
      <c r="E491" s="8">
        <v>2.0</v>
      </c>
      <c r="F491" s="8" t="s">
        <v>5683</v>
      </c>
      <c r="G491" s="8" t="s">
        <v>1979</v>
      </c>
      <c r="H491" s="16" t="s">
        <v>3116</v>
      </c>
      <c r="I491" s="8" t="str">
        <f>IFERROR(__xludf.DUMMYFUNCTION("IF(OR(TRIM(G491)="""",TRIM(H491)=""""),"""",TEXTJOIN("", "",TRUE,ARRAYFORMULA(TRANSPOSE(TRIM(SPLIT(G491,"","")))&amp;""_""&amp;TRIM(SPLIT(H491,"","")))))"),"Elf_Male, Elf_Female, Human_Male, Human_Female, Orc_Male, Orc_Female")</f>
        <v>Elf_Male, Elf_Female, Human_Male, Human_Female, Orc_Male, Orc_Female</v>
      </c>
      <c r="J491" s="5" t="s">
        <v>4844</v>
      </c>
      <c r="L491" s="12" t="str">
        <f t="shared" si="1"/>
        <v>ModularSMPHair_GM1,1,2</v>
      </c>
    </row>
    <row r="492" ht="15.75" customHeight="1">
      <c r="A492" s="16" t="s">
        <v>4836</v>
      </c>
      <c r="B492" s="18"/>
      <c r="C492" s="8" t="s">
        <v>5690</v>
      </c>
      <c r="D492" s="8">
        <v>1.0</v>
      </c>
      <c r="E492" s="8">
        <v>2.0</v>
      </c>
      <c r="F492" s="8" t="s">
        <v>5691</v>
      </c>
      <c r="G492" s="8" t="s">
        <v>1979</v>
      </c>
      <c r="H492" s="16" t="s">
        <v>3116</v>
      </c>
      <c r="I492" s="8" t="str">
        <f>IFERROR(__xludf.DUMMYFUNCTION("IF(OR(TRIM(G492)="""",TRIM(H492)=""""),"""",TEXTJOIN("", "",TRUE,ARRAYFORMULA(TRANSPOSE(TRIM(SPLIT(G492,"","")))&amp;""_""&amp;TRIM(SPLIT(H492,"","")))))"),"Elf_Male, Elf_Female, Human_Male, Human_Female, Orc_Male, Orc_Female")</f>
        <v>Elf_Male, Elf_Female, Human_Male, Human_Female, Orc_Male, Orc_Female</v>
      </c>
      <c r="J492" s="5" t="s">
        <v>4844</v>
      </c>
      <c r="L492" s="12" t="str">
        <f t="shared" si="1"/>
        <v>ModularSMPHair_GM2,1,2</v>
      </c>
    </row>
    <row r="493" ht="15.75" customHeight="1">
      <c r="A493" s="16" t="s">
        <v>4836</v>
      </c>
      <c r="B493" s="18"/>
      <c r="C493" s="8" t="s">
        <v>5697</v>
      </c>
      <c r="D493" s="8">
        <v>1.0</v>
      </c>
      <c r="E493" s="8">
        <v>2.0</v>
      </c>
      <c r="F493" s="8" t="s">
        <v>5699</v>
      </c>
      <c r="G493" s="8" t="s">
        <v>3450</v>
      </c>
      <c r="H493" s="16" t="s">
        <v>3116</v>
      </c>
      <c r="I493" s="8" t="str">
        <f>IFERROR(__xludf.DUMMYFUNCTION("IF(OR(TRIM(G493)="""",TRIM(H493)=""""),"""",TEXTJOIN("", "",TRUE,ARRAYFORMULA(TRANSPOSE(TRIM(SPLIT(G493,"","")))&amp;""_""&amp;TRIM(SPLIT(H493,"","")))))"),"Elf_Male, Elf_Female, Human_Male, Human_Female, Orc_Male, Orc_Female, Khajiit_Male, Khajiit_Female")</f>
        <v>Elf_Male, Elf_Female, Human_Male, Human_Female, Orc_Male, Orc_Female, Khajiit_Male, Khajiit_Female</v>
      </c>
      <c r="J493" s="5" t="s">
        <v>4844</v>
      </c>
      <c r="L493" s="12" t="str">
        <f t="shared" si="1"/>
        <v>ModularSMPHair_H,1,2</v>
      </c>
    </row>
    <row r="494" ht="15.75" customHeight="1">
      <c r="A494" s="16" t="s">
        <v>4836</v>
      </c>
      <c r="B494" s="18"/>
      <c r="C494" s="8" t="s">
        <v>5709</v>
      </c>
      <c r="D494" s="8">
        <v>2.0</v>
      </c>
      <c r="E494" s="8">
        <v>2.0</v>
      </c>
      <c r="F494" s="8" t="s">
        <v>5711</v>
      </c>
      <c r="G494" s="8" t="s">
        <v>1979</v>
      </c>
      <c r="H494" s="16" t="s">
        <v>3116</v>
      </c>
      <c r="I494" s="8" t="str">
        <f>IFERROR(__xludf.DUMMYFUNCTION("IF(OR(TRIM(G494)="""",TRIM(H494)=""""),"""",TEXTJOIN("", "",TRUE,ARRAYFORMULA(TRANSPOSE(TRIM(SPLIT(G494,"","")))&amp;""_""&amp;TRIM(SPLIT(H494,"","")))))"),"Elf_Male, Elf_Female, Human_Male, Human_Female, Orc_Male, Orc_Female")</f>
        <v>Elf_Male, Elf_Female, Human_Male, Human_Female, Orc_Male, Orc_Female</v>
      </c>
      <c r="J494" s="5" t="s">
        <v>4844</v>
      </c>
      <c r="L494" s="12" t="str">
        <f t="shared" si="1"/>
        <v>ModularSMPHair_HB,2,2</v>
      </c>
    </row>
    <row r="495" ht="15.75" customHeight="1">
      <c r="A495" s="16" t="s">
        <v>4836</v>
      </c>
      <c r="B495" s="18"/>
      <c r="C495" s="8" t="s">
        <v>5721</v>
      </c>
      <c r="D495" s="8">
        <v>1.0</v>
      </c>
      <c r="E495" s="8">
        <v>2.0</v>
      </c>
      <c r="F495" s="8" t="s">
        <v>5723</v>
      </c>
      <c r="G495" s="8" t="s">
        <v>1979</v>
      </c>
      <c r="H495" s="16" t="s">
        <v>3116</v>
      </c>
      <c r="I495" s="8" t="str">
        <f>IFERROR(__xludf.DUMMYFUNCTION("IF(OR(TRIM(G495)="""",TRIM(H495)=""""),"""",TEXTJOIN("", "",TRUE,ARRAYFORMULA(TRANSPOSE(TRIM(SPLIT(G495,"","")))&amp;""_""&amp;TRIM(SPLIT(H495,"","")))))"),"Elf_Male, Elf_Female, Human_Male, Human_Female, Orc_Male, Orc_Female")</f>
        <v>Elf_Male, Elf_Female, Human_Male, Human_Female, Orc_Male, Orc_Female</v>
      </c>
      <c r="J495" s="5" t="s">
        <v>4844</v>
      </c>
      <c r="L495" s="12" t="str">
        <f t="shared" si="1"/>
        <v>ModularSMPHair_HC,1,2</v>
      </c>
    </row>
    <row r="496" ht="15.75" customHeight="1">
      <c r="A496" s="16" t="s">
        <v>4836</v>
      </c>
      <c r="B496" s="18"/>
      <c r="C496" s="8" t="s">
        <v>5730</v>
      </c>
      <c r="D496" s="8">
        <v>2.0</v>
      </c>
      <c r="E496" s="8">
        <v>2.0</v>
      </c>
      <c r="F496" s="8" t="s">
        <v>5732</v>
      </c>
      <c r="G496" s="8" t="s">
        <v>1979</v>
      </c>
      <c r="H496" s="16" t="s">
        <v>3116</v>
      </c>
      <c r="I496" s="8" t="str">
        <f>IFERROR(__xludf.DUMMYFUNCTION("IF(OR(TRIM(G496)="""",TRIM(H496)=""""),"""",TEXTJOIN("", "",TRUE,ARRAYFORMULA(TRANSPOSE(TRIM(SPLIT(G496,"","")))&amp;""_""&amp;TRIM(SPLIT(H496,"","")))))"),"Elf_Male, Elf_Female, Human_Male, Human_Female, Orc_Male, Orc_Female")</f>
        <v>Elf_Male, Elf_Female, Human_Male, Human_Female, Orc_Male, Orc_Female</v>
      </c>
      <c r="J496" s="5" t="s">
        <v>4844</v>
      </c>
      <c r="L496" s="12" t="str">
        <f t="shared" si="1"/>
        <v>ModularSMPHair_HE,2,2</v>
      </c>
    </row>
    <row r="497" ht="15.75" customHeight="1">
      <c r="A497" s="16" t="s">
        <v>4836</v>
      </c>
      <c r="B497" s="18"/>
      <c r="C497" s="8" t="s">
        <v>5740</v>
      </c>
      <c r="D497" s="8">
        <v>1.0</v>
      </c>
      <c r="E497" s="8">
        <v>2.0</v>
      </c>
      <c r="F497" s="8" t="s">
        <v>5741</v>
      </c>
      <c r="G497" s="8" t="s">
        <v>1979</v>
      </c>
      <c r="H497" s="16" t="s">
        <v>3116</v>
      </c>
      <c r="I497" s="8" t="str">
        <f>IFERROR(__xludf.DUMMYFUNCTION("IF(OR(TRIM(G497)="""",TRIM(H497)=""""),"""",TEXTJOIN("", "",TRUE,ARRAYFORMULA(TRANSPOSE(TRIM(SPLIT(G497,"","")))&amp;""_""&amp;TRIM(SPLIT(H497,"","")))))"),"Elf_Male, Elf_Female, Human_Male, Human_Female, Orc_Male, Orc_Female")</f>
        <v>Elf_Male, Elf_Female, Human_Male, Human_Female, Orc_Male, Orc_Female</v>
      </c>
      <c r="J497" s="5" t="s">
        <v>4844</v>
      </c>
      <c r="L497" s="12" t="str">
        <f t="shared" si="1"/>
        <v>ModularSMPHair_HF,1,2</v>
      </c>
    </row>
    <row r="498" ht="15.75" customHeight="1">
      <c r="A498" s="16" t="s">
        <v>4836</v>
      </c>
      <c r="B498" s="18"/>
      <c r="C498" s="8" t="s">
        <v>5748</v>
      </c>
      <c r="D498" s="8">
        <v>1.0</v>
      </c>
      <c r="E498" s="8">
        <v>2.0</v>
      </c>
      <c r="F498" s="8" t="s">
        <v>5749</v>
      </c>
      <c r="G498" s="8" t="s">
        <v>1979</v>
      </c>
      <c r="H498" s="16" t="s">
        <v>3116</v>
      </c>
      <c r="I498" s="8" t="str">
        <f>IFERROR(__xludf.DUMMYFUNCTION("IF(OR(TRIM(G498)="""",TRIM(H498)=""""),"""",TEXTJOIN("", "",TRUE,ARRAYFORMULA(TRANSPOSE(TRIM(SPLIT(G498,"","")))&amp;""_""&amp;TRIM(SPLIT(H498,"","")))))"),"Elf_Male, Elf_Female, Human_Male, Human_Female, Orc_Male, Orc_Female")</f>
        <v>Elf_Male, Elf_Female, Human_Male, Human_Female, Orc_Male, Orc_Female</v>
      </c>
      <c r="J498" s="5" t="s">
        <v>4844</v>
      </c>
      <c r="L498" s="12" t="str">
        <f t="shared" si="1"/>
        <v>ModularSMPHair_HG,1,2</v>
      </c>
    </row>
    <row r="499" ht="15.75" customHeight="1">
      <c r="A499" s="16" t="s">
        <v>4836</v>
      </c>
      <c r="B499" s="18"/>
      <c r="C499" s="8" t="s">
        <v>5755</v>
      </c>
      <c r="D499" s="8">
        <v>1.0</v>
      </c>
      <c r="E499" s="8">
        <v>2.0</v>
      </c>
      <c r="F499" s="8" t="s">
        <v>5758</v>
      </c>
      <c r="G499" s="8" t="s">
        <v>1979</v>
      </c>
      <c r="H499" s="16" t="s">
        <v>3116</v>
      </c>
      <c r="I499" s="8" t="str">
        <f>IFERROR(__xludf.DUMMYFUNCTION("IF(OR(TRIM(G499)="""",TRIM(H499)=""""),"""",TEXTJOIN("", "",TRUE,ARRAYFORMULA(TRANSPOSE(TRIM(SPLIT(G499,"","")))&amp;""_""&amp;TRIM(SPLIT(H499,"","")))))"),"Elf_Male, Elf_Female, Human_Male, Human_Female, Orc_Male, Orc_Female")</f>
        <v>Elf_Male, Elf_Female, Human_Male, Human_Female, Orc_Male, Orc_Female</v>
      </c>
      <c r="J499" s="5" t="s">
        <v>4844</v>
      </c>
      <c r="L499" s="12" t="str">
        <f t="shared" si="1"/>
        <v>ModularSMPHair_HH,1,2</v>
      </c>
    </row>
    <row r="500" ht="15.75" customHeight="1">
      <c r="A500" s="16" t="s">
        <v>4836</v>
      </c>
      <c r="B500" s="18"/>
      <c r="C500" s="8" t="s">
        <v>5764</v>
      </c>
      <c r="D500" s="8">
        <v>1.0</v>
      </c>
      <c r="E500" s="8">
        <v>2.0</v>
      </c>
      <c r="F500" s="8" t="s">
        <v>5766</v>
      </c>
      <c r="G500" s="8" t="s">
        <v>1979</v>
      </c>
      <c r="H500" s="16" t="s">
        <v>3116</v>
      </c>
      <c r="I500" s="8" t="str">
        <f>IFERROR(__xludf.DUMMYFUNCTION("IF(OR(TRIM(G500)="""",TRIM(H500)=""""),"""",TEXTJOIN("", "",TRUE,ARRAYFORMULA(TRANSPOSE(TRIM(SPLIT(G500,"","")))&amp;""_""&amp;TRIM(SPLIT(H500,"","")))))"),"Elf_Male, Elf_Female, Human_Male, Human_Female, Orc_Male, Orc_Female")</f>
        <v>Elf_Male, Elf_Female, Human_Male, Human_Female, Orc_Male, Orc_Female</v>
      </c>
      <c r="J500" s="5" t="s">
        <v>4844</v>
      </c>
      <c r="L500" s="12" t="str">
        <f t="shared" si="1"/>
        <v>ModularSMPHair_HI,1,2</v>
      </c>
    </row>
    <row r="501" ht="15.75" customHeight="1">
      <c r="A501" s="16" t="s">
        <v>4836</v>
      </c>
      <c r="B501" s="18"/>
      <c r="C501" s="8" t="s">
        <v>5772</v>
      </c>
      <c r="D501" s="8">
        <v>1.0</v>
      </c>
      <c r="E501" s="8">
        <v>2.0</v>
      </c>
      <c r="F501" s="8" t="s">
        <v>5773</v>
      </c>
      <c r="G501" s="8" t="s">
        <v>1979</v>
      </c>
      <c r="H501" s="16" t="s">
        <v>3116</v>
      </c>
      <c r="I501" s="8" t="str">
        <f>IFERROR(__xludf.DUMMYFUNCTION("IF(OR(TRIM(G501)="""",TRIM(H501)=""""),"""",TEXTJOIN("", "",TRUE,ARRAYFORMULA(TRANSPOSE(TRIM(SPLIT(G501,"","")))&amp;""_""&amp;TRIM(SPLIT(H501,"","")))))"),"Elf_Male, Elf_Female, Human_Male, Human_Female, Orc_Male, Orc_Female")</f>
        <v>Elf_Male, Elf_Female, Human_Male, Human_Female, Orc_Male, Orc_Female</v>
      </c>
      <c r="J501" s="5" t="s">
        <v>4844</v>
      </c>
      <c r="L501" s="12" t="str">
        <f t="shared" si="1"/>
        <v>ModularSMPHair_HJ,1,2</v>
      </c>
    </row>
    <row r="502" ht="15.75" customHeight="1">
      <c r="A502" s="16" t="s">
        <v>4836</v>
      </c>
      <c r="B502" s="18"/>
      <c r="C502" s="8" t="s">
        <v>5780</v>
      </c>
      <c r="D502" s="8">
        <v>1.0</v>
      </c>
      <c r="E502" s="8">
        <v>2.0</v>
      </c>
      <c r="F502" s="8" t="s">
        <v>5782</v>
      </c>
      <c r="G502" s="8" t="s">
        <v>1979</v>
      </c>
      <c r="H502" s="16" t="s">
        <v>3116</v>
      </c>
      <c r="I502" s="8" t="str">
        <f>IFERROR(__xludf.DUMMYFUNCTION("IF(OR(TRIM(G502)="""",TRIM(H502)=""""),"""",TEXTJOIN("", "",TRUE,ARRAYFORMULA(TRANSPOSE(TRIM(SPLIT(G502,"","")))&amp;""_""&amp;TRIM(SPLIT(H502,"","")))))"),"Elf_Male, Elf_Female, Human_Male, Human_Female, Orc_Male, Orc_Female")</f>
        <v>Elf_Male, Elf_Female, Human_Male, Human_Female, Orc_Male, Orc_Female</v>
      </c>
      <c r="J502" s="5" t="s">
        <v>4844</v>
      </c>
      <c r="L502" s="12" t="str">
        <f t="shared" si="1"/>
        <v>ModularSMPHair_HK,1,2</v>
      </c>
    </row>
    <row r="503" ht="15.75" customHeight="1">
      <c r="A503" s="16" t="s">
        <v>4836</v>
      </c>
      <c r="B503" s="18"/>
      <c r="C503" s="8" t="s">
        <v>5785</v>
      </c>
      <c r="D503" s="8">
        <v>1.0</v>
      </c>
      <c r="E503" s="8">
        <v>2.0</v>
      </c>
      <c r="F503" s="8" t="s">
        <v>5788</v>
      </c>
      <c r="G503" s="8" t="s">
        <v>1979</v>
      </c>
      <c r="H503" s="16" t="s">
        <v>3116</v>
      </c>
      <c r="I503" s="8" t="str">
        <f>IFERROR(__xludf.DUMMYFUNCTION("IF(OR(TRIM(G503)="""",TRIM(H503)=""""),"""",TEXTJOIN("", "",TRUE,ARRAYFORMULA(TRANSPOSE(TRIM(SPLIT(G503,"","")))&amp;""_""&amp;TRIM(SPLIT(H503,"","")))))"),"Elf_Male, Elf_Female, Human_Male, Human_Female, Orc_Male, Orc_Female")</f>
        <v>Elf_Male, Elf_Female, Human_Male, Human_Female, Orc_Male, Orc_Female</v>
      </c>
      <c r="J503" s="5" t="s">
        <v>4844</v>
      </c>
      <c r="L503" s="12" t="str">
        <f t="shared" si="1"/>
        <v>ModularSMPHair_HL,1,2</v>
      </c>
    </row>
    <row r="504" ht="15.75" customHeight="1">
      <c r="A504" s="16" t="s">
        <v>4836</v>
      </c>
      <c r="B504" s="18"/>
      <c r="C504" s="8" t="s">
        <v>5793</v>
      </c>
      <c r="D504" s="8">
        <v>1.0</v>
      </c>
      <c r="E504" s="8">
        <v>2.0</v>
      </c>
      <c r="F504" s="8" t="s">
        <v>5796</v>
      </c>
      <c r="G504" s="8" t="s">
        <v>1979</v>
      </c>
      <c r="H504" s="16" t="s">
        <v>3116</v>
      </c>
      <c r="I504" s="8" t="str">
        <f>IFERROR(__xludf.DUMMYFUNCTION("IF(OR(TRIM(G504)="""",TRIM(H504)=""""),"""",TEXTJOIN("", "",TRUE,ARRAYFORMULA(TRANSPOSE(TRIM(SPLIT(G504,"","")))&amp;""_""&amp;TRIM(SPLIT(H504,"","")))))"),"Elf_Male, Elf_Female, Human_Male, Human_Female, Orc_Male, Orc_Female")</f>
        <v>Elf_Male, Elf_Female, Human_Male, Human_Female, Orc_Male, Orc_Female</v>
      </c>
      <c r="J504" s="5" t="s">
        <v>4844</v>
      </c>
      <c r="L504" s="12" t="str">
        <f t="shared" si="1"/>
        <v>ModularSMPHair_HM1,1,2</v>
      </c>
    </row>
    <row r="505" ht="15.75" customHeight="1">
      <c r="A505" s="16" t="s">
        <v>4836</v>
      </c>
      <c r="B505" s="18"/>
      <c r="C505" s="8" t="s">
        <v>5801</v>
      </c>
      <c r="D505" s="8">
        <v>1.0</v>
      </c>
      <c r="E505" s="8">
        <v>2.0</v>
      </c>
      <c r="F505" s="8" t="s">
        <v>5803</v>
      </c>
      <c r="G505" s="8" t="s">
        <v>1979</v>
      </c>
      <c r="H505" s="16" t="s">
        <v>3116</v>
      </c>
      <c r="I505" s="8" t="str">
        <f>IFERROR(__xludf.DUMMYFUNCTION("IF(OR(TRIM(G505)="""",TRIM(H505)=""""),"""",TEXTJOIN("", "",TRUE,ARRAYFORMULA(TRANSPOSE(TRIM(SPLIT(G505,"","")))&amp;""_""&amp;TRIM(SPLIT(H505,"","")))))"),"Elf_Male, Elf_Female, Human_Male, Human_Female, Orc_Male, Orc_Female")</f>
        <v>Elf_Male, Elf_Female, Human_Male, Human_Female, Orc_Male, Orc_Female</v>
      </c>
      <c r="J505" s="5" t="s">
        <v>4844</v>
      </c>
      <c r="L505" s="12" t="str">
        <f t="shared" si="1"/>
        <v>ModularSMPHair_HM2,1,2</v>
      </c>
    </row>
    <row r="506" ht="15.75" customHeight="1">
      <c r="A506" s="16" t="s">
        <v>4836</v>
      </c>
      <c r="B506" s="18"/>
      <c r="C506" s="8" t="s">
        <v>5811</v>
      </c>
      <c r="D506" s="8">
        <v>1.0</v>
      </c>
      <c r="E506" s="8">
        <v>1.0</v>
      </c>
      <c r="F506" s="8" t="s">
        <v>5813</v>
      </c>
      <c r="G506" s="8" t="s">
        <v>3450</v>
      </c>
      <c r="H506" s="16" t="s">
        <v>3116</v>
      </c>
      <c r="I506" s="8" t="str">
        <f>IFERROR(__xludf.DUMMYFUNCTION("IF(OR(TRIM(G506)="""",TRIM(H506)=""""),"""",TEXTJOIN("", "",TRUE,ARRAYFORMULA(TRANSPOSE(TRIM(SPLIT(G506,"","")))&amp;""_""&amp;TRIM(SPLIT(H506,"","")))))"),"Elf_Male, Elf_Female, Human_Male, Human_Female, Orc_Male, Orc_Female, Khajiit_Male, Khajiit_Female")</f>
        <v>Elf_Male, Elf_Female, Human_Male, Human_Female, Orc_Male, Orc_Female, Khajiit_Male, Khajiit_Female</v>
      </c>
      <c r="J506" s="5" t="s">
        <v>4844</v>
      </c>
      <c r="L506" s="12" t="str">
        <f t="shared" si="1"/>
        <v>ModularSMPHair_I,1,1</v>
      </c>
    </row>
    <row r="507" ht="15.75" customHeight="1">
      <c r="A507" s="16" t="s">
        <v>4836</v>
      </c>
      <c r="B507" s="18"/>
      <c r="C507" s="8" t="s">
        <v>5818</v>
      </c>
      <c r="D507" s="8">
        <v>2.0</v>
      </c>
      <c r="E507" s="8">
        <v>2.0</v>
      </c>
      <c r="F507" s="8" t="s">
        <v>5820</v>
      </c>
      <c r="G507" s="8" t="s">
        <v>1979</v>
      </c>
      <c r="H507" s="16" t="s">
        <v>3116</v>
      </c>
      <c r="I507" s="8" t="str">
        <f>IFERROR(__xludf.DUMMYFUNCTION("IF(OR(TRIM(G507)="""",TRIM(H507)=""""),"""",TEXTJOIN("", "",TRUE,ARRAYFORMULA(TRANSPOSE(TRIM(SPLIT(G507,"","")))&amp;""_""&amp;TRIM(SPLIT(H507,"","")))))"),"Elf_Male, Elf_Female, Human_Male, Human_Female, Orc_Male, Orc_Female")</f>
        <v>Elf_Male, Elf_Female, Human_Male, Human_Female, Orc_Male, Orc_Female</v>
      </c>
      <c r="J507" s="5" t="s">
        <v>4844</v>
      </c>
      <c r="L507" s="12" t="str">
        <f t="shared" si="1"/>
        <v>ModularSMPHair_IB,2,2</v>
      </c>
    </row>
    <row r="508" ht="15.75" customHeight="1">
      <c r="A508" s="16" t="s">
        <v>4836</v>
      </c>
      <c r="B508" s="18"/>
      <c r="C508" s="8" t="s">
        <v>5823</v>
      </c>
      <c r="D508" s="8">
        <v>1.0</v>
      </c>
      <c r="E508" s="8">
        <v>1.0</v>
      </c>
      <c r="F508" s="8" t="s">
        <v>5824</v>
      </c>
      <c r="G508" s="8" t="s">
        <v>1979</v>
      </c>
      <c r="H508" s="16" t="s">
        <v>3116</v>
      </c>
      <c r="I508" s="8" t="str">
        <f>IFERROR(__xludf.DUMMYFUNCTION("IF(OR(TRIM(G508)="""",TRIM(H508)=""""),"""",TEXTJOIN("", "",TRUE,ARRAYFORMULA(TRANSPOSE(TRIM(SPLIT(G508,"","")))&amp;""_""&amp;TRIM(SPLIT(H508,"","")))))"),"Elf_Male, Elf_Female, Human_Male, Human_Female, Orc_Male, Orc_Female")</f>
        <v>Elf_Male, Elf_Female, Human_Male, Human_Female, Orc_Male, Orc_Female</v>
      </c>
      <c r="J508" s="5" t="s">
        <v>4844</v>
      </c>
      <c r="L508" s="12" t="str">
        <f t="shared" si="1"/>
        <v>ModularSMPHair_IC,1,1</v>
      </c>
    </row>
    <row r="509" ht="15.75" customHeight="1">
      <c r="A509" s="16" t="s">
        <v>4836</v>
      </c>
      <c r="B509" s="18"/>
      <c r="C509" s="8" t="s">
        <v>5830</v>
      </c>
      <c r="D509" s="8">
        <v>2.0</v>
      </c>
      <c r="E509" s="8">
        <v>2.0</v>
      </c>
      <c r="F509" s="8" t="s">
        <v>5831</v>
      </c>
      <c r="G509" s="8" t="s">
        <v>1979</v>
      </c>
      <c r="H509" s="16" t="s">
        <v>3116</v>
      </c>
      <c r="I509" s="8" t="str">
        <f>IFERROR(__xludf.DUMMYFUNCTION("IF(OR(TRIM(G509)="""",TRIM(H509)=""""),"""",TEXTJOIN("", "",TRUE,ARRAYFORMULA(TRANSPOSE(TRIM(SPLIT(G509,"","")))&amp;""_""&amp;TRIM(SPLIT(H509,"","")))))"),"Elf_Male, Elf_Female, Human_Male, Human_Female, Orc_Male, Orc_Female")</f>
        <v>Elf_Male, Elf_Female, Human_Male, Human_Female, Orc_Male, Orc_Female</v>
      </c>
      <c r="J509" s="5" t="s">
        <v>4844</v>
      </c>
      <c r="L509" s="12" t="str">
        <f t="shared" si="1"/>
        <v>ModularSMPHair_IE,2,2</v>
      </c>
    </row>
    <row r="510" ht="15.75" customHeight="1">
      <c r="A510" s="16" t="s">
        <v>4836</v>
      </c>
      <c r="B510" s="18"/>
      <c r="C510" s="8" t="s">
        <v>5838</v>
      </c>
      <c r="D510" s="8">
        <v>1.0</v>
      </c>
      <c r="E510" s="8">
        <v>1.0</v>
      </c>
      <c r="F510" s="8" t="s">
        <v>5839</v>
      </c>
      <c r="G510" s="8" t="s">
        <v>1979</v>
      </c>
      <c r="H510" s="16" t="s">
        <v>3116</v>
      </c>
      <c r="I510" s="8" t="str">
        <f>IFERROR(__xludf.DUMMYFUNCTION("IF(OR(TRIM(G510)="""",TRIM(H510)=""""),"""",TEXTJOIN("", "",TRUE,ARRAYFORMULA(TRANSPOSE(TRIM(SPLIT(G510,"","")))&amp;""_""&amp;TRIM(SPLIT(H510,"","")))))"),"Elf_Male, Elf_Female, Human_Male, Human_Female, Orc_Male, Orc_Female")</f>
        <v>Elf_Male, Elf_Female, Human_Male, Human_Female, Orc_Male, Orc_Female</v>
      </c>
      <c r="J510" s="5" t="s">
        <v>4844</v>
      </c>
      <c r="L510" s="12" t="str">
        <f t="shared" si="1"/>
        <v>ModularSMPHair_IF,1,1</v>
      </c>
    </row>
    <row r="511" ht="15.75" customHeight="1">
      <c r="A511" s="16" t="s">
        <v>4836</v>
      </c>
      <c r="B511" s="18"/>
      <c r="C511" s="8" t="s">
        <v>5844</v>
      </c>
      <c r="D511" s="8">
        <v>1.0</v>
      </c>
      <c r="E511" s="8">
        <v>1.0</v>
      </c>
      <c r="F511" s="8" t="s">
        <v>5846</v>
      </c>
      <c r="G511" s="8" t="s">
        <v>1979</v>
      </c>
      <c r="H511" s="16" t="s">
        <v>3116</v>
      </c>
      <c r="I511" s="8" t="str">
        <f>IFERROR(__xludf.DUMMYFUNCTION("IF(OR(TRIM(G511)="""",TRIM(H511)=""""),"""",TEXTJOIN("", "",TRUE,ARRAYFORMULA(TRANSPOSE(TRIM(SPLIT(G511,"","")))&amp;""_""&amp;TRIM(SPLIT(H511,"","")))))"),"Elf_Male, Elf_Female, Human_Male, Human_Female, Orc_Male, Orc_Female")</f>
        <v>Elf_Male, Elf_Female, Human_Male, Human_Female, Orc_Male, Orc_Female</v>
      </c>
      <c r="J511" s="5" t="s">
        <v>4844</v>
      </c>
      <c r="L511" s="12" t="str">
        <f t="shared" si="1"/>
        <v>ModularSMPHair_IG,1,1</v>
      </c>
    </row>
    <row r="512" ht="15.75" customHeight="1">
      <c r="A512" s="16" t="s">
        <v>4836</v>
      </c>
      <c r="B512" s="18"/>
      <c r="C512" s="8" t="s">
        <v>5851</v>
      </c>
      <c r="D512" s="8">
        <v>1.0</v>
      </c>
      <c r="E512" s="8">
        <v>1.0</v>
      </c>
      <c r="F512" s="8" t="s">
        <v>5854</v>
      </c>
      <c r="G512" s="8" t="s">
        <v>1979</v>
      </c>
      <c r="H512" s="16" t="s">
        <v>3116</v>
      </c>
      <c r="I512" s="8" t="str">
        <f>IFERROR(__xludf.DUMMYFUNCTION("IF(OR(TRIM(G512)="""",TRIM(H512)=""""),"""",TEXTJOIN("", "",TRUE,ARRAYFORMULA(TRANSPOSE(TRIM(SPLIT(G512,"","")))&amp;""_""&amp;TRIM(SPLIT(H512,"","")))))"),"Elf_Male, Elf_Female, Human_Male, Human_Female, Orc_Male, Orc_Female")</f>
        <v>Elf_Male, Elf_Female, Human_Male, Human_Female, Orc_Male, Orc_Female</v>
      </c>
      <c r="J512" s="5" t="s">
        <v>4844</v>
      </c>
      <c r="L512" s="12" t="str">
        <f t="shared" si="1"/>
        <v>ModularSMPHair_IH,1,1</v>
      </c>
    </row>
    <row r="513" ht="15.75" customHeight="1">
      <c r="A513" s="16" t="s">
        <v>4836</v>
      </c>
      <c r="B513" s="18"/>
      <c r="C513" s="8" t="s">
        <v>5860</v>
      </c>
      <c r="D513" s="8">
        <v>1.0</v>
      </c>
      <c r="E513" s="8">
        <v>1.0</v>
      </c>
      <c r="F513" s="8" t="s">
        <v>5862</v>
      </c>
      <c r="G513" s="8" t="s">
        <v>1979</v>
      </c>
      <c r="H513" s="16" t="s">
        <v>3116</v>
      </c>
      <c r="I513" s="8" t="str">
        <f>IFERROR(__xludf.DUMMYFUNCTION("IF(OR(TRIM(G513)="""",TRIM(H513)=""""),"""",TEXTJOIN("", "",TRUE,ARRAYFORMULA(TRANSPOSE(TRIM(SPLIT(G513,"","")))&amp;""_""&amp;TRIM(SPLIT(H513,"","")))))"),"Elf_Male, Elf_Female, Human_Male, Human_Female, Orc_Male, Orc_Female")</f>
        <v>Elf_Male, Elf_Female, Human_Male, Human_Female, Orc_Male, Orc_Female</v>
      </c>
      <c r="J513" s="5" t="s">
        <v>4844</v>
      </c>
      <c r="L513" s="12" t="str">
        <f t="shared" si="1"/>
        <v>ModularSMPHair_II,1,1</v>
      </c>
    </row>
    <row r="514" ht="15.75" customHeight="1">
      <c r="A514" s="16" t="s">
        <v>4836</v>
      </c>
      <c r="B514" s="18"/>
      <c r="C514" s="8" t="s">
        <v>5870</v>
      </c>
      <c r="D514" s="8">
        <v>1.0</v>
      </c>
      <c r="E514" s="8">
        <v>1.0</v>
      </c>
      <c r="F514" s="8" t="s">
        <v>5873</v>
      </c>
      <c r="G514" s="8" t="s">
        <v>1979</v>
      </c>
      <c r="H514" s="16" t="s">
        <v>3116</v>
      </c>
      <c r="I514" s="8" t="str">
        <f>IFERROR(__xludf.DUMMYFUNCTION("IF(OR(TRIM(G514)="""",TRIM(H514)=""""),"""",TEXTJOIN("", "",TRUE,ARRAYFORMULA(TRANSPOSE(TRIM(SPLIT(G514,"","")))&amp;""_""&amp;TRIM(SPLIT(H514,"","")))))"),"Elf_Male, Elf_Female, Human_Male, Human_Female, Orc_Male, Orc_Female")</f>
        <v>Elf_Male, Elf_Female, Human_Male, Human_Female, Orc_Male, Orc_Female</v>
      </c>
      <c r="J514" s="5" t="s">
        <v>4844</v>
      </c>
      <c r="L514" s="12" t="str">
        <f t="shared" si="1"/>
        <v>ModularSMPHair_IJ,1,1</v>
      </c>
    </row>
    <row r="515" ht="15.75" customHeight="1">
      <c r="A515" s="16" t="s">
        <v>4836</v>
      </c>
      <c r="B515" s="18"/>
      <c r="C515" s="8" t="s">
        <v>5880</v>
      </c>
      <c r="D515" s="8">
        <v>1.0</v>
      </c>
      <c r="E515" s="8">
        <v>1.0</v>
      </c>
      <c r="F515" s="8" t="s">
        <v>5882</v>
      </c>
      <c r="G515" s="8" t="s">
        <v>1979</v>
      </c>
      <c r="H515" s="16" t="s">
        <v>3116</v>
      </c>
      <c r="I515" s="8" t="str">
        <f>IFERROR(__xludf.DUMMYFUNCTION("IF(OR(TRIM(G515)="""",TRIM(H515)=""""),"""",TEXTJOIN("", "",TRUE,ARRAYFORMULA(TRANSPOSE(TRIM(SPLIT(G515,"","")))&amp;""_""&amp;TRIM(SPLIT(H515,"","")))))"),"Elf_Male, Elf_Female, Human_Male, Human_Female, Orc_Male, Orc_Female")</f>
        <v>Elf_Male, Elf_Female, Human_Male, Human_Female, Orc_Male, Orc_Female</v>
      </c>
      <c r="J515" s="5" t="s">
        <v>4844</v>
      </c>
      <c r="L515" s="12" t="str">
        <f t="shared" si="1"/>
        <v>ModularSMPHair_IK,1,1</v>
      </c>
    </row>
    <row r="516" ht="15.75" customHeight="1">
      <c r="A516" s="16" t="s">
        <v>4836</v>
      </c>
      <c r="B516" s="18"/>
      <c r="C516" s="8" t="s">
        <v>5889</v>
      </c>
      <c r="D516" s="8">
        <v>1.0</v>
      </c>
      <c r="E516" s="8">
        <v>1.0</v>
      </c>
      <c r="F516" s="8" t="s">
        <v>5892</v>
      </c>
      <c r="G516" s="8" t="s">
        <v>1979</v>
      </c>
      <c r="H516" s="16" t="s">
        <v>3116</v>
      </c>
      <c r="I516" s="8" t="str">
        <f>IFERROR(__xludf.DUMMYFUNCTION("IF(OR(TRIM(G516)="""",TRIM(H516)=""""),"""",TEXTJOIN("", "",TRUE,ARRAYFORMULA(TRANSPOSE(TRIM(SPLIT(G516,"","")))&amp;""_""&amp;TRIM(SPLIT(H516,"","")))))"),"Elf_Male, Elf_Female, Human_Male, Human_Female, Orc_Male, Orc_Female")</f>
        <v>Elf_Male, Elf_Female, Human_Male, Human_Female, Orc_Male, Orc_Female</v>
      </c>
      <c r="J516" s="5" t="s">
        <v>4844</v>
      </c>
      <c r="L516" s="12" t="str">
        <f t="shared" si="1"/>
        <v>ModularSMPHair_IL,1,1</v>
      </c>
    </row>
    <row r="517" ht="15.75" customHeight="1">
      <c r="A517" s="16" t="s">
        <v>4836</v>
      </c>
      <c r="B517" s="18"/>
      <c r="C517" s="8" t="s">
        <v>5898</v>
      </c>
      <c r="D517" s="8">
        <v>1.0</v>
      </c>
      <c r="E517" s="8">
        <v>1.0</v>
      </c>
      <c r="F517" s="8" t="s">
        <v>5899</v>
      </c>
      <c r="G517" s="8" t="s">
        <v>1979</v>
      </c>
      <c r="H517" s="16" t="s">
        <v>3116</v>
      </c>
      <c r="I517" s="8" t="str">
        <f>IFERROR(__xludf.DUMMYFUNCTION("IF(OR(TRIM(G517)="""",TRIM(H517)=""""),"""",TEXTJOIN("", "",TRUE,ARRAYFORMULA(TRANSPOSE(TRIM(SPLIT(G517,"","")))&amp;""_""&amp;TRIM(SPLIT(H517,"","")))))"),"Elf_Male, Elf_Female, Human_Male, Human_Female, Orc_Male, Orc_Female")</f>
        <v>Elf_Male, Elf_Female, Human_Male, Human_Female, Orc_Male, Orc_Female</v>
      </c>
      <c r="J517" s="5" t="s">
        <v>4844</v>
      </c>
      <c r="L517" s="12" t="str">
        <f t="shared" si="1"/>
        <v>ModularSMPHair_IM1,1,1</v>
      </c>
    </row>
    <row r="518" ht="15.75" customHeight="1">
      <c r="A518" s="16" t="s">
        <v>4836</v>
      </c>
      <c r="B518" s="18"/>
      <c r="C518" s="8" t="s">
        <v>5907</v>
      </c>
      <c r="D518" s="8">
        <v>1.0</v>
      </c>
      <c r="E518" s="8">
        <v>1.0</v>
      </c>
      <c r="F518" s="8" t="s">
        <v>5909</v>
      </c>
      <c r="G518" s="8" t="s">
        <v>1979</v>
      </c>
      <c r="H518" s="16" t="s">
        <v>3116</v>
      </c>
      <c r="I518" s="8" t="str">
        <f>IFERROR(__xludf.DUMMYFUNCTION("IF(OR(TRIM(G518)="""",TRIM(H518)=""""),"""",TEXTJOIN("", "",TRUE,ARRAYFORMULA(TRANSPOSE(TRIM(SPLIT(G518,"","")))&amp;""_""&amp;TRIM(SPLIT(H518,"","")))))"),"Elf_Male, Elf_Female, Human_Male, Human_Female, Orc_Male, Orc_Female")</f>
        <v>Elf_Male, Elf_Female, Human_Male, Human_Female, Orc_Male, Orc_Female</v>
      </c>
      <c r="J518" s="5" t="s">
        <v>4844</v>
      </c>
      <c r="L518" s="12" t="str">
        <f t="shared" si="1"/>
        <v>ModularSMPHair_IM2,1,1</v>
      </c>
    </row>
    <row r="519" ht="15.75" customHeight="1">
      <c r="A519" s="16" t="s">
        <v>4836</v>
      </c>
      <c r="B519" s="18"/>
      <c r="C519" s="8" t="s">
        <v>5913</v>
      </c>
      <c r="D519" s="8">
        <v>1.0</v>
      </c>
      <c r="E519" s="8">
        <v>3.0</v>
      </c>
      <c r="F519" s="8" t="s">
        <v>5915</v>
      </c>
      <c r="G519" s="8" t="s">
        <v>3450</v>
      </c>
      <c r="H519" s="16" t="s">
        <v>3116</v>
      </c>
      <c r="I519" s="8" t="str">
        <f>IFERROR(__xludf.DUMMYFUNCTION("IF(OR(TRIM(G519)="""",TRIM(H519)=""""),"""",TEXTJOIN("", "",TRUE,ARRAYFORMULA(TRANSPOSE(TRIM(SPLIT(G519,"","")))&amp;""_""&amp;TRIM(SPLIT(H519,"","")))))"),"Elf_Male, Elf_Female, Human_Male, Human_Female, Orc_Male, Orc_Female, Khajiit_Male, Khajiit_Female")</f>
        <v>Elf_Male, Elf_Female, Human_Male, Human_Female, Orc_Male, Orc_Female, Khajiit_Male, Khajiit_Female</v>
      </c>
      <c r="J519" s="5" t="s">
        <v>4844</v>
      </c>
      <c r="L519" s="12" t="str">
        <f t="shared" si="1"/>
        <v>ModularSMPHair_J,1,3</v>
      </c>
    </row>
    <row r="520" ht="15.75" customHeight="1">
      <c r="A520" s="16" t="s">
        <v>4836</v>
      </c>
      <c r="B520" s="18"/>
      <c r="C520" s="8" t="s">
        <v>5923</v>
      </c>
      <c r="D520" s="8">
        <v>2.0</v>
      </c>
      <c r="E520" s="8">
        <v>3.0</v>
      </c>
      <c r="F520" s="8" t="s">
        <v>5924</v>
      </c>
      <c r="G520" s="8" t="s">
        <v>1979</v>
      </c>
      <c r="H520" s="16" t="s">
        <v>3116</v>
      </c>
      <c r="I520" s="8" t="str">
        <f>IFERROR(__xludf.DUMMYFUNCTION("IF(OR(TRIM(G520)="""",TRIM(H520)=""""),"""",TEXTJOIN("", "",TRUE,ARRAYFORMULA(TRANSPOSE(TRIM(SPLIT(G520,"","")))&amp;""_""&amp;TRIM(SPLIT(H520,"","")))))"),"Elf_Male, Elf_Female, Human_Male, Human_Female, Orc_Male, Orc_Female")</f>
        <v>Elf_Male, Elf_Female, Human_Male, Human_Female, Orc_Male, Orc_Female</v>
      </c>
      <c r="J520" s="5" t="s">
        <v>4844</v>
      </c>
      <c r="L520" s="12" t="str">
        <f t="shared" si="1"/>
        <v>ModularSMPHair_JA,2,3</v>
      </c>
    </row>
    <row r="521" ht="15.75" customHeight="1">
      <c r="A521" s="16" t="s">
        <v>4836</v>
      </c>
      <c r="B521" s="18"/>
      <c r="C521" s="8" t="s">
        <v>5930</v>
      </c>
      <c r="D521" s="8">
        <v>2.0</v>
      </c>
      <c r="E521" s="8">
        <v>3.0</v>
      </c>
      <c r="F521" s="8" t="s">
        <v>5932</v>
      </c>
      <c r="G521" s="8" t="s">
        <v>1979</v>
      </c>
      <c r="H521" s="16" t="s">
        <v>3116</v>
      </c>
      <c r="I521" s="8" t="str">
        <f>IFERROR(__xludf.DUMMYFUNCTION("IF(OR(TRIM(G521)="""",TRIM(H521)=""""),"""",TEXTJOIN("", "",TRUE,ARRAYFORMULA(TRANSPOSE(TRIM(SPLIT(G521,"","")))&amp;""_""&amp;TRIM(SPLIT(H521,"","")))))"),"Elf_Male, Elf_Female, Human_Male, Human_Female, Orc_Male, Orc_Female")</f>
        <v>Elf_Male, Elf_Female, Human_Male, Human_Female, Orc_Male, Orc_Female</v>
      </c>
      <c r="J521" s="5" t="s">
        <v>4844</v>
      </c>
      <c r="L521" s="12" t="str">
        <f t="shared" si="1"/>
        <v>ModularSMPHair_JB,2,3</v>
      </c>
    </row>
    <row r="522" ht="15.75" customHeight="1">
      <c r="A522" s="16" t="s">
        <v>4836</v>
      </c>
      <c r="B522" s="18"/>
      <c r="C522" s="8" t="s">
        <v>5938</v>
      </c>
      <c r="D522" s="8">
        <v>1.0</v>
      </c>
      <c r="E522" s="8">
        <v>3.0</v>
      </c>
      <c r="F522" s="8" t="s">
        <v>5940</v>
      </c>
      <c r="G522" s="8" t="s">
        <v>1979</v>
      </c>
      <c r="H522" s="16" t="s">
        <v>3116</v>
      </c>
      <c r="I522" s="8" t="str">
        <f>IFERROR(__xludf.DUMMYFUNCTION("IF(OR(TRIM(G522)="""",TRIM(H522)=""""),"""",TEXTJOIN("", "",TRUE,ARRAYFORMULA(TRANSPOSE(TRIM(SPLIT(G522,"","")))&amp;""_""&amp;TRIM(SPLIT(H522,"","")))))"),"Elf_Male, Elf_Female, Human_Male, Human_Female, Orc_Male, Orc_Female")</f>
        <v>Elf_Male, Elf_Female, Human_Male, Human_Female, Orc_Male, Orc_Female</v>
      </c>
      <c r="J522" s="5" t="s">
        <v>4844</v>
      </c>
      <c r="L522" s="12" t="str">
        <f t="shared" si="1"/>
        <v>ModularSMPHair_JC,1,3</v>
      </c>
    </row>
    <row r="523" ht="15.75" customHeight="1">
      <c r="A523" s="16" t="s">
        <v>4836</v>
      </c>
      <c r="B523" s="18"/>
      <c r="C523" s="8" t="s">
        <v>5944</v>
      </c>
      <c r="D523" s="8">
        <v>1.0</v>
      </c>
      <c r="E523" s="8">
        <v>3.0</v>
      </c>
      <c r="F523" s="8" t="s">
        <v>5946</v>
      </c>
      <c r="G523" s="8" t="s">
        <v>1979</v>
      </c>
      <c r="H523" s="16" t="s">
        <v>3116</v>
      </c>
      <c r="I523" s="8" t="str">
        <f>IFERROR(__xludf.DUMMYFUNCTION("IF(OR(TRIM(G523)="""",TRIM(H523)=""""),"""",TEXTJOIN("", "",TRUE,ARRAYFORMULA(TRANSPOSE(TRIM(SPLIT(G523,"","")))&amp;""_""&amp;TRIM(SPLIT(H523,"","")))))"),"Elf_Male, Elf_Female, Human_Male, Human_Female, Orc_Male, Orc_Female")</f>
        <v>Elf_Male, Elf_Female, Human_Male, Human_Female, Orc_Male, Orc_Female</v>
      </c>
      <c r="J523" s="5" t="s">
        <v>4844</v>
      </c>
      <c r="L523" s="12" t="str">
        <f t="shared" si="1"/>
        <v>ModularSMPHair_JD,1,3</v>
      </c>
    </row>
    <row r="524" ht="15.75" customHeight="1">
      <c r="A524" s="16" t="s">
        <v>4836</v>
      </c>
      <c r="B524" s="18"/>
      <c r="C524" s="8" t="s">
        <v>5952</v>
      </c>
      <c r="D524" s="8">
        <v>2.0</v>
      </c>
      <c r="E524" s="8">
        <v>3.0</v>
      </c>
      <c r="F524" s="8" t="s">
        <v>5953</v>
      </c>
      <c r="G524" s="8" t="s">
        <v>1979</v>
      </c>
      <c r="H524" s="16" t="s">
        <v>3116</v>
      </c>
      <c r="I524" s="8" t="str">
        <f>IFERROR(__xludf.DUMMYFUNCTION("IF(OR(TRIM(G524)="""",TRIM(H524)=""""),"""",TEXTJOIN("", "",TRUE,ARRAYFORMULA(TRANSPOSE(TRIM(SPLIT(G524,"","")))&amp;""_""&amp;TRIM(SPLIT(H524,"","")))))"),"Elf_Male, Elf_Female, Human_Male, Human_Female, Orc_Male, Orc_Female")</f>
        <v>Elf_Male, Elf_Female, Human_Male, Human_Female, Orc_Male, Orc_Female</v>
      </c>
      <c r="J524" s="5" t="s">
        <v>4844</v>
      </c>
      <c r="L524" s="12" t="str">
        <f t="shared" si="1"/>
        <v>ModularSMPHair_JE,2,3</v>
      </c>
    </row>
    <row r="525" ht="15.75" customHeight="1">
      <c r="A525" s="16" t="s">
        <v>4836</v>
      </c>
      <c r="B525" s="18"/>
      <c r="C525" s="8" t="s">
        <v>5961</v>
      </c>
      <c r="D525" s="8">
        <v>1.0</v>
      </c>
      <c r="E525" s="8">
        <v>3.0</v>
      </c>
      <c r="F525" s="8" t="s">
        <v>5963</v>
      </c>
      <c r="G525" s="8" t="s">
        <v>1979</v>
      </c>
      <c r="H525" s="16" t="s">
        <v>3116</v>
      </c>
      <c r="I525" s="8" t="str">
        <f>IFERROR(__xludf.DUMMYFUNCTION("IF(OR(TRIM(G525)="""",TRIM(H525)=""""),"""",TEXTJOIN("", "",TRUE,ARRAYFORMULA(TRANSPOSE(TRIM(SPLIT(G525,"","")))&amp;""_""&amp;TRIM(SPLIT(H525,"","")))))"),"Elf_Male, Elf_Female, Human_Male, Human_Female, Orc_Male, Orc_Female")</f>
        <v>Elf_Male, Elf_Female, Human_Male, Human_Female, Orc_Male, Orc_Female</v>
      </c>
      <c r="J525" s="5" t="s">
        <v>4844</v>
      </c>
      <c r="L525" s="12" t="str">
        <f t="shared" si="1"/>
        <v>ModularSMPHair_JF,1,3</v>
      </c>
    </row>
    <row r="526" ht="15.75" customHeight="1">
      <c r="A526" s="16" t="s">
        <v>4836</v>
      </c>
      <c r="B526" s="18"/>
      <c r="C526" s="8" t="s">
        <v>5970</v>
      </c>
      <c r="D526" s="8">
        <v>1.0</v>
      </c>
      <c r="E526" s="8">
        <v>3.0</v>
      </c>
      <c r="F526" s="8" t="s">
        <v>5972</v>
      </c>
      <c r="G526" s="8" t="s">
        <v>1979</v>
      </c>
      <c r="H526" s="16" t="s">
        <v>3116</v>
      </c>
      <c r="I526" s="8" t="str">
        <f>IFERROR(__xludf.DUMMYFUNCTION("IF(OR(TRIM(G526)="""",TRIM(H526)=""""),"""",TEXTJOIN("", "",TRUE,ARRAYFORMULA(TRANSPOSE(TRIM(SPLIT(G526,"","")))&amp;""_""&amp;TRIM(SPLIT(H526,"","")))))"),"Elf_Male, Elf_Female, Human_Male, Human_Female, Orc_Male, Orc_Female")</f>
        <v>Elf_Male, Elf_Female, Human_Male, Human_Female, Orc_Male, Orc_Female</v>
      </c>
      <c r="J526" s="5" t="s">
        <v>4844</v>
      </c>
      <c r="L526" s="12" t="str">
        <f t="shared" si="1"/>
        <v>ModularSMPHair_JG,1,3</v>
      </c>
    </row>
    <row r="527" ht="15.75" customHeight="1">
      <c r="A527" s="16" t="s">
        <v>4836</v>
      </c>
      <c r="B527" s="18"/>
      <c r="C527" s="8" t="s">
        <v>5976</v>
      </c>
      <c r="D527" s="8">
        <v>1.0</v>
      </c>
      <c r="E527" s="8">
        <v>3.0</v>
      </c>
      <c r="F527" s="8" t="s">
        <v>5978</v>
      </c>
      <c r="G527" s="8" t="s">
        <v>1979</v>
      </c>
      <c r="H527" s="16" t="s">
        <v>3116</v>
      </c>
      <c r="I527" s="8" t="str">
        <f>IFERROR(__xludf.DUMMYFUNCTION("IF(OR(TRIM(G527)="""",TRIM(H527)=""""),"""",TEXTJOIN("", "",TRUE,ARRAYFORMULA(TRANSPOSE(TRIM(SPLIT(G527,"","")))&amp;""_""&amp;TRIM(SPLIT(H527,"","")))))"),"Elf_Male, Elf_Female, Human_Male, Human_Female, Orc_Male, Orc_Female")</f>
        <v>Elf_Male, Elf_Female, Human_Male, Human_Female, Orc_Male, Orc_Female</v>
      </c>
      <c r="J527" s="5" t="s">
        <v>4844</v>
      </c>
      <c r="L527" s="12" t="str">
        <f t="shared" si="1"/>
        <v>ModularSMPHair_JI,1,3</v>
      </c>
    </row>
    <row r="528" ht="15.75" customHeight="1">
      <c r="A528" s="16" t="s">
        <v>4836</v>
      </c>
      <c r="B528" s="18"/>
      <c r="C528" s="8" t="s">
        <v>5981</v>
      </c>
      <c r="D528" s="8">
        <v>1.0</v>
      </c>
      <c r="E528" s="8">
        <v>3.0</v>
      </c>
      <c r="F528" s="8" t="s">
        <v>5982</v>
      </c>
      <c r="G528" s="8" t="s">
        <v>1979</v>
      </c>
      <c r="H528" s="16" t="s">
        <v>3116</v>
      </c>
      <c r="I528" s="8" t="str">
        <f>IFERROR(__xludf.DUMMYFUNCTION("IF(OR(TRIM(G528)="""",TRIM(H528)=""""),"""",TEXTJOIN("", "",TRUE,ARRAYFORMULA(TRANSPOSE(TRIM(SPLIT(G528,"","")))&amp;""_""&amp;TRIM(SPLIT(H528,"","")))))"),"Elf_Male, Elf_Female, Human_Male, Human_Female, Orc_Male, Orc_Female")</f>
        <v>Elf_Male, Elf_Female, Human_Male, Human_Female, Orc_Male, Orc_Female</v>
      </c>
      <c r="J528" s="5" t="s">
        <v>4844</v>
      </c>
      <c r="L528" s="12" t="str">
        <f t="shared" si="1"/>
        <v>ModularSMPHair_JJ,1,3</v>
      </c>
    </row>
    <row r="529" ht="15.75" customHeight="1">
      <c r="A529" s="16" t="s">
        <v>4836</v>
      </c>
      <c r="B529" s="18"/>
      <c r="C529" s="8" t="s">
        <v>5990</v>
      </c>
      <c r="D529" s="8">
        <v>1.0</v>
      </c>
      <c r="E529" s="8">
        <v>3.0</v>
      </c>
      <c r="F529" s="8" t="s">
        <v>5991</v>
      </c>
      <c r="G529" s="8" t="s">
        <v>1979</v>
      </c>
      <c r="H529" s="16" t="s">
        <v>3116</v>
      </c>
      <c r="I529" s="8" t="str">
        <f>IFERROR(__xludf.DUMMYFUNCTION("IF(OR(TRIM(G529)="""",TRIM(H529)=""""),"""",TEXTJOIN("", "",TRUE,ARRAYFORMULA(TRANSPOSE(TRIM(SPLIT(G529,"","")))&amp;""_""&amp;TRIM(SPLIT(H529,"","")))))"),"Elf_Male, Elf_Female, Human_Male, Human_Female, Orc_Male, Orc_Female")</f>
        <v>Elf_Male, Elf_Female, Human_Male, Human_Female, Orc_Male, Orc_Female</v>
      </c>
      <c r="J529" s="5" t="s">
        <v>4844</v>
      </c>
      <c r="L529" s="12" t="str">
        <f t="shared" si="1"/>
        <v>ModularSMPHair_JK,1,3</v>
      </c>
    </row>
    <row r="530" ht="15.75" customHeight="1">
      <c r="A530" s="16" t="s">
        <v>4836</v>
      </c>
      <c r="B530" s="18"/>
      <c r="C530" s="8" t="s">
        <v>5997</v>
      </c>
      <c r="D530" s="8">
        <v>1.0</v>
      </c>
      <c r="E530" s="8">
        <v>3.0</v>
      </c>
      <c r="F530" s="8" t="s">
        <v>5998</v>
      </c>
      <c r="G530" s="8" t="s">
        <v>1979</v>
      </c>
      <c r="H530" s="16" t="s">
        <v>3116</v>
      </c>
      <c r="I530" s="8" t="str">
        <f>IFERROR(__xludf.DUMMYFUNCTION("IF(OR(TRIM(G530)="""",TRIM(H530)=""""),"""",TEXTJOIN("", "",TRUE,ARRAYFORMULA(TRANSPOSE(TRIM(SPLIT(G530,"","")))&amp;""_""&amp;TRIM(SPLIT(H530,"","")))))"),"Elf_Male, Elf_Female, Human_Male, Human_Female, Orc_Male, Orc_Female")</f>
        <v>Elf_Male, Elf_Female, Human_Male, Human_Female, Orc_Male, Orc_Female</v>
      </c>
      <c r="J530" s="5" t="s">
        <v>4844</v>
      </c>
      <c r="L530" s="12" t="str">
        <f t="shared" si="1"/>
        <v>ModularSMPHair_JL,1,3</v>
      </c>
    </row>
    <row r="531" ht="15.75" customHeight="1">
      <c r="A531" s="16" t="s">
        <v>4836</v>
      </c>
      <c r="B531" s="18"/>
      <c r="C531" s="8" t="s">
        <v>6005</v>
      </c>
      <c r="D531" s="8">
        <v>1.0</v>
      </c>
      <c r="E531" s="8">
        <v>3.0</v>
      </c>
      <c r="F531" s="8" t="s">
        <v>6006</v>
      </c>
      <c r="G531" s="8" t="s">
        <v>1979</v>
      </c>
      <c r="H531" s="16" t="s">
        <v>3116</v>
      </c>
      <c r="I531" s="8" t="str">
        <f>IFERROR(__xludf.DUMMYFUNCTION("IF(OR(TRIM(G531)="""",TRIM(H531)=""""),"""",TEXTJOIN("", "",TRUE,ARRAYFORMULA(TRANSPOSE(TRIM(SPLIT(G531,"","")))&amp;""_""&amp;TRIM(SPLIT(H531,"","")))))"),"Elf_Male, Elf_Female, Human_Male, Human_Female, Orc_Male, Orc_Female")</f>
        <v>Elf_Male, Elf_Female, Human_Male, Human_Female, Orc_Male, Orc_Female</v>
      </c>
      <c r="J531" s="5" t="s">
        <v>4844</v>
      </c>
      <c r="L531" s="12" t="str">
        <f t="shared" si="1"/>
        <v>ModularSMPHair_JM1,1,3</v>
      </c>
    </row>
    <row r="532" ht="15.75" customHeight="1">
      <c r="A532" s="16" t="s">
        <v>4836</v>
      </c>
      <c r="B532" s="18"/>
      <c r="C532" s="8" t="s">
        <v>6012</v>
      </c>
      <c r="D532" s="8">
        <v>1.0</v>
      </c>
      <c r="E532" s="8">
        <v>3.0</v>
      </c>
      <c r="F532" s="8" t="s">
        <v>6015</v>
      </c>
      <c r="G532" s="8" t="s">
        <v>1979</v>
      </c>
      <c r="H532" s="16" t="s">
        <v>3116</v>
      </c>
      <c r="I532" s="8" t="str">
        <f>IFERROR(__xludf.DUMMYFUNCTION("IF(OR(TRIM(G532)="""",TRIM(H532)=""""),"""",TEXTJOIN("", "",TRUE,ARRAYFORMULA(TRANSPOSE(TRIM(SPLIT(G532,"","")))&amp;""_""&amp;TRIM(SPLIT(H532,"","")))))"),"Elf_Male, Elf_Female, Human_Male, Human_Female, Orc_Male, Orc_Female")</f>
        <v>Elf_Male, Elf_Female, Human_Male, Human_Female, Orc_Male, Orc_Female</v>
      </c>
      <c r="J532" s="5" t="s">
        <v>4844</v>
      </c>
      <c r="L532" s="12" t="str">
        <f t="shared" si="1"/>
        <v>ModularSMPHair_JM2,1,3</v>
      </c>
    </row>
    <row r="533" ht="15.75" customHeight="1">
      <c r="A533" s="16" t="s">
        <v>4836</v>
      </c>
      <c r="B533" s="18"/>
      <c r="C533" s="8" t="s">
        <v>6021</v>
      </c>
      <c r="D533" s="8">
        <v>1.0</v>
      </c>
      <c r="E533" s="8">
        <v>3.0</v>
      </c>
      <c r="F533" s="8" t="s">
        <v>6024</v>
      </c>
      <c r="G533" s="8" t="s">
        <v>3450</v>
      </c>
      <c r="H533" s="16" t="s">
        <v>3116</v>
      </c>
      <c r="I533" s="8" t="str">
        <f>IFERROR(__xludf.DUMMYFUNCTION("IF(OR(TRIM(G533)="""",TRIM(H533)=""""),"""",TEXTJOIN("", "",TRUE,ARRAYFORMULA(TRANSPOSE(TRIM(SPLIT(G533,"","")))&amp;""_""&amp;TRIM(SPLIT(H533,"","")))))"),"Elf_Male, Elf_Female, Human_Male, Human_Female, Orc_Male, Orc_Female, Khajiit_Male, Khajiit_Female")</f>
        <v>Elf_Male, Elf_Female, Human_Male, Human_Female, Orc_Male, Orc_Female, Khajiit_Male, Khajiit_Female</v>
      </c>
      <c r="J533" s="5" t="s">
        <v>4844</v>
      </c>
      <c r="L533" s="12" t="str">
        <f t="shared" si="1"/>
        <v>ModularSMPHair_L,1,3</v>
      </c>
    </row>
    <row r="534" ht="15.75" customHeight="1">
      <c r="A534" s="16" t="s">
        <v>4836</v>
      </c>
      <c r="B534" s="18"/>
      <c r="C534" s="8" t="s">
        <v>6030</v>
      </c>
      <c r="D534" s="8">
        <v>2.0</v>
      </c>
      <c r="E534" s="8">
        <v>3.0</v>
      </c>
      <c r="F534" s="8" t="s">
        <v>6033</v>
      </c>
      <c r="G534" s="8" t="s">
        <v>1979</v>
      </c>
      <c r="H534" s="16" t="s">
        <v>3116</v>
      </c>
      <c r="I534" s="8" t="str">
        <f>IFERROR(__xludf.DUMMYFUNCTION("IF(OR(TRIM(G534)="""",TRIM(H534)=""""),"""",TEXTJOIN("", "",TRUE,ARRAYFORMULA(TRANSPOSE(TRIM(SPLIT(G534,"","")))&amp;""_""&amp;TRIM(SPLIT(H534,"","")))))"),"Elf_Male, Elf_Female, Human_Male, Human_Female, Orc_Male, Orc_Female")</f>
        <v>Elf_Male, Elf_Female, Human_Male, Human_Female, Orc_Male, Orc_Female</v>
      </c>
      <c r="J534" s="5" t="s">
        <v>4844</v>
      </c>
      <c r="L534" s="12" t="str">
        <f t="shared" si="1"/>
        <v>ModularSMPHair_LA,2,3</v>
      </c>
    </row>
    <row r="535" ht="15.75" customHeight="1">
      <c r="A535" s="16" t="s">
        <v>4836</v>
      </c>
      <c r="B535" s="18"/>
      <c r="C535" s="8" t="s">
        <v>6038</v>
      </c>
      <c r="D535" s="8">
        <v>2.0</v>
      </c>
      <c r="E535" s="8">
        <v>3.0</v>
      </c>
      <c r="F535" s="8" t="s">
        <v>6040</v>
      </c>
      <c r="G535" s="8" t="s">
        <v>1979</v>
      </c>
      <c r="H535" s="16" t="s">
        <v>3116</v>
      </c>
      <c r="I535" s="8" t="str">
        <f>IFERROR(__xludf.DUMMYFUNCTION("IF(OR(TRIM(G535)="""",TRIM(H535)=""""),"""",TEXTJOIN("", "",TRUE,ARRAYFORMULA(TRANSPOSE(TRIM(SPLIT(G535,"","")))&amp;""_""&amp;TRIM(SPLIT(H535,"","")))))"),"Elf_Male, Elf_Female, Human_Male, Human_Female, Orc_Male, Orc_Female")</f>
        <v>Elf_Male, Elf_Female, Human_Male, Human_Female, Orc_Male, Orc_Female</v>
      </c>
      <c r="J535" s="5" t="s">
        <v>4844</v>
      </c>
      <c r="L535" s="12" t="str">
        <f t="shared" si="1"/>
        <v>ModularSMPHair_LB,2,3</v>
      </c>
    </row>
    <row r="536" ht="15.75" customHeight="1">
      <c r="A536" s="16" t="s">
        <v>4836</v>
      </c>
      <c r="B536" s="18"/>
      <c r="C536" s="8" t="s">
        <v>6046</v>
      </c>
      <c r="D536" s="8">
        <v>1.0</v>
      </c>
      <c r="E536" s="8">
        <v>3.0</v>
      </c>
      <c r="F536" s="8" t="s">
        <v>6047</v>
      </c>
      <c r="G536" s="8" t="s">
        <v>1979</v>
      </c>
      <c r="H536" s="16" t="s">
        <v>3116</v>
      </c>
      <c r="I536" s="8" t="str">
        <f>IFERROR(__xludf.DUMMYFUNCTION("IF(OR(TRIM(G536)="""",TRIM(H536)=""""),"""",TEXTJOIN("", "",TRUE,ARRAYFORMULA(TRANSPOSE(TRIM(SPLIT(G536,"","")))&amp;""_""&amp;TRIM(SPLIT(H536,"","")))))"),"Elf_Male, Elf_Female, Human_Male, Human_Female, Orc_Male, Orc_Female")</f>
        <v>Elf_Male, Elf_Female, Human_Male, Human_Female, Orc_Male, Orc_Female</v>
      </c>
      <c r="J536" s="5" t="s">
        <v>4844</v>
      </c>
      <c r="L536" s="12" t="str">
        <f t="shared" si="1"/>
        <v>ModularSMPHair_LC,1,3</v>
      </c>
    </row>
    <row r="537" ht="15.75" customHeight="1">
      <c r="A537" s="16" t="s">
        <v>4836</v>
      </c>
      <c r="B537" s="18"/>
      <c r="C537" s="8" t="s">
        <v>6055</v>
      </c>
      <c r="D537" s="8">
        <v>1.0</v>
      </c>
      <c r="E537" s="8">
        <v>3.0</v>
      </c>
      <c r="F537" s="8" t="s">
        <v>6058</v>
      </c>
      <c r="G537" s="8" t="s">
        <v>1979</v>
      </c>
      <c r="H537" s="16" t="s">
        <v>3116</v>
      </c>
      <c r="I537" s="8" t="str">
        <f>IFERROR(__xludf.DUMMYFUNCTION("IF(OR(TRIM(G537)="""",TRIM(H537)=""""),"""",TEXTJOIN("", "",TRUE,ARRAYFORMULA(TRANSPOSE(TRIM(SPLIT(G537,"","")))&amp;""_""&amp;TRIM(SPLIT(H537,"","")))))"),"Elf_Male, Elf_Female, Human_Male, Human_Female, Orc_Male, Orc_Female")</f>
        <v>Elf_Male, Elf_Female, Human_Male, Human_Female, Orc_Male, Orc_Female</v>
      </c>
      <c r="J537" s="5" t="s">
        <v>4844</v>
      </c>
      <c r="L537" s="12" t="str">
        <f t="shared" si="1"/>
        <v>ModularSMPHair_LD,1,3</v>
      </c>
    </row>
    <row r="538" ht="15.75" customHeight="1">
      <c r="A538" s="16" t="s">
        <v>4836</v>
      </c>
      <c r="B538" s="18"/>
      <c r="C538" s="8" t="s">
        <v>6063</v>
      </c>
      <c r="D538" s="8">
        <v>2.0</v>
      </c>
      <c r="E538" s="8">
        <v>3.0</v>
      </c>
      <c r="F538" s="8" t="s">
        <v>6065</v>
      </c>
      <c r="G538" s="8" t="s">
        <v>1979</v>
      </c>
      <c r="H538" s="16" t="s">
        <v>3116</v>
      </c>
      <c r="I538" s="8" t="str">
        <f>IFERROR(__xludf.DUMMYFUNCTION("IF(OR(TRIM(G538)="""",TRIM(H538)=""""),"""",TEXTJOIN("", "",TRUE,ARRAYFORMULA(TRANSPOSE(TRIM(SPLIT(G538,"","")))&amp;""_""&amp;TRIM(SPLIT(H538,"","")))))"),"Elf_Male, Elf_Female, Human_Male, Human_Female, Orc_Male, Orc_Female")</f>
        <v>Elf_Male, Elf_Female, Human_Male, Human_Female, Orc_Male, Orc_Female</v>
      </c>
      <c r="J538" s="5" t="s">
        <v>4844</v>
      </c>
      <c r="L538" s="12" t="str">
        <f t="shared" si="1"/>
        <v>ModularSMPHair_LE,2,3</v>
      </c>
    </row>
    <row r="539" ht="15.75" customHeight="1">
      <c r="A539" s="16" t="s">
        <v>4836</v>
      </c>
      <c r="B539" s="18"/>
      <c r="C539" s="8" t="s">
        <v>6072</v>
      </c>
      <c r="D539" s="8">
        <v>1.0</v>
      </c>
      <c r="E539" s="8">
        <v>3.0</v>
      </c>
      <c r="F539" s="8" t="s">
        <v>6075</v>
      </c>
      <c r="G539" s="8" t="s">
        <v>1979</v>
      </c>
      <c r="H539" s="16" t="s">
        <v>3116</v>
      </c>
      <c r="I539" s="8" t="str">
        <f>IFERROR(__xludf.DUMMYFUNCTION("IF(OR(TRIM(G539)="""",TRIM(H539)=""""),"""",TEXTJOIN("", "",TRUE,ARRAYFORMULA(TRANSPOSE(TRIM(SPLIT(G539,"","")))&amp;""_""&amp;TRIM(SPLIT(H539,"","")))))"),"Elf_Male, Elf_Female, Human_Male, Human_Female, Orc_Male, Orc_Female")</f>
        <v>Elf_Male, Elf_Female, Human_Male, Human_Female, Orc_Male, Orc_Female</v>
      </c>
      <c r="J539" s="5" t="s">
        <v>4844</v>
      </c>
      <c r="L539" s="12" t="str">
        <f t="shared" si="1"/>
        <v>ModularSMPHair_LF,1,3</v>
      </c>
    </row>
    <row r="540" ht="15.75" customHeight="1">
      <c r="A540" s="16" t="s">
        <v>4836</v>
      </c>
      <c r="B540" s="18"/>
      <c r="C540" s="8" t="s">
        <v>6082</v>
      </c>
      <c r="D540" s="8">
        <v>1.0</v>
      </c>
      <c r="E540" s="8">
        <v>3.0</v>
      </c>
      <c r="F540" s="8" t="s">
        <v>6083</v>
      </c>
      <c r="G540" s="8" t="s">
        <v>1979</v>
      </c>
      <c r="H540" s="16" t="s">
        <v>3116</v>
      </c>
      <c r="I540" s="8" t="str">
        <f>IFERROR(__xludf.DUMMYFUNCTION("IF(OR(TRIM(G540)="""",TRIM(H540)=""""),"""",TEXTJOIN("", "",TRUE,ARRAYFORMULA(TRANSPOSE(TRIM(SPLIT(G540,"","")))&amp;""_""&amp;TRIM(SPLIT(H540,"","")))))"),"Elf_Male, Elf_Female, Human_Male, Human_Female, Orc_Male, Orc_Female")</f>
        <v>Elf_Male, Elf_Female, Human_Male, Human_Female, Orc_Male, Orc_Female</v>
      </c>
      <c r="J540" s="5" t="s">
        <v>4844</v>
      </c>
      <c r="L540" s="12" t="str">
        <f t="shared" si="1"/>
        <v>ModularSMPHair_LG,1,3</v>
      </c>
    </row>
    <row r="541" ht="15.75" customHeight="1">
      <c r="A541" s="16" t="s">
        <v>4836</v>
      </c>
      <c r="B541" s="18"/>
      <c r="C541" s="8" t="s">
        <v>6091</v>
      </c>
      <c r="D541" s="8">
        <v>1.0</v>
      </c>
      <c r="E541" s="8">
        <v>3.0</v>
      </c>
      <c r="F541" s="8" t="s">
        <v>6093</v>
      </c>
      <c r="G541" s="8" t="s">
        <v>1979</v>
      </c>
      <c r="H541" s="16" t="s">
        <v>3116</v>
      </c>
      <c r="I541" s="8" t="str">
        <f>IFERROR(__xludf.DUMMYFUNCTION("IF(OR(TRIM(G541)="""",TRIM(H541)=""""),"""",TEXTJOIN("", "",TRUE,ARRAYFORMULA(TRANSPOSE(TRIM(SPLIT(G541,"","")))&amp;""_""&amp;TRIM(SPLIT(H541,"","")))))"),"Elf_Male, Elf_Female, Human_Male, Human_Female, Orc_Male, Orc_Female")</f>
        <v>Elf_Male, Elf_Female, Human_Male, Human_Female, Orc_Male, Orc_Female</v>
      </c>
      <c r="J541" s="5" t="s">
        <v>4844</v>
      </c>
      <c r="L541" s="12" t="str">
        <f t="shared" si="1"/>
        <v>ModularSMPHair_LI,1,3</v>
      </c>
    </row>
    <row r="542" ht="15.75" customHeight="1">
      <c r="A542" s="16" t="s">
        <v>4836</v>
      </c>
      <c r="B542" s="18"/>
      <c r="C542" s="8" t="s">
        <v>6100</v>
      </c>
      <c r="D542" s="8">
        <v>1.0</v>
      </c>
      <c r="E542" s="8">
        <v>3.0</v>
      </c>
      <c r="F542" s="8" t="s">
        <v>6103</v>
      </c>
      <c r="G542" s="8" t="s">
        <v>1979</v>
      </c>
      <c r="H542" s="16" t="s">
        <v>3116</v>
      </c>
      <c r="I542" s="8" t="str">
        <f>IFERROR(__xludf.DUMMYFUNCTION("IF(OR(TRIM(G542)="""",TRIM(H542)=""""),"""",TEXTJOIN("", "",TRUE,ARRAYFORMULA(TRANSPOSE(TRIM(SPLIT(G542,"","")))&amp;""_""&amp;TRIM(SPLIT(H542,"","")))))"),"Elf_Male, Elf_Female, Human_Male, Human_Female, Orc_Male, Orc_Female")</f>
        <v>Elf_Male, Elf_Female, Human_Male, Human_Female, Orc_Male, Orc_Female</v>
      </c>
      <c r="J542" s="5" t="s">
        <v>4844</v>
      </c>
      <c r="L542" s="12" t="str">
        <f t="shared" si="1"/>
        <v>ModularSMPHair_LJ,1,3</v>
      </c>
    </row>
    <row r="543" ht="15.75" customHeight="1">
      <c r="A543" s="16" t="s">
        <v>4836</v>
      </c>
      <c r="B543" s="18"/>
      <c r="C543" s="8" t="s">
        <v>6109</v>
      </c>
      <c r="D543" s="8">
        <v>1.0</v>
      </c>
      <c r="E543" s="8">
        <v>3.0</v>
      </c>
      <c r="F543" s="8" t="s">
        <v>6111</v>
      </c>
      <c r="G543" s="8" t="s">
        <v>1979</v>
      </c>
      <c r="H543" s="16" t="s">
        <v>3116</v>
      </c>
      <c r="I543" s="8" t="str">
        <f>IFERROR(__xludf.DUMMYFUNCTION("IF(OR(TRIM(G543)="""",TRIM(H543)=""""),"""",TEXTJOIN("", "",TRUE,ARRAYFORMULA(TRANSPOSE(TRIM(SPLIT(G543,"","")))&amp;""_""&amp;TRIM(SPLIT(H543,"","")))))"),"Elf_Male, Elf_Female, Human_Male, Human_Female, Orc_Male, Orc_Female")</f>
        <v>Elf_Male, Elf_Female, Human_Male, Human_Female, Orc_Male, Orc_Female</v>
      </c>
      <c r="J543" s="5" t="s">
        <v>4844</v>
      </c>
      <c r="L543" s="12" t="str">
        <f t="shared" si="1"/>
        <v>ModularSMPHair_LK,1,3</v>
      </c>
    </row>
    <row r="544" ht="15.75" customHeight="1">
      <c r="A544" s="16" t="s">
        <v>4836</v>
      </c>
      <c r="B544" s="18"/>
      <c r="C544" s="8" t="s">
        <v>6118</v>
      </c>
      <c r="D544" s="8">
        <v>1.0</v>
      </c>
      <c r="E544" s="8">
        <v>3.0</v>
      </c>
      <c r="F544" s="8" t="s">
        <v>6120</v>
      </c>
      <c r="G544" s="8" t="s">
        <v>1979</v>
      </c>
      <c r="H544" s="16" t="s">
        <v>3116</v>
      </c>
      <c r="I544" s="8" t="str">
        <f>IFERROR(__xludf.DUMMYFUNCTION("IF(OR(TRIM(G544)="""",TRIM(H544)=""""),"""",TEXTJOIN("", "",TRUE,ARRAYFORMULA(TRANSPOSE(TRIM(SPLIT(G544,"","")))&amp;""_""&amp;TRIM(SPLIT(H544,"","")))))"),"Elf_Male, Elf_Female, Human_Male, Human_Female, Orc_Male, Orc_Female")</f>
        <v>Elf_Male, Elf_Female, Human_Male, Human_Female, Orc_Male, Orc_Female</v>
      </c>
      <c r="J544" s="5" t="s">
        <v>4844</v>
      </c>
      <c r="L544" s="12" t="str">
        <f t="shared" si="1"/>
        <v>ModularSMPHair_LL,1,3</v>
      </c>
    </row>
    <row r="545" ht="15.75" customHeight="1">
      <c r="A545" s="16" t="s">
        <v>4836</v>
      </c>
      <c r="B545" s="18"/>
      <c r="C545" s="8" t="s">
        <v>6126</v>
      </c>
      <c r="D545" s="8">
        <v>1.0</v>
      </c>
      <c r="E545" s="8">
        <v>3.0</v>
      </c>
      <c r="F545" s="8" t="s">
        <v>6129</v>
      </c>
      <c r="G545" s="8" t="s">
        <v>1979</v>
      </c>
      <c r="H545" s="16" t="s">
        <v>3116</v>
      </c>
      <c r="I545" s="8" t="str">
        <f>IFERROR(__xludf.DUMMYFUNCTION("IF(OR(TRIM(G545)="""",TRIM(H545)=""""),"""",TEXTJOIN("", "",TRUE,ARRAYFORMULA(TRANSPOSE(TRIM(SPLIT(G545,"","")))&amp;""_""&amp;TRIM(SPLIT(H545,"","")))))"),"Elf_Male, Elf_Female, Human_Male, Human_Female, Orc_Male, Orc_Female")</f>
        <v>Elf_Male, Elf_Female, Human_Male, Human_Female, Orc_Male, Orc_Female</v>
      </c>
      <c r="J545" s="5" t="s">
        <v>4844</v>
      </c>
      <c r="L545" s="12" t="str">
        <f t="shared" si="1"/>
        <v>ModularSMPHair_LM1,1,3</v>
      </c>
    </row>
    <row r="546" ht="15.75" customHeight="1">
      <c r="A546" s="16" t="s">
        <v>4836</v>
      </c>
      <c r="B546" s="18"/>
      <c r="C546" s="8" t="s">
        <v>6134</v>
      </c>
      <c r="D546" s="8">
        <v>1.0</v>
      </c>
      <c r="E546" s="8">
        <v>3.0</v>
      </c>
      <c r="F546" s="8" t="s">
        <v>6137</v>
      </c>
      <c r="G546" s="8" t="s">
        <v>1979</v>
      </c>
      <c r="H546" s="16" t="s">
        <v>3116</v>
      </c>
      <c r="I546" s="8" t="str">
        <f>IFERROR(__xludf.DUMMYFUNCTION("IF(OR(TRIM(G546)="""",TRIM(H546)=""""),"""",TEXTJOIN("", "",TRUE,ARRAYFORMULA(TRANSPOSE(TRIM(SPLIT(G546,"","")))&amp;""_""&amp;TRIM(SPLIT(H546,"","")))))"),"Elf_Male, Elf_Female, Human_Male, Human_Female, Orc_Male, Orc_Female")</f>
        <v>Elf_Male, Elf_Female, Human_Male, Human_Female, Orc_Male, Orc_Female</v>
      </c>
      <c r="J546" s="5" t="s">
        <v>4844</v>
      </c>
      <c r="L546" s="12" t="str">
        <f t="shared" si="1"/>
        <v>ModularSMPHair_LM2,1,3</v>
      </c>
    </row>
    <row r="547" ht="15.75" customHeight="1">
      <c r="A547" s="16" t="s">
        <v>4836</v>
      </c>
      <c r="B547" s="18"/>
      <c r="C547" s="8" t="s">
        <v>6143</v>
      </c>
      <c r="D547" s="8">
        <v>1.0</v>
      </c>
      <c r="E547" s="8">
        <v>2.0</v>
      </c>
      <c r="F547" s="8" t="s">
        <v>6146</v>
      </c>
      <c r="G547" s="8" t="s">
        <v>3450</v>
      </c>
      <c r="H547" s="16" t="s">
        <v>3116</v>
      </c>
      <c r="I547" s="8" t="str">
        <f>IFERROR(__xludf.DUMMYFUNCTION("IF(OR(TRIM(G547)="""",TRIM(H547)=""""),"""",TEXTJOIN("", "",TRUE,ARRAYFORMULA(TRANSPOSE(TRIM(SPLIT(G547,"","")))&amp;""_""&amp;TRIM(SPLIT(H547,"","")))))"),"Elf_Male, Elf_Female, Human_Male, Human_Female, Orc_Male, Orc_Female, Khajiit_Male, Khajiit_Female")</f>
        <v>Elf_Male, Elf_Female, Human_Male, Human_Female, Orc_Male, Orc_Female, Khajiit_Male, Khajiit_Female</v>
      </c>
      <c r="J547" s="5" t="s">
        <v>4844</v>
      </c>
      <c r="L547" s="12" t="str">
        <f t="shared" si="1"/>
        <v>ModularSMPHair_M,1,2</v>
      </c>
    </row>
    <row r="548" ht="15.75" customHeight="1">
      <c r="A548" s="16" t="s">
        <v>4836</v>
      </c>
      <c r="B548" s="18"/>
      <c r="C548" s="8" t="s">
        <v>6154</v>
      </c>
      <c r="D548" s="8">
        <v>2.0</v>
      </c>
      <c r="E548" s="8">
        <v>2.0</v>
      </c>
      <c r="F548" s="8" t="s">
        <v>6156</v>
      </c>
      <c r="G548" s="8" t="s">
        <v>1979</v>
      </c>
      <c r="H548" s="16" t="s">
        <v>3116</v>
      </c>
      <c r="I548" s="8" t="str">
        <f>IFERROR(__xludf.DUMMYFUNCTION("IF(OR(TRIM(G548)="""",TRIM(H548)=""""),"""",TEXTJOIN("", "",TRUE,ARRAYFORMULA(TRANSPOSE(TRIM(SPLIT(G548,"","")))&amp;""_""&amp;TRIM(SPLIT(H548,"","")))))"),"Elf_Male, Elf_Female, Human_Male, Human_Female, Orc_Male, Orc_Female")</f>
        <v>Elf_Male, Elf_Female, Human_Male, Human_Female, Orc_Male, Orc_Female</v>
      </c>
      <c r="J548" s="5" t="s">
        <v>4844</v>
      </c>
      <c r="L548" s="12" t="str">
        <f t="shared" si="1"/>
        <v>ModularSMPHair_MB,2,2</v>
      </c>
    </row>
    <row r="549" ht="15.75" customHeight="1">
      <c r="A549" s="16" t="s">
        <v>4836</v>
      </c>
      <c r="B549" s="18"/>
      <c r="C549" s="8" t="s">
        <v>6168</v>
      </c>
      <c r="D549" s="8">
        <v>1.0</v>
      </c>
      <c r="E549" s="8">
        <v>2.0</v>
      </c>
      <c r="F549" s="8" t="s">
        <v>6171</v>
      </c>
      <c r="G549" s="8" t="s">
        <v>1979</v>
      </c>
      <c r="H549" s="16" t="s">
        <v>3116</v>
      </c>
      <c r="I549" s="8" t="str">
        <f>IFERROR(__xludf.DUMMYFUNCTION("IF(OR(TRIM(G549)="""",TRIM(H549)=""""),"""",TEXTJOIN("", "",TRUE,ARRAYFORMULA(TRANSPOSE(TRIM(SPLIT(G549,"","")))&amp;""_""&amp;TRIM(SPLIT(H549,"","")))))"),"Elf_Male, Elf_Female, Human_Male, Human_Female, Orc_Male, Orc_Female")</f>
        <v>Elf_Male, Elf_Female, Human_Male, Human_Female, Orc_Male, Orc_Female</v>
      </c>
      <c r="J549" s="5" t="s">
        <v>4844</v>
      </c>
      <c r="L549" s="12" t="str">
        <f t="shared" si="1"/>
        <v>ModularSMPHair_MC,1,2</v>
      </c>
    </row>
    <row r="550" ht="15.75" customHeight="1">
      <c r="A550" s="16" t="s">
        <v>4836</v>
      </c>
      <c r="B550" s="18"/>
      <c r="C550" s="8" t="s">
        <v>6180</v>
      </c>
      <c r="D550" s="8">
        <v>2.0</v>
      </c>
      <c r="E550" s="8">
        <v>2.0</v>
      </c>
      <c r="F550" s="8" t="s">
        <v>6182</v>
      </c>
      <c r="G550" s="8" t="s">
        <v>1979</v>
      </c>
      <c r="H550" s="16" t="s">
        <v>3116</v>
      </c>
      <c r="I550" s="8" t="str">
        <f>IFERROR(__xludf.DUMMYFUNCTION("IF(OR(TRIM(G550)="""",TRIM(H550)=""""),"""",TEXTJOIN("", "",TRUE,ARRAYFORMULA(TRANSPOSE(TRIM(SPLIT(G550,"","")))&amp;""_""&amp;TRIM(SPLIT(H550,"","")))))"),"Elf_Male, Elf_Female, Human_Male, Human_Female, Orc_Male, Orc_Female")</f>
        <v>Elf_Male, Elf_Female, Human_Male, Human_Female, Orc_Male, Orc_Female</v>
      </c>
      <c r="J550" s="5" t="s">
        <v>4844</v>
      </c>
      <c r="L550" s="12" t="str">
        <f t="shared" si="1"/>
        <v>ModularSMPHair_ME,2,2</v>
      </c>
    </row>
    <row r="551" ht="15.75" customHeight="1">
      <c r="A551" s="16" t="s">
        <v>4836</v>
      </c>
      <c r="B551" s="18"/>
      <c r="C551" s="8" t="s">
        <v>6188</v>
      </c>
      <c r="D551" s="8">
        <v>1.0</v>
      </c>
      <c r="E551" s="8">
        <v>2.0</v>
      </c>
      <c r="F551" s="8" t="s">
        <v>6190</v>
      </c>
      <c r="G551" s="8" t="s">
        <v>1979</v>
      </c>
      <c r="H551" s="16" t="s">
        <v>3116</v>
      </c>
      <c r="I551" s="8" t="str">
        <f>IFERROR(__xludf.DUMMYFUNCTION("IF(OR(TRIM(G551)="""",TRIM(H551)=""""),"""",TEXTJOIN("", "",TRUE,ARRAYFORMULA(TRANSPOSE(TRIM(SPLIT(G551,"","")))&amp;""_""&amp;TRIM(SPLIT(H551,"","")))))"),"Elf_Male, Elf_Female, Human_Male, Human_Female, Orc_Male, Orc_Female")</f>
        <v>Elf_Male, Elf_Female, Human_Male, Human_Female, Orc_Male, Orc_Female</v>
      </c>
      <c r="J551" s="5" t="s">
        <v>4844</v>
      </c>
      <c r="L551" s="12" t="str">
        <f t="shared" si="1"/>
        <v>ModularSMPHair_MF,1,2</v>
      </c>
    </row>
    <row r="552" ht="15.75" customHeight="1">
      <c r="A552" s="16" t="s">
        <v>4836</v>
      </c>
      <c r="B552" s="18"/>
      <c r="C552" s="8" t="s">
        <v>6198</v>
      </c>
      <c r="D552" s="8">
        <v>1.0</v>
      </c>
      <c r="E552" s="8">
        <v>2.0</v>
      </c>
      <c r="F552" s="8" t="s">
        <v>6200</v>
      </c>
      <c r="G552" s="8" t="s">
        <v>1979</v>
      </c>
      <c r="H552" s="16" t="s">
        <v>3116</v>
      </c>
      <c r="I552" s="8" t="str">
        <f>IFERROR(__xludf.DUMMYFUNCTION("IF(OR(TRIM(G552)="""",TRIM(H552)=""""),"""",TEXTJOIN("", "",TRUE,ARRAYFORMULA(TRANSPOSE(TRIM(SPLIT(G552,"","")))&amp;""_""&amp;TRIM(SPLIT(H552,"","")))))"),"Elf_Male, Elf_Female, Human_Male, Human_Female, Orc_Male, Orc_Female")</f>
        <v>Elf_Male, Elf_Female, Human_Male, Human_Female, Orc_Male, Orc_Female</v>
      </c>
      <c r="J552" s="5" t="s">
        <v>4844</v>
      </c>
      <c r="L552" s="12" t="str">
        <f t="shared" si="1"/>
        <v>ModularSMPHair_MG,1,2</v>
      </c>
    </row>
    <row r="553" ht="15.75" customHeight="1">
      <c r="A553" s="16" t="s">
        <v>4836</v>
      </c>
      <c r="B553" s="18"/>
      <c r="C553" s="8" t="s">
        <v>6207</v>
      </c>
      <c r="D553" s="8">
        <v>1.0</v>
      </c>
      <c r="E553" s="8">
        <v>2.0</v>
      </c>
      <c r="F553" s="8" t="s">
        <v>6208</v>
      </c>
      <c r="G553" s="8" t="s">
        <v>1979</v>
      </c>
      <c r="H553" s="16" t="s">
        <v>3116</v>
      </c>
      <c r="I553" s="8" t="str">
        <f>IFERROR(__xludf.DUMMYFUNCTION("IF(OR(TRIM(G553)="""",TRIM(H553)=""""),"""",TEXTJOIN("", "",TRUE,ARRAYFORMULA(TRANSPOSE(TRIM(SPLIT(G553,"","")))&amp;""_""&amp;TRIM(SPLIT(H553,"","")))))"),"Elf_Male, Elf_Female, Human_Male, Human_Female, Orc_Male, Orc_Female")</f>
        <v>Elf_Male, Elf_Female, Human_Male, Human_Female, Orc_Male, Orc_Female</v>
      </c>
      <c r="J553" s="5" t="s">
        <v>4844</v>
      </c>
      <c r="L553" s="12" t="str">
        <f t="shared" si="1"/>
        <v>ModularSMPHair_MH,1,2</v>
      </c>
    </row>
    <row r="554" ht="15.75" customHeight="1">
      <c r="A554" s="16" t="s">
        <v>4836</v>
      </c>
      <c r="B554" s="18"/>
      <c r="C554" s="8" t="s">
        <v>6216</v>
      </c>
      <c r="D554" s="8">
        <v>1.0</v>
      </c>
      <c r="E554" s="8">
        <v>2.0</v>
      </c>
      <c r="F554" s="8" t="s">
        <v>6217</v>
      </c>
      <c r="G554" s="8" t="s">
        <v>1979</v>
      </c>
      <c r="H554" s="16" t="s">
        <v>3116</v>
      </c>
      <c r="I554" s="8" t="str">
        <f>IFERROR(__xludf.DUMMYFUNCTION("IF(OR(TRIM(G554)="""",TRIM(H554)=""""),"""",TEXTJOIN("", "",TRUE,ARRAYFORMULA(TRANSPOSE(TRIM(SPLIT(G554,"","")))&amp;""_""&amp;TRIM(SPLIT(H554,"","")))))"),"Elf_Male, Elf_Female, Human_Male, Human_Female, Orc_Male, Orc_Female")</f>
        <v>Elf_Male, Elf_Female, Human_Male, Human_Female, Orc_Male, Orc_Female</v>
      </c>
      <c r="J554" s="5" t="s">
        <v>4844</v>
      </c>
      <c r="L554" s="12" t="str">
        <f t="shared" si="1"/>
        <v>ModularSMPHair_MI,1,2</v>
      </c>
    </row>
    <row r="555" ht="15.75" customHeight="1">
      <c r="A555" s="16" t="s">
        <v>4836</v>
      </c>
      <c r="B555" s="18"/>
      <c r="C555" s="8" t="s">
        <v>6223</v>
      </c>
      <c r="D555" s="8">
        <v>1.0</v>
      </c>
      <c r="E555" s="8">
        <v>2.0</v>
      </c>
      <c r="F555" s="8" t="s">
        <v>6225</v>
      </c>
      <c r="G555" s="8" t="s">
        <v>1979</v>
      </c>
      <c r="H555" s="16" t="s">
        <v>3116</v>
      </c>
      <c r="I555" s="8" t="str">
        <f>IFERROR(__xludf.DUMMYFUNCTION("IF(OR(TRIM(G555)="""",TRIM(H555)=""""),"""",TEXTJOIN("", "",TRUE,ARRAYFORMULA(TRANSPOSE(TRIM(SPLIT(G555,"","")))&amp;""_""&amp;TRIM(SPLIT(H555,"","")))))"),"Elf_Male, Elf_Female, Human_Male, Human_Female, Orc_Male, Orc_Female")</f>
        <v>Elf_Male, Elf_Female, Human_Male, Human_Female, Orc_Male, Orc_Female</v>
      </c>
      <c r="J555" s="5" t="s">
        <v>4844</v>
      </c>
      <c r="L555" s="12" t="str">
        <f t="shared" si="1"/>
        <v>ModularSMPHair_MJ,1,2</v>
      </c>
    </row>
    <row r="556" ht="15.75" customHeight="1">
      <c r="A556" s="16" t="s">
        <v>4836</v>
      </c>
      <c r="B556" s="18"/>
      <c r="C556" s="8" t="s">
        <v>6232</v>
      </c>
      <c r="D556" s="8">
        <v>1.0</v>
      </c>
      <c r="E556" s="8">
        <v>2.0</v>
      </c>
      <c r="F556" s="8" t="s">
        <v>6234</v>
      </c>
      <c r="G556" s="8" t="s">
        <v>1979</v>
      </c>
      <c r="H556" s="16" t="s">
        <v>3116</v>
      </c>
      <c r="I556" s="8" t="str">
        <f>IFERROR(__xludf.DUMMYFUNCTION("IF(OR(TRIM(G556)="""",TRIM(H556)=""""),"""",TEXTJOIN("", "",TRUE,ARRAYFORMULA(TRANSPOSE(TRIM(SPLIT(G556,"","")))&amp;""_""&amp;TRIM(SPLIT(H556,"","")))))"),"Elf_Male, Elf_Female, Human_Male, Human_Female, Orc_Male, Orc_Female")</f>
        <v>Elf_Male, Elf_Female, Human_Male, Human_Female, Orc_Male, Orc_Female</v>
      </c>
      <c r="J556" s="5" t="s">
        <v>4844</v>
      </c>
      <c r="L556" s="12" t="str">
        <f t="shared" si="1"/>
        <v>ModularSMPHair_MK,1,2</v>
      </c>
    </row>
    <row r="557" ht="15.75" customHeight="1">
      <c r="A557" s="16" t="s">
        <v>4836</v>
      </c>
      <c r="B557" s="18"/>
      <c r="C557" s="8" t="s">
        <v>6241</v>
      </c>
      <c r="D557" s="8">
        <v>1.0</v>
      </c>
      <c r="E557" s="8">
        <v>2.0</v>
      </c>
      <c r="F557" s="8" t="s">
        <v>6242</v>
      </c>
      <c r="G557" s="8" t="s">
        <v>1979</v>
      </c>
      <c r="H557" s="16" t="s">
        <v>3116</v>
      </c>
      <c r="I557" s="8" t="str">
        <f>IFERROR(__xludf.DUMMYFUNCTION("IF(OR(TRIM(G557)="""",TRIM(H557)=""""),"""",TEXTJOIN("", "",TRUE,ARRAYFORMULA(TRANSPOSE(TRIM(SPLIT(G557,"","")))&amp;""_""&amp;TRIM(SPLIT(H557,"","")))))"),"Elf_Male, Elf_Female, Human_Male, Human_Female, Orc_Male, Orc_Female")</f>
        <v>Elf_Male, Elf_Female, Human_Male, Human_Female, Orc_Male, Orc_Female</v>
      </c>
      <c r="J557" s="5" t="s">
        <v>4844</v>
      </c>
      <c r="L557" s="12" t="str">
        <f t="shared" si="1"/>
        <v>ModularSMPHair_ML,1,2</v>
      </c>
    </row>
    <row r="558" ht="15.75" customHeight="1">
      <c r="A558" s="16" t="s">
        <v>4836</v>
      </c>
      <c r="B558" s="18"/>
      <c r="C558" s="8" t="s">
        <v>6249</v>
      </c>
      <c r="D558" s="8">
        <v>1.0</v>
      </c>
      <c r="E558" s="8">
        <v>2.0</v>
      </c>
      <c r="F558" s="8" t="s">
        <v>6251</v>
      </c>
      <c r="G558" s="8" t="s">
        <v>1979</v>
      </c>
      <c r="H558" s="16" t="s">
        <v>3116</v>
      </c>
      <c r="I558" s="8" t="str">
        <f>IFERROR(__xludf.DUMMYFUNCTION("IF(OR(TRIM(G558)="""",TRIM(H558)=""""),"""",TEXTJOIN("", "",TRUE,ARRAYFORMULA(TRANSPOSE(TRIM(SPLIT(G558,"","")))&amp;""_""&amp;TRIM(SPLIT(H558,"","")))))"),"Elf_Male, Elf_Female, Human_Male, Human_Female, Orc_Male, Orc_Female")</f>
        <v>Elf_Male, Elf_Female, Human_Male, Human_Female, Orc_Male, Orc_Female</v>
      </c>
      <c r="J558" s="5" t="s">
        <v>4844</v>
      </c>
      <c r="L558" s="12" t="str">
        <f t="shared" si="1"/>
        <v>ModularSMPHair_MM1,1,2</v>
      </c>
    </row>
    <row r="559" ht="15.75" customHeight="1">
      <c r="A559" s="16" t="s">
        <v>4836</v>
      </c>
      <c r="B559" s="18"/>
      <c r="C559" s="8" t="s">
        <v>6258</v>
      </c>
      <c r="D559" s="8">
        <v>1.0</v>
      </c>
      <c r="E559" s="8">
        <v>2.0</v>
      </c>
      <c r="F559" s="8" t="s">
        <v>6260</v>
      </c>
      <c r="G559" s="8" t="s">
        <v>1979</v>
      </c>
      <c r="H559" s="16" t="s">
        <v>3116</v>
      </c>
      <c r="I559" s="8" t="str">
        <f>IFERROR(__xludf.DUMMYFUNCTION("IF(OR(TRIM(G559)="""",TRIM(H559)=""""),"""",TEXTJOIN("", "",TRUE,ARRAYFORMULA(TRANSPOSE(TRIM(SPLIT(G559,"","")))&amp;""_""&amp;TRIM(SPLIT(H559,"","")))))"),"Elf_Male, Elf_Female, Human_Male, Human_Female, Orc_Male, Orc_Female")</f>
        <v>Elf_Male, Elf_Female, Human_Male, Human_Female, Orc_Male, Orc_Female</v>
      </c>
      <c r="J559" s="5" t="s">
        <v>4844</v>
      </c>
      <c r="L559" s="12" t="str">
        <f t="shared" si="1"/>
        <v>ModularSMPHair_MM2,1,2</v>
      </c>
    </row>
    <row r="560" ht="15.75" customHeight="1">
      <c r="A560" s="8" t="s">
        <v>6266</v>
      </c>
      <c r="B560" s="18"/>
      <c r="C560" s="8" t="s">
        <v>6268</v>
      </c>
      <c r="D560" s="3">
        <v>2.0</v>
      </c>
      <c r="E560" s="8">
        <v>3.0</v>
      </c>
      <c r="F560" s="8" t="s">
        <v>6269</v>
      </c>
      <c r="G560" s="8" t="s">
        <v>1979</v>
      </c>
      <c r="H560" s="16" t="s">
        <v>3116</v>
      </c>
      <c r="I560" s="8" t="str">
        <f>IFERROR(__xludf.DUMMYFUNCTION("IF(OR(TRIM(G560)="""",TRIM(H560)=""""),"""",TEXTJOIN("", "",TRUE,ARRAYFORMULA(TRANSPOSE(TRIM(SPLIT(G560,"","")))&amp;""_""&amp;TRIM(SPLIT(H560,"","")))))"),"Elf_Male, Elf_Female, Human_Male, Human_Female, Orc_Male, Orc_Female")</f>
        <v>Elf_Male, Elf_Female, Human_Male, Human_Female, Orc_Male, Orc_Female</v>
      </c>
      <c r="J560" s="5" t="s">
        <v>6274</v>
      </c>
      <c r="L560" s="12" t="str">
        <f t="shared" si="1"/>
        <v>Xing_FuseAlessoCookie,2,3</v>
      </c>
    </row>
    <row r="561" ht="15.75" customHeight="1">
      <c r="A561" s="8" t="s">
        <v>6266</v>
      </c>
      <c r="B561" s="18"/>
      <c r="C561" s="8" t="s">
        <v>6277</v>
      </c>
      <c r="D561" s="8">
        <v>3.0</v>
      </c>
      <c r="E561" s="8">
        <v>3.0</v>
      </c>
      <c r="F561" s="8" t="s">
        <v>6279</v>
      </c>
      <c r="G561" s="8" t="s">
        <v>1979</v>
      </c>
      <c r="H561" s="16" t="s">
        <v>3116</v>
      </c>
      <c r="I561" s="8" t="str">
        <f>IFERROR(__xludf.DUMMYFUNCTION("IF(OR(TRIM(G561)="""",TRIM(H561)=""""),"""",TEXTJOIN("", "",TRUE,ARRAYFORMULA(TRANSPOSE(TRIM(SPLIT(G561,"","")))&amp;""_""&amp;TRIM(SPLIT(H561,"","")))))"),"Elf_Male, Elf_Female, Human_Male, Human_Female, Orc_Male, Orc_Female")</f>
        <v>Elf_Male, Elf_Female, Human_Male, Human_Female, Orc_Male, Orc_Female</v>
      </c>
      <c r="J561" s="5" t="s">
        <v>6274</v>
      </c>
      <c r="L561" s="12" t="str">
        <f t="shared" si="1"/>
        <v>Xing_FuseNightcrawler,3,3</v>
      </c>
    </row>
    <row r="562" ht="15.75" customHeight="1">
      <c r="A562" s="8" t="s">
        <v>6266</v>
      </c>
      <c r="B562" s="18"/>
      <c r="C562" s="8" t="s">
        <v>6286</v>
      </c>
      <c r="D562" s="8">
        <v>1.0</v>
      </c>
      <c r="E562" s="8">
        <v>1.0</v>
      </c>
      <c r="F562" s="8" t="s">
        <v>6287</v>
      </c>
      <c r="G562" s="8" t="s">
        <v>1979</v>
      </c>
      <c r="H562" s="16" t="s">
        <v>3116</v>
      </c>
      <c r="I562" s="8" t="str">
        <f>IFERROR(__xludf.DUMMYFUNCTION("IF(OR(TRIM(G562)="""",TRIM(H562)=""""),"""",TEXTJOIN("", "",TRUE,ARRAYFORMULA(TRANSPOSE(TRIM(SPLIT(G562,"","")))&amp;""_""&amp;TRIM(SPLIT(H562,"","")))))"),"Elf_Male, Elf_Female, Human_Male, Human_Female, Orc_Male, Orc_Female")</f>
        <v>Elf_Male, Elf_Female, Human_Male, Human_Female, Orc_Male, Orc_Female</v>
      </c>
      <c r="J562" s="5" t="s">
        <v>6274</v>
      </c>
      <c r="L562" s="12" t="str">
        <f t="shared" si="1"/>
        <v>Xing_FuseNightcrawlerPuch,1,1</v>
      </c>
    </row>
    <row r="563" ht="15.75" customHeight="1">
      <c r="A563" s="8" t="s">
        <v>6266</v>
      </c>
      <c r="B563" s="18"/>
      <c r="C563" s="8" t="s">
        <v>6294</v>
      </c>
      <c r="D563" s="3">
        <v>2.0</v>
      </c>
      <c r="E563" s="8">
        <v>3.0</v>
      </c>
      <c r="F563" s="8" t="s">
        <v>6296</v>
      </c>
      <c r="G563" s="8" t="s">
        <v>1979</v>
      </c>
      <c r="H563" s="16" t="s">
        <v>3116</v>
      </c>
      <c r="I563" s="8" t="str">
        <f>IFERROR(__xludf.DUMMYFUNCTION("IF(OR(TRIM(G563)="""",TRIM(H563)=""""),"""",TEXTJOIN("", "",TRUE,ARRAYFORMULA(TRANSPOSE(TRIM(SPLIT(G563,"","")))&amp;""_""&amp;TRIM(SPLIT(H563,"","")))))"),"Elf_Male, Elf_Female, Human_Male, Human_Female, Orc_Male, Orc_Female")</f>
        <v>Elf_Male, Elf_Female, Human_Male, Human_Female, Orc_Male, Orc_Female</v>
      </c>
      <c r="J563" s="5" t="s">
        <v>6274</v>
      </c>
      <c r="L563" s="12" t="str">
        <f t="shared" si="1"/>
        <v>Xing_FuseNightcrawlerStraight,2,3</v>
      </c>
    </row>
    <row r="564" ht="15.75" customHeight="1">
      <c r="A564" s="8" t="s">
        <v>6266</v>
      </c>
      <c r="B564" s="18"/>
      <c r="C564" s="8" t="s">
        <v>6303</v>
      </c>
      <c r="D564" s="8">
        <v>2.0</v>
      </c>
      <c r="E564" s="8">
        <v>2.0</v>
      </c>
      <c r="F564" s="8" t="s">
        <v>6304</v>
      </c>
      <c r="G564" s="8" t="s">
        <v>1979</v>
      </c>
      <c r="H564" s="16" t="s">
        <v>3116</v>
      </c>
      <c r="I564" s="8" t="str">
        <f>IFERROR(__xludf.DUMMYFUNCTION("IF(OR(TRIM(G564)="""",TRIM(H564)=""""),"""",TEXTJOIN("", "",TRUE,ARRAYFORMULA(TRANSPOSE(TRIM(SPLIT(G564,"","")))&amp;""_""&amp;TRIM(SPLIT(H564,"","")))))"),"Elf_Male, Elf_Female, Human_Male, Human_Female, Orc_Male, Orc_Female")</f>
        <v>Elf_Male, Elf_Female, Human_Male, Human_Female, Orc_Male, Orc_Female</v>
      </c>
      <c r="J564" s="5" t="s">
        <v>6274</v>
      </c>
      <c r="L564" s="12" t="str">
        <f t="shared" si="1"/>
        <v>Xing_FuseSG35,2,2</v>
      </c>
    </row>
    <row r="565" ht="15.75" customHeight="1">
      <c r="A565" s="8" t="s">
        <v>6266</v>
      </c>
      <c r="B565" s="18"/>
      <c r="C565" s="8" t="s">
        <v>6312</v>
      </c>
      <c r="D565" s="3">
        <v>1.0</v>
      </c>
      <c r="E565" s="8">
        <v>2.0</v>
      </c>
      <c r="F565" s="8" t="s">
        <v>6314</v>
      </c>
      <c r="G565" s="8" t="s">
        <v>1979</v>
      </c>
      <c r="H565" s="16" t="s">
        <v>3116</v>
      </c>
      <c r="I565" s="8" t="str">
        <f>IFERROR(__xludf.DUMMYFUNCTION("IF(OR(TRIM(G565)="""",TRIM(H565)=""""),"""",TEXTJOIN("", "",TRUE,ARRAYFORMULA(TRANSPOSE(TRIM(SPLIT(G565,"","")))&amp;""_""&amp;TRIM(SPLIT(H565,"","")))))"),"Elf_Male, Elf_Female, Human_Male, Human_Female, Orc_Male, Orc_Female")</f>
        <v>Elf_Male, Elf_Female, Human_Male, Human_Female, Orc_Male, Orc_Female</v>
      </c>
      <c r="J565" s="5" t="s">
        <v>6274</v>
      </c>
      <c r="L565" s="12" t="str">
        <f t="shared" si="1"/>
        <v>Xing_FuseSintikliaMR,1,2</v>
      </c>
    </row>
    <row r="566" ht="15.75" customHeight="1">
      <c r="A566" s="8" t="s">
        <v>6266</v>
      </c>
      <c r="B566" s="18"/>
      <c r="C566" s="8" t="s">
        <v>6321</v>
      </c>
      <c r="D566" s="8">
        <v>2.0</v>
      </c>
      <c r="E566" s="8">
        <v>2.0</v>
      </c>
      <c r="F566" s="8" t="s">
        <v>6324</v>
      </c>
      <c r="G566" s="8" t="s">
        <v>1979</v>
      </c>
      <c r="H566" s="16" t="s">
        <v>3116</v>
      </c>
      <c r="I566" s="8" t="str">
        <f>IFERROR(__xludf.DUMMYFUNCTION("IF(OR(TRIM(G566)="""",TRIM(H566)=""""),"""",TEXTJOIN("", "",TRUE,ARRAYFORMULA(TRANSPOSE(TRIM(SPLIT(G566,"","")))&amp;""_""&amp;TRIM(SPLIT(H566,"","")))))"),"Elf_Male, Elf_Female, Human_Male, Human_Female, Orc_Male, Orc_Female")</f>
        <v>Elf_Male, Elf_Female, Human_Male, Human_Female, Orc_Male, Orc_Female</v>
      </c>
      <c r="J566" s="5" t="s">
        <v>6274</v>
      </c>
      <c r="L566" s="12" t="str">
        <f t="shared" si="1"/>
        <v>Xing_HGColdHeart,2,2</v>
      </c>
    </row>
    <row r="567" ht="15.75" customHeight="1">
      <c r="A567" s="8" t="s">
        <v>6266</v>
      </c>
      <c r="B567" s="18"/>
      <c r="C567" s="8" t="s">
        <v>6330</v>
      </c>
      <c r="D567" s="8">
        <v>1.0</v>
      </c>
      <c r="E567" s="8">
        <v>1.0</v>
      </c>
      <c r="F567" s="8" t="s">
        <v>6332</v>
      </c>
      <c r="G567" s="8" t="s">
        <v>1979</v>
      </c>
      <c r="H567" s="16" t="s">
        <v>3116</v>
      </c>
      <c r="I567" s="8" t="str">
        <f>IFERROR(__xludf.DUMMYFUNCTION("IF(OR(TRIM(G567)="""",TRIM(H567)=""""),"""",TEXTJOIN("", "",TRUE,ARRAYFORMULA(TRANSPOSE(TRIM(SPLIT(G567,"","")))&amp;""_""&amp;TRIM(SPLIT(H567,"","")))))"),"Elf_Male, Elf_Female, Human_Male, Human_Female, Orc_Male, Orc_Female")</f>
        <v>Elf_Male, Elf_Female, Human_Male, Human_Female, Orc_Male, Orc_Female</v>
      </c>
      <c r="J567" s="5" t="s">
        <v>6274</v>
      </c>
      <c r="L567" s="12" t="str">
        <f t="shared" si="1"/>
        <v>Xing_HGColdHeart2,1,1</v>
      </c>
    </row>
    <row r="568" ht="15.75" customHeight="1">
      <c r="A568" s="8" t="s">
        <v>6266</v>
      </c>
      <c r="B568" s="18"/>
      <c r="C568" s="8" t="s">
        <v>6340</v>
      </c>
      <c r="D568" s="8">
        <v>1.0</v>
      </c>
      <c r="E568" s="8">
        <v>1.0</v>
      </c>
      <c r="F568" s="8" t="s">
        <v>6341</v>
      </c>
      <c r="G568" s="8" t="s">
        <v>1979</v>
      </c>
      <c r="H568" s="16" t="s">
        <v>3116</v>
      </c>
      <c r="I568" s="8" t="str">
        <f>IFERROR(__xludf.DUMMYFUNCTION("IF(OR(TRIM(G568)="""",TRIM(H568)=""""),"""",TEXTJOIN("", "",TRUE,ARRAYFORMULA(TRANSPOSE(TRIM(SPLIT(G568,"","")))&amp;""_""&amp;TRIM(SPLIT(H568,"","")))))"),"Elf_Male, Elf_Female, Human_Male, Human_Female, Orc_Male, Orc_Female")</f>
        <v>Elf_Male, Elf_Female, Human_Male, Human_Female, Orc_Male, Orc_Female</v>
      </c>
      <c r="J568" s="5" t="s">
        <v>6274</v>
      </c>
      <c r="L568" s="12" t="str">
        <f t="shared" si="1"/>
        <v>Xing_HGEmori,1,1</v>
      </c>
    </row>
    <row r="569" ht="15.75" customHeight="1">
      <c r="A569" s="8" t="s">
        <v>6266</v>
      </c>
      <c r="B569" s="18"/>
      <c r="C569" s="8" t="s">
        <v>6348</v>
      </c>
      <c r="D569" s="8">
        <v>3.0</v>
      </c>
      <c r="E569" s="8">
        <v>3.0</v>
      </c>
      <c r="F569" s="8" t="s">
        <v>6349</v>
      </c>
      <c r="G569" s="8" t="s">
        <v>1979</v>
      </c>
      <c r="H569" s="16" t="s">
        <v>3116</v>
      </c>
      <c r="I569" s="8" t="str">
        <f>IFERROR(__xludf.DUMMYFUNCTION("IF(OR(TRIM(G569)="""",TRIM(H569)=""""),"""",TEXTJOIN("", "",TRUE,ARRAYFORMULA(TRANSPOSE(TRIM(SPLIT(G569,"","")))&amp;""_""&amp;TRIM(SPLIT(H569,"","")))))"),"Elf_Male, Elf_Female, Human_Male, Human_Female, Orc_Male, Orc_Female")</f>
        <v>Elf_Male, Elf_Female, Human_Male, Human_Female, Orc_Male, Orc_Female</v>
      </c>
      <c r="J569" s="5" t="s">
        <v>6274</v>
      </c>
      <c r="L569" s="12" t="str">
        <f t="shared" si="1"/>
        <v>Xing_HGEsmerald,3,3</v>
      </c>
    </row>
    <row r="570" ht="15.75" customHeight="1">
      <c r="A570" s="8" t="s">
        <v>6266</v>
      </c>
      <c r="B570" s="18"/>
      <c r="C570" s="8" t="s">
        <v>6355</v>
      </c>
      <c r="D570" s="3">
        <v>1.0</v>
      </c>
      <c r="E570" s="3">
        <v>1.0</v>
      </c>
      <c r="F570" s="8" t="s">
        <v>6357</v>
      </c>
      <c r="G570" s="8" t="s">
        <v>1979</v>
      </c>
      <c r="H570" s="16" t="s">
        <v>3116</v>
      </c>
      <c r="I570" s="8" t="str">
        <f>IFERROR(__xludf.DUMMYFUNCTION("IF(OR(TRIM(G570)="""",TRIM(H570)=""""),"""",TEXTJOIN("", "",TRUE,ARRAYFORMULA(TRANSPOSE(TRIM(SPLIT(G570,"","")))&amp;""_""&amp;TRIM(SPLIT(H570,"","")))))"),"Elf_Male, Elf_Female, Human_Male, Human_Female, Orc_Male, Orc_Female")</f>
        <v>Elf_Male, Elf_Female, Human_Male, Human_Female, Orc_Male, Orc_Female</v>
      </c>
      <c r="J570" s="5" t="s">
        <v>6274</v>
      </c>
      <c r="L570" s="12" t="str">
        <f t="shared" si="1"/>
        <v>Xing_HGFlyingMinaj,1,1</v>
      </c>
    </row>
    <row r="571" ht="15.75" customHeight="1">
      <c r="A571" s="8" t="s">
        <v>6266</v>
      </c>
      <c r="B571" s="18"/>
      <c r="C571" s="8" t="s">
        <v>6363</v>
      </c>
      <c r="D571" s="8">
        <v>3.0</v>
      </c>
      <c r="E571" s="8">
        <v>3.0</v>
      </c>
      <c r="F571" s="8" t="s">
        <v>6364</v>
      </c>
      <c r="G571" s="8" t="s">
        <v>1979</v>
      </c>
      <c r="H571" s="16" t="s">
        <v>3116</v>
      </c>
      <c r="I571" s="8" t="str">
        <f>IFERROR(__xludf.DUMMYFUNCTION("IF(OR(TRIM(G571)="""",TRIM(H571)=""""),"""",TEXTJOIN("", "",TRUE,ARRAYFORMULA(TRANSPOSE(TRIM(SPLIT(G571,"","")))&amp;""_""&amp;TRIM(SPLIT(H571,"","")))))"),"Elf_Male, Elf_Female, Human_Male, Human_Female, Orc_Male, Orc_Female")</f>
        <v>Elf_Male, Elf_Female, Human_Male, Human_Female, Orc_Male, Orc_Female</v>
      </c>
      <c r="J571" s="5" t="s">
        <v>6274</v>
      </c>
      <c r="L571" s="12" t="str">
        <f t="shared" si="1"/>
        <v>Xing_HGFocus,3,3</v>
      </c>
    </row>
    <row r="572" ht="15.75" customHeight="1">
      <c r="A572" s="8" t="s">
        <v>6266</v>
      </c>
      <c r="B572" s="18"/>
      <c r="C572" s="8" t="s">
        <v>6372</v>
      </c>
      <c r="D572" s="8">
        <v>1.0</v>
      </c>
      <c r="E572" s="8">
        <v>3.0</v>
      </c>
      <c r="F572" s="8" t="s">
        <v>6374</v>
      </c>
      <c r="G572" s="8" t="s">
        <v>1979</v>
      </c>
      <c r="H572" s="16" t="s">
        <v>3116</v>
      </c>
      <c r="I572" s="8" t="str">
        <f>IFERROR(__xludf.DUMMYFUNCTION("IF(OR(TRIM(G572)="""",TRIM(H572)=""""),"""",TEXTJOIN("", "",TRUE,ARRAYFORMULA(TRANSPOSE(TRIM(SPLIT(G572,"","")))&amp;""_""&amp;TRIM(SPLIT(H572,"","")))))"),"Elf_Male, Elf_Female, Human_Male, Human_Female, Orc_Male, Orc_Female")</f>
        <v>Elf_Male, Elf_Female, Human_Male, Human_Female, Orc_Male, Orc_Female</v>
      </c>
      <c r="J572" s="5" t="s">
        <v>6274</v>
      </c>
      <c r="L572" s="12" t="str">
        <f t="shared" si="1"/>
        <v>Xing_HGFocus2,1,3</v>
      </c>
    </row>
    <row r="573" ht="15.75" customHeight="1">
      <c r="A573" s="8" t="s">
        <v>6266</v>
      </c>
      <c r="B573" s="18"/>
      <c r="C573" s="8" t="s">
        <v>6380</v>
      </c>
      <c r="D573" s="8">
        <v>1.0</v>
      </c>
      <c r="E573" s="8">
        <v>2.0</v>
      </c>
      <c r="F573" s="8" t="s">
        <v>6383</v>
      </c>
      <c r="G573" s="8" t="s">
        <v>1979</v>
      </c>
      <c r="H573" s="16" t="s">
        <v>3116</v>
      </c>
      <c r="I573" s="8" t="str">
        <f>IFERROR(__xludf.DUMMYFUNCTION("IF(OR(TRIM(G573)="""",TRIM(H573)=""""),"""",TEXTJOIN("", "",TRUE,ARRAYFORMULA(TRANSPOSE(TRIM(SPLIT(G573,"","")))&amp;""_""&amp;TRIM(SPLIT(H573,"","")))))"),"Elf_Male, Elf_Female, Human_Male, Human_Female, Orc_Male, Orc_Female")</f>
        <v>Elf_Male, Elf_Female, Human_Male, Human_Female, Orc_Male, Orc_Female</v>
      </c>
      <c r="J573" s="5" t="s">
        <v>6274</v>
      </c>
      <c r="L573" s="12" t="str">
        <f t="shared" si="1"/>
        <v>Xing_HGGorum,1,2</v>
      </c>
    </row>
    <row r="574" ht="15.75" customHeight="1">
      <c r="A574" s="8" t="s">
        <v>6266</v>
      </c>
      <c r="B574" s="18"/>
      <c r="C574" s="8" t="s">
        <v>6388</v>
      </c>
      <c r="D574" s="3">
        <v>2.0</v>
      </c>
      <c r="E574" s="8">
        <v>3.0</v>
      </c>
      <c r="F574" s="8" t="s">
        <v>6389</v>
      </c>
      <c r="G574" s="8" t="s">
        <v>1979</v>
      </c>
      <c r="H574" s="16" t="s">
        <v>3116</v>
      </c>
      <c r="I574" s="8" t="str">
        <f>IFERROR(__xludf.DUMMYFUNCTION("IF(OR(TRIM(G574)="""",TRIM(H574)=""""),"""",TEXTJOIN("", "",TRUE,ARRAYFORMULA(TRANSPOSE(TRIM(SPLIT(G574,"","")))&amp;""_""&amp;TRIM(SPLIT(H574,"","")))))"),"Elf_Male, Elf_Female, Human_Male, Human_Female, Orc_Male, Orc_Female")</f>
        <v>Elf_Male, Elf_Female, Human_Male, Human_Female, Orc_Male, Orc_Female</v>
      </c>
      <c r="J574" s="5" t="s">
        <v>6274</v>
      </c>
      <c r="L574" s="12" t="str">
        <f t="shared" si="1"/>
        <v>Xing_HGGuineaPig,2,3</v>
      </c>
    </row>
    <row r="575" ht="15.75" customHeight="1">
      <c r="A575" s="8" t="s">
        <v>6266</v>
      </c>
      <c r="B575" s="18"/>
      <c r="C575" s="8" t="s">
        <v>6395</v>
      </c>
      <c r="D575" s="3">
        <v>2.0</v>
      </c>
      <c r="E575" s="8">
        <v>3.0</v>
      </c>
      <c r="F575" s="8" t="s">
        <v>6396</v>
      </c>
      <c r="G575" s="8" t="s">
        <v>1979</v>
      </c>
      <c r="H575" s="16" t="s">
        <v>3116</v>
      </c>
      <c r="I575" s="8" t="str">
        <f>IFERROR(__xludf.DUMMYFUNCTION("IF(OR(TRIM(G575)="""",TRIM(H575)=""""),"""",TEXTJOIN("", "",TRUE,ARRAYFORMULA(TRANSPOSE(TRIM(SPLIT(G575,"","")))&amp;""_""&amp;TRIM(SPLIT(H575,"","")))))"),"Elf_Male, Elf_Female, Human_Male, Human_Female, Orc_Male, Orc_Female")</f>
        <v>Elf_Male, Elf_Female, Human_Male, Human_Female, Orc_Male, Orc_Female</v>
      </c>
      <c r="J575" s="5" t="s">
        <v>6274</v>
      </c>
      <c r="L575" s="12" t="str">
        <f t="shared" si="1"/>
        <v>Xing_HGGuineaPigBow,2,3</v>
      </c>
    </row>
    <row r="576" ht="15.75" customHeight="1">
      <c r="A576" s="8" t="s">
        <v>6266</v>
      </c>
      <c r="B576" s="18"/>
      <c r="C576" s="8" t="s">
        <v>6403</v>
      </c>
      <c r="D576" s="8">
        <v>2.0</v>
      </c>
      <c r="E576" s="8">
        <v>2.0</v>
      </c>
      <c r="F576" s="8" t="s">
        <v>6405</v>
      </c>
      <c r="G576" s="8" t="s">
        <v>1979</v>
      </c>
      <c r="H576" s="16" t="s">
        <v>3116</v>
      </c>
      <c r="I576" s="8" t="str">
        <f>IFERROR(__xludf.DUMMYFUNCTION("IF(OR(TRIM(G576)="""",TRIM(H576)=""""),"""",TEXTJOIN("", "",TRUE,ARRAYFORMULA(TRANSPOSE(TRIM(SPLIT(G576,"","")))&amp;""_""&amp;TRIM(SPLIT(H576,"","")))))"),"Elf_Male, Elf_Female, Human_Male, Human_Female, Orc_Male, Orc_Female")</f>
        <v>Elf_Male, Elf_Female, Human_Male, Human_Female, Orc_Male, Orc_Female</v>
      </c>
      <c r="J576" s="5" t="s">
        <v>6274</v>
      </c>
      <c r="L576" s="12" t="str">
        <f t="shared" si="1"/>
        <v>Xing_HGKrissi,2,2</v>
      </c>
    </row>
    <row r="577" ht="15.75" customHeight="1">
      <c r="A577" s="8" t="s">
        <v>6266</v>
      </c>
      <c r="B577" s="18"/>
      <c r="C577" s="8" t="s">
        <v>6410</v>
      </c>
      <c r="D577" s="8">
        <v>3.0</v>
      </c>
      <c r="E577" s="8">
        <v>3.0</v>
      </c>
      <c r="F577" s="8" t="s">
        <v>6411</v>
      </c>
      <c r="G577" s="8" t="s">
        <v>1979</v>
      </c>
      <c r="H577" s="16" t="s">
        <v>3116</v>
      </c>
      <c r="I577" s="8" t="str">
        <f>IFERROR(__xludf.DUMMYFUNCTION("IF(OR(TRIM(G577)="""",TRIM(H577)=""""),"""",TEXTJOIN("", "",TRUE,ARRAYFORMULA(TRANSPOSE(TRIM(SPLIT(G577,"","")))&amp;""_""&amp;TRIM(SPLIT(H577,"","")))))"),"Elf_Male, Elf_Female, Human_Male, Human_Female, Orc_Male, Orc_Female")</f>
        <v>Elf_Male, Elf_Female, Human_Male, Human_Female, Orc_Male, Orc_Female</v>
      </c>
      <c r="J577" s="5" t="s">
        <v>6274</v>
      </c>
      <c r="L577" s="12" t="str">
        <f t="shared" si="1"/>
        <v>Xing_HGLena,3,3</v>
      </c>
    </row>
    <row r="578" ht="15.75" customHeight="1">
      <c r="A578" s="8" t="s">
        <v>6266</v>
      </c>
      <c r="B578" s="18"/>
      <c r="C578" s="8" t="s">
        <v>6416</v>
      </c>
      <c r="D578" s="8">
        <v>2.0</v>
      </c>
      <c r="E578" s="8">
        <v>2.0</v>
      </c>
      <c r="F578" s="8" t="s">
        <v>6418</v>
      </c>
      <c r="G578" s="8" t="s">
        <v>1979</v>
      </c>
      <c r="H578" s="16" t="s">
        <v>3116</v>
      </c>
      <c r="I578" s="8" t="str">
        <f>IFERROR(__xludf.DUMMYFUNCTION("IF(OR(TRIM(G578)="""",TRIM(H578)=""""),"""",TEXTJOIN("", "",TRUE,ARRAYFORMULA(TRANSPOSE(TRIM(SPLIT(G578,"","")))&amp;""_""&amp;TRIM(SPLIT(H578,"","")))))"),"Elf_Male, Elf_Female, Human_Male, Human_Female, Orc_Male, Orc_Female")</f>
        <v>Elf_Male, Elf_Female, Human_Male, Human_Female, Orc_Male, Orc_Female</v>
      </c>
      <c r="J578" s="5" t="s">
        <v>6274</v>
      </c>
      <c r="L578" s="12" t="str">
        <f t="shared" si="1"/>
        <v>Xing_HGLisa,2,2</v>
      </c>
    </row>
    <row r="579" ht="15.75" customHeight="1">
      <c r="A579" s="8" t="s">
        <v>6266</v>
      </c>
      <c r="B579" s="18"/>
      <c r="C579" s="8" t="s">
        <v>6425</v>
      </c>
      <c r="D579" s="3">
        <v>3.0</v>
      </c>
      <c r="E579" s="8">
        <v>4.0</v>
      </c>
      <c r="F579" s="8" t="s">
        <v>6426</v>
      </c>
      <c r="G579" s="8" t="s">
        <v>1979</v>
      </c>
      <c r="H579" s="16" t="s">
        <v>3116</v>
      </c>
      <c r="I579" s="8" t="str">
        <f>IFERROR(__xludf.DUMMYFUNCTION("IF(OR(TRIM(G579)="""",TRIM(H579)=""""),"""",TEXTJOIN("", "",TRUE,ARRAYFORMULA(TRANSPOSE(TRIM(SPLIT(G579,"","")))&amp;""_""&amp;TRIM(SPLIT(H579,"","")))))"),"Elf_Male, Elf_Female, Human_Male, Human_Female, Orc_Male, Orc_Female")</f>
        <v>Elf_Male, Elf_Female, Human_Male, Human_Female, Orc_Male, Orc_Female</v>
      </c>
      <c r="J579" s="5" t="s">
        <v>6274</v>
      </c>
      <c r="L579" s="12" t="str">
        <f t="shared" si="1"/>
        <v>Xing_HGNoFrauds,3,4</v>
      </c>
    </row>
    <row r="580" ht="15.75" customHeight="1">
      <c r="A580" s="8" t="s">
        <v>6266</v>
      </c>
      <c r="B580" s="18"/>
      <c r="C580" s="8" t="s">
        <v>6432</v>
      </c>
      <c r="D580" s="8">
        <v>1.0</v>
      </c>
      <c r="E580" s="8">
        <v>3.0</v>
      </c>
      <c r="F580" s="8" t="s">
        <v>6434</v>
      </c>
      <c r="G580" s="8" t="s">
        <v>1979</v>
      </c>
      <c r="H580" s="16" t="s">
        <v>3116</v>
      </c>
      <c r="I580" s="8" t="str">
        <f>IFERROR(__xludf.DUMMYFUNCTION("IF(OR(TRIM(G580)="""",TRIM(H580)=""""),"""",TEXTJOIN("", "",TRUE,ARRAYFORMULA(TRANSPOSE(TRIM(SPLIT(G580,"","")))&amp;""_""&amp;TRIM(SPLIT(H580,"","")))))"),"Elf_Male, Elf_Female, Human_Male, Human_Female, Orc_Male, Orc_Female")</f>
        <v>Elf_Male, Elf_Female, Human_Male, Human_Female, Orc_Male, Orc_Female</v>
      </c>
      <c r="J580" s="5" t="s">
        <v>6274</v>
      </c>
      <c r="L580" s="12" t="str">
        <f t="shared" si="1"/>
        <v>Xing_HGPeach,1,3</v>
      </c>
    </row>
    <row r="581" ht="15.75" customHeight="1">
      <c r="A581" s="8" t="s">
        <v>6266</v>
      </c>
      <c r="B581" s="18"/>
      <c r="C581" s="8" t="s">
        <v>6439</v>
      </c>
      <c r="D581" s="3">
        <v>1.0</v>
      </c>
      <c r="E581" s="8">
        <v>3.0</v>
      </c>
      <c r="F581" s="8" t="s">
        <v>6440</v>
      </c>
      <c r="G581" s="8" t="s">
        <v>1979</v>
      </c>
      <c r="H581" s="16" t="s">
        <v>3116</v>
      </c>
      <c r="I581" s="8" t="str">
        <f>IFERROR(__xludf.DUMMYFUNCTION("IF(OR(TRIM(G581)="""",TRIM(H581)=""""),"""",TEXTJOIN("", "",TRUE,ARRAYFORMULA(TRANSPOSE(TRIM(SPLIT(G581,"","")))&amp;""_""&amp;TRIM(SPLIT(H581,"","")))))"),"Elf_Male, Elf_Female, Human_Male, Human_Female, Orc_Male, Orc_Female")</f>
        <v>Elf_Male, Elf_Female, Human_Male, Human_Female, Orc_Male, Orc_Female</v>
      </c>
      <c r="J581" s="5" t="s">
        <v>6274</v>
      </c>
      <c r="L581" s="12" t="str">
        <f t="shared" si="1"/>
        <v>Xing_HGVipress,1,3</v>
      </c>
    </row>
    <row r="582" ht="15.75" customHeight="1">
      <c r="A582" s="8" t="s">
        <v>6266</v>
      </c>
      <c r="B582" s="18"/>
      <c r="C582" s="8" t="s">
        <v>6444</v>
      </c>
      <c r="D582" s="3">
        <v>1.0</v>
      </c>
      <c r="E582" s="8">
        <v>3.0</v>
      </c>
      <c r="F582" s="8" t="s">
        <v>6445</v>
      </c>
      <c r="G582" s="8" t="s">
        <v>1979</v>
      </c>
      <c r="H582" s="16" t="s">
        <v>3116</v>
      </c>
      <c r="I582" s="8" t="str">
        <f>IFERROR(__xludf.DUMMYFUNCTION("IF(OR(TRIM(G582)="""",TRIM(H582)=""""),"""",TEXTJOIN("", "",TRUE,ARRAYFORMULA(TRANSPOSE(TRIM(SPLIT(G582,"","")))&amp;""_""&amp;TRIM(SPLIT(H582,"","")))))"),"Elf_Male, Elf_Female, Human_Male, Human_Female, Orc_Male, Orc_Female")</f>
        <v>Elf_Male, Elf_Female, Human_Male, Human_Female, Orc_Male, Orc_Female</v>
      </c>
      <c r="J582" s="5" t="s">
        <v>6274</v>
      </c>
      <c r="L582" s="12" t="str">
        <f t="shared" si="1"/>
        <v>Xing_HGVipressnolimits,1,3</v>
      </c>
    </row>
    <row r="583" ht="15.75" customHeight="1">
      <c r="A583" s="8" t="s">
        <v>6266</v>
      </c>
      <c r="B583" s="18"/>
      <c r="C583" s="8" t="s">
        <v>6450</v>
      </c>
      <c r="D583" s="8">
        <v>2.0</v>
      </c>
      <c r="E583" s="8">
        <v>2.0</v>
      </c>
      <c r="F583" s="8" t="s">
        <v>6452</v>
      </c>
      <c r="G583" s="8" t="s">
        <v>1979</v>
      </c>
      <c r="H583" s="16" t="s">
        <v>3116</v>
      </c>
      <c r="I583" s="8" t="str">
        <f>IFERROR(__xludf.DUMMYFUNCTION("IF(OR(TRIM(G583)="""",TRIM(H583)=""""),"""",TEXTJOIN("", "",TRUE,ARRAYFORMULA(TRANSPOSE(TRIM(SPLIT(G583,"","")))&amp;""_""&amp;TRIM(SPLIT(H583,"","")))))"),"Elf_Male, Elf_Female, Human_Male, Human_Female, Orc_Male, Orc_Female")</f>
        <v>Elf_Male, Elf_Female, Human_Male, Human_Female, Orc_Male, Orc_Female</v>
      </c>
      <c r="J583" s="5" t="s">
        <v>6274</v>
      </c>
      <c r="L583" s="12" t="str">
        <f t="shared" si="1"/>
        <v>Xing_HGWen,2,2</v>
      </c>
    </row>
    <row r="584" ht="15.75" customHeight="1">
      <c r="A584" s="8" t="s">
        <v>6266</v>
      </c>
      <c r="B584" s="18"/>
      <c r="C584" s="8" t="s">
        <v>6455</v>
      </c>
      <c r="D584" s="8">
        <v>2.0</v>
      </c>
      <c r="E584" s="8">
        <v>3.0</v>
      </c>
      <c r="F584" s="8" t="s">
        <v>6457</v>
      </c>
      <c r="G584" s="8" t="s">
        <v>1979</v>
      </c>
      <c r="H584" s="16" t="s">
        <v>3116</v>
      </c>
      <c r="I584" s="8" t="str">
        <f>IFERROR(__xludf.DUMMYFUNCTION("IF(OR(TRIM(G584)="""",TRIM(H584)=""""),"""",TEXTJOIN("", "",TRUE,ARRAYFORMULA(TRANSPOSE(TRIM(SPLIT(G584,"","")))&amp;""_""&amp;TRIM(SPLIT(H584,"","")))))"),"Elf_Male, Elf_Female, Human_Male, Human_Female, Orc_Male, Orc_Female")</f>
        <v>Elf_Male, Elf_Female, Human_Male, Human_Female, Orc_Male, Orc_Female</v>
      </c>
      <c r="J584" s="5" t="s">
        <v>6274</v>
      </c>
      <c r="L584" s="12" t="str">
        <f t="shared" si="1"/>
        <v>Xing_HGWing109,2,3</v>
      </c>
    </row>
    <row r="585" ht="15.75" customHeight="1">
      <c r="A585" s="8" t="s">
        <v>6266</v>
      </c>
      <c r="B585" s="18"/>
      <c r="C585" s="3" t="s">
        <v>6463</v>
      </c>
      <c r="D585" s="8">
        <v>2.0</v>
      </c>
      <c r="E585" s="8">
        <v>3.0</v>
      </c>
      <c r="F585" s="3" t="s">
        <v>6464</v>
      </c>
      <c r="G585" s="8" t="s">
        <v>1979</v>
      </c>
      <c r="H585" s="16" t="s">
        <v>3116</v>
      </c>
      <c r="I585" s="8" t="str">
        <f>IFERROR(__xludf.DUMMYFUNCTION("IF(OR(TRIM(G585)="""",TRIM(H585)=""""),"""",TEXTJOIN("", "",TRUE,ARRAYFORMULA(TRANSPOSE(TRIM(SPLIT(G585,"","")))&amp;""_""&amp;TRIM(SPLIT(H585,"","")))))"),"Elf_Male, Elf_Female, Human_Male, Human_Female, Orc_Male, Orc_Female")</f>
        <v>Elf_Male, Elf_Female, Human_Male, Human_Female, Orc_Male, Orc_Female</v>
      </c>
      <c r="J585" s="5" t="s">
        <v>6274</v>
      </c>
      <c r="L585" s="12" t="str">
        <f t="shared" si="1"/>
        <v>Xing_HGWing109_2,2,3</v>
      </c>
    </row>
    <row r="586" ht="15.75" customHeight="1">
      <c r="A586" s="8" t="s">
        <v>6266</v>
      </c>
      <c r="B586" s="18"/>
      <c r="C586" s="8" t="s">
        <v>6471</v>
      </c>
      <c r="D586" s="8">
        <v>3.0</v>
      </c>
      <c r="E586" s="8">
        <v>3.0</v>
      </c>
      <c r="F586" s="8" t="s">
        <v>6473</v>
      </c>
      <c r="G586" s="8" t="s">
        <v>1979</v>
      </c>
      <c r="H586" s="16" t="s">
        <v>3116</v>
      </c>
      <c r="I586" s="8" t="str">
        <f>IFERROR(__xludf.DUMMYFUNCTION("IF(OR(TRIM(G586)="""",TRIM(H586)=""""),"""",TEXTJOIN("", "",TRUE,ARRAYFORMULA(TRANSPOSE(TRIM(SPLIT(G586,"","")))&amp;""_""&amp;TRIM(SPLIT(H586,"","")))))"),"Elf_Male, Elf_Female, Human_Male, Human_Female, Orc_Male, Orc_Female")</f>
        <v>Elf_Male, Elf_Female, Human_Male, Human_Female, Orc_Male, Orc_Female</v>
      </c>
      <c r="J586" s="5" t="s">
        <v>6274</v>
      </c>
      <c r="L586" s="12" t="str">
        <f t="shared" si="1"/>
        <v>Xing_HGWing1111,3,3</v>
      </c>
    </row>
    <row r="587" ht="15.75" customHeight="1">
      <c r="A587" s="8" t="s">
        <v>6266</v>
      </c>
      <c r="B587" s="18"/>
      <c r="C587" s="8" t="s">
        <v>6478</v>
      </c>
      <c r="D587" s="3">
        <v>2.0</v>
      </c>
      <c r="E587" s="8">
        <v>3.0</v>
      </c>
      <c r="F587" s="8" t="s">
        <v>6480</v>
      </c>
      <c r="G587" s="8" t="s">
        <v>1979</v>
      </c>
      <c r="H587" s="16" t="s">
        <v>3116</v>
      </c>
      <c r="I587" s="8" t="str">
        <f>IFERROR(__xludf.DUMMYFUNCTION("IF(OR(TRIM(G587)="""",TRIM(H587)=""""),"""",TEXTJOIN("", "",TRUE,ARRAYFORMULA(TRANSPOSE(TRIM(SPLIT(G587,"","")))&amp;""_""&amp;TRIM(SPLIT(H587,"","")))))"),"Elf_Male, Elf_Female, Human_Male, Human_Female, Orc_Male, Orc_Female")</f>
        <v>Elf_Male, Elf_Female, Human_Male, Human_Female, Orc_Male, Orc_Female</v>
      </c>
      <c r="J587" s="5" t="s">
        <v>6274</v>
      </c>
      <c r="L587" s="12" t="str">
        <f t="shared" si="1"/>
        <v>Xing_HGWing614,2,3</v>
      </c>
    </row>
    <row r="588" ht="15.75" customHeight="1">
      <c r="A588" s="8" t="s">
        <v>6266</v>
      </c>
      <c r="B588" s="18"/>
      <c r="C588" s="8" t="s">
        <v>6485</v>
      </c>
      <c r="D588" s="8">
        <v>2.0</v>
      </c>
      <c r="E588" s="8">
        <v>4.0</v>
      </c>
      <c r="F588" s="8" t="s">
        <v>6487</v>
      </c>
      <c r="G588" s="8" t="s">
        <v>1979</v>
      </c>
      <c r="H588" s="16" t="s">
        <v>3116</v>
      </c>
      <c r="I588" s="8" t="str">
        <f>IFERROR(__xludf.DUMMYFUNCTION("IF(OR(TRIM(G588)="""",TRIM(H588)=""""),"""",TEXTJOIN("", "",TRUE,ARRAYFORMULA(TRANSPOSE(TRIM(SPLIT(G588,"","")))&amp;""_""&amp;TRIM(SPLIT(H588,"","")))))"),"Elf_Male, Elf_Female, Human_Male, Human_Female, Orc_Male, Orc_Female")</f>
        <v>Elf_Male, Elf_Female, Human_Male, Human_Female, Orc_Male, Orc_Female</v>
      </c>
      <c r="J588" s="5" t="s">
        <v>6274</v>
      </c>
      <c r="L588" s="12" t="str">
        <f t="shared" si="1"/>
        <v>Xing_HGWing722,2,4</v>
      </c>
    </row>
    <row r="589" ht="15.75" customHeight="1">
      <c r="A589" s="8" t="s">
        <v>6266</v>
      </c>
      <c r="B589" s="18"/>
      <c r="C589" s="8" t="s">
        <v>6493</v>
      </c>
      <c r="D589" s="8">
        <v>1.0</v>
      </c>
      <c r="E589" s="8">
        <v>2.0</v>
      </c>
      <c r="F589" s="8" t="s">
        <v>6495</v>
      </c>
      <c r="G589" s="8" t="s">
        <v>1979</v>
      </c>
      <c r="H589" s="16" t="s">
        <v>3116</v>
      </c>
      <c r="I589" s="8" t="str">
        <f>IFERROR(__xludf.DUMMYFUNCTION("IF(OR(TRIM(G589)="""",TRIM(H589)=""""),"""",TEXTJOIN("", "",TRUE,ARRAYFORMULA(TRANSPOSE(TRIM(SPLIT(G589,"","")))&amp;""_""&amp;TRIM(SPLIT(H589,"","")))))"),"Elf_Male, Elf_Female, Human_Male, Human_Female, Orc_Male, Orc_Female")</f>
        <v>Elf_Male, Elf_Female, Human_Male, Human_Female, Orc_Male, Orc_Female</v>
      </c>
      <c r="J589" s="5" t="s">
        <v>6274</v>
      </c>
      <c r="L589" s="12" t="str">
        <f t="shared" si="1"/>
        <v>Xing_HHPonytail,1,2</v>
      </c>
    </row>
    <row r="590" ht="15.75" customHeight="1">
      <c r="A590" s="8" t="s">
        <v>6266</v>
      </c>
      <c r="B590" s="18"/>
      <c r="C590" s="8" t="s">
        <v>6500</v>
      </c>
      <c r="D590" s="8">
        <v>1.0</v>
      </c>
      <c r="E590" s="8">
        <v>2.0</v>
      </c>
      <c r="F590" s="8" t="s">
        <v>6501</v>
      </c>
      <c r="G590" s="8" t="s">
        <v>1979</v>
      </c>
      <c r="H590" s="16" t="s">
        <v>3116</v>
      </c>
      <c r="I590" s="8" t="str">
        <f>IFERROR(__xludf.DUMMYFUNCTION("IF(OR(TRIM(G590)="""",TRIM(H590)=""""),"""",TEXTJOIN("", "",TRUE,ARRAYFORMULA(TRANSPOSE(TRIM(SPLIT(G590,"","")))&amp;""_""&amp;TRIM(SPLIT(H590,"","")))))"),"Elf_Male, Elf_Female, Human_Male, Human_Female, Orc_Male, Orc_Female")</f>
        <v>Elf_Male, Elf_Female, Human_Male, Human_Female, Orc_Male, Orc_Female</v>
      </c>
      <c r="J590" s="5" t="s">
        <v>6274</v>
      </c>
      <c r="L590" s="12" t="str">
        <f t="shared" si="1"/>
        <v>Xing_HHPonytailSideSwept,1,2</v>
      </c>
    </row>
    <row r="591" ht="15.75" customHeight="1">
      <c r="A591" s="8" t="s">
        <v>6266</v>
      </c>
      <c r="B591" s="18"/>
      <c r="C591" s="8" t="s">
        <v>6506</v>
      </c>
      <c r="D591" s="8">
        <v>1.0</v>
      </c>
      <c r="E591" s="8">
        <v>1.0</v>
      </c>
      <c r="F591" s="8" t="s">
        <v>6509</v>
      </c>
      <c r="G591" s="8" t="s">
        <v>1979</v>
      </c>
      <c r="H591" s="16" t="s">
        <v>3116</v>
      </c>
      <c r="I591" s="8" t="str">
        <f>IFERROR(__xludf.DUMMYFUNCTION("IF(OR(TRIM(G591)="""",TRIM(H591)=""""),"""",TEXTJOIN("", "",TRUE,ARRAYFORMULA(TRANSPOSE(TRIM(SPLIT(G591,"","")))&amp;""_""&amp;TRIM(SPLIT(H591,"","")))))"),"Elf_Male, Elf_Female, Human_Male, Human_Female, Orc_Male, Orc_Female")</f>
        <v>Elf_Male, Elf_Female, Human_Male, Human_Female, Orc_Male, Orc_Female</v>
      </c>
      <c r="J591" s="5" t="s">
        <v>6274</v>
      </c>
      <c r="L591" s="12" t="str">
        <f t="shared" si="1"/>
        <v>Xing_HHShortBob,1,1</v>
      </c>
    </row>
    <row r="592" ht="15.75" customHeight="1">
      <c r="A592" s="8" t="s">
        <v>6266</v>
      </c>
      <c r="B592" s="18"/>
      <c r="C592" s="8" t="s">
        <v>6514</v>
      </c>
      <c r="D592" s="8">
        <v>1.0</v>
      </c>
      <c r="E592" s="8">
        <v>1.0</v>
      </c>
      <c r="F592" s="8" t="s">
        <v>6516</v>
      </c>
      <c r="G592" s="8" t="s">
        <v>1979</v>
      </c>
      <c r="H592" s="16" t="s">
        <v>3116</v>
      </c>
      <c r="I592" s="8" t="str">
        <f>IFERROR(__xludf.DUMMYFUNCTION("IF(OR(TRIM(G592)="""",TRIM(H592)=""""),"""",TEXTJOIN("", "",TRUE,ARRAYFORMULA(TRANSPOSE(TRIM(SPLIT(G592,"","")))&amp;""_""&amp;TRIM(SPLIT(H592,"","")))))"),"Elf_Male, Elf_Female, Human_Male, Human_Female, Orc_Male, Orc_Female")</f>
        <v>Elf_Male, Elf_Female, Human_Male, Human_Female, Orc_Male, Orc_Female</v>
      </c>
      <c r="J592" s="5" t="s">
        <v>6274</v>
      </c>
      <c r="L592" s="12" t="str">
        <f t="shared" si="1"/>
        <v>Xing_HHShortBobSideSwept,1,1</v>
      </c>
    </row>
    <row r="593" ht="15.75" customHeight="1">
      <c r="A593" s="8" t="s">
        <v>6266</v>
      </c>
      <c r="B593" s="18"/>
      <c r="C593" s="8" t="s">
        <v>6521</v>
      </c>
      <c r="D593" s="8">
        <v>1.0</v>
      </c>
      <c r="E593" s="8">
        <v>1.0</v>
      </c>
      <c r="F593" s="8" t="s">
        <v>6522</v>
      </c>
      <c r="G593" s="8" t="s">
        <v>1979</v>
      </c>
      <c r="H593" s="16" t="s">
        <v>3116</v>
      </c>
      <c r="I593" s="8" t="str">
        <f>IFERROR(__xludf.DUMMYFUNCTION("IF(OR(TRIM(G593)="""",TRIM(H593)=""""),"""",TEXTJOIN("", "",TRUE,ARRAYFORMULA(TRANSPOSE(TRIM(SPLIT(G593,"","")))&amp;""_""&amp;TRIM(SPLIT(H593,"","")))))"),"Elf_Male, Elf_Female, Human_Male, Human_Female, Orc_Male, Orc_Female")</f>
        <v>Elf_Male, Elf_Female, Human_Male, Human_Female, Orc_Male, Orc_Female</v>
      </c>
      <c r="J593" s="5" t="s">
        <v>6274</v>
      </c>
      <c r="L593" s="12" t="str">
        <f t="shared" si="1"/>
        <v>Xing_HHShortBobTucked,1,1</v>
      </c>
    </row>
    <row r="594" ht="15.75" customHeight="1">
      <c r="A594" s="8" t="s">
        <v>6266</v>
      </c>
      <c r="B594" s="18"/>
      <c r="C594" s="8" t="s">
        <v>6527</v>
      </c>
      <c r="D594" s="8">
        <v>3.0</v>
      </c>
      <c r="E594" s="8">
        <v>3.0</v>
      </c>
      <c r="F594" s="8" t="s">
        <v>6530</v>
      </c>
      <c r="G594" s="8" t="s">
        <v>1979</v>
      </c>
      <c r="H594" s="16" t="s">
        <v>3116</v>
      </c>
      <c r="I594" s="8" t="str">
        <f>IFERROR(__xludf.DUMMYFUNCTION("IF(OR(TRIM(G594)="""",TRIM(H594)=""""),"""",TEXTJOIN("", "",TRUE,ARRAYFORMULA(TRANSPOSE(TRIM(SPLIT(G594,"","")))&amp;""_""&amp;TRIM(SPLIT(H594,"","")))))"),"Elf_Male, Elf_Female, Human_Male, Human_Female, Orc_Male, Orc_Female")</f>
        <v>Elf_Male, Elf_Female, Human_Male, Human_Female, Orc_Male, Orc_Female</v>
      </c>
      <c r="J594" s="5" t="s">
        <v>6274</v>
      </c>
      <c r="L594" s="12" t="str">
        <f t="shared" si="1"/>
        <v>Xing_KSAmberLights,3,3</v>
      </c>
    </row>
    <row r="595" ht="15.75" customHeight="1">
      <c r="A595" s="8" t="s">
        <v>6266</v>
      </c>
      <c r="B595" s="18"/>
      <c r="C595" s="8" t="s">
        <v>6533</v>
      </c>
      <c r="D595" s="8">
        <v>3.0</v>
      </c>
      <c r="E595" s="8">
        <v>3.0</v>
      </c>
      <c r="F595" s="8" t="s">
        <v>6535</v>
      </c>
      <c r="G595" s="8" t="s">
        <v>1979</v>
      </c>
      <c r="H595" s="16" t="s">
        <v>3116</v>
      </c>
      <c r="I595" s="8" t="str">
        <f>IFERROR(__xludf.DUMMYFUNCTION("IF(OR(TRIM(G595)="""",TRIM(H595)=""""),"""",TEXTJOIN("", "",TRUE,ARRAYFORMULA(TRANSPOSE(TRIM(SPLIT(G595,"","")))&amp;""_""&amp;TRIM(SPLIT(H595,"","")))))"),"Elf_Male, Elf_Female, Human_Male, Human_Female, Orc_Male, Orc_Female")</f>
        <v>Elf_Male, Elf_Female, Human_Male, Human_Female, Orc_Male, Orc_Female</v>
      </c>
      <c r="J595" s="5" t="s">
        <v>6274</v>
      </c>
      <c r="L595" s="12" t="str">
        <f t="shared" si="1"/>
        <v>Xing_KSAnchor,3,3</v>
      </c>
    </row>
    <row r="596" ht="15.75" customHeight="1">
      <c r="A596" s="8" t="s">
        <v>6266</v>
      </c>
      <c r="B596" s="18"/>
      <c r="C596" s="8" t="s">
        <v>6537</v>
      </c>
      <c r="D596" s="8">
        <v>3.0</v>
      </c>
      <c r="E596" s="8">
        <v>3.0</v>
      </c>
      <c r="F596" s="8" t="s">
        <v>6538</v>
      </c>
      <c r="G596" s="8" t="s">
        <v>1979</v>
      </c>
      <c r="H596" s="16" t="s">
        <v>3116</v>
      </c>
      <c r="I596" s="8" t="str">
        <f>IFERROR(__xludf.DUMMYFUNCTION("IF(OR(TRIM(G596)="""",TRIM(H596)=""""),"""",TEXTJOIN("", "",TRUE,ARRAYFORMULA(TRANSPOSE(TRIM(SPLIT(G596,"","")))&amp;""_""&amp;TRIM(SPLIT(H596,"","")))))"),"Elf_Male, Elf_Female, Human_Male, Human_Female, Orc_Male, Orc_Female")</f>
        <v>Elf_Male, Elf_Female, Human_Male, Human_Female, Orc_Male, Orc_Female</v>
      </c>
      <c r="J596" s="5" t="s">
        <v>6274</v>
      </c>
      <c r="L596" s="12" t="str">
        <f t="shared" si="1"/>
        <v>Xing_KSAquaria,3,3</v>
      </c>
    </row>
    <row r="597" ht="15.75" customHeight="1">
      <c r="A597" s="8" t="s">
        <v>6266</v>
      </c>
      <c r="B597" s="18"/>
      <c r="C597" s="8" t="s">
        <v>6543</v>
      </c>
      <c r="D597" s="8">
        <v>1.0</v>
      </c>
      <c r="E597" s="8">
        <v>1.0</v>
      </c>
      <c r="F597" s="8" t="s">
        <v>6544</v>
      </c>
      <c r="G597" s="8" t="s">
        <v>1979</v>
      </c>
      <c r="H597" s="16" t="s">
        <v>3116</v>
      </c>
      <c r="I597" s="8" t="str">
        <f>IFERROR(__xludf.DUMMYFUNCTION("IF(OR(TRIM(G597)="""",TRIM(H597)=""""),"""",TEXTJOIN("", "",TRUE,ARRAYFORMULA(TRANSPOSE(TRIM(SPLIT(G597,"","")))&amp;""_""&amp;TRIM(SPLIT(H597,"","")))))"),"Elf_Male, Elf_Female, Human_Male, Human_Female, Orc_Male, Orc_Female")</f>
        <v>Elf_Male, Elf_Female, Human_Male, Human_Female, Orc_Male, Orc_Female</v>
      </c>
      <c r="J597" s="5" t="s">
        <v>6274</v>
      </c>
      <c r="L597" s="12" t="str">
        <f t="shared" si="1"/>
        <v>Xing_KSBlackBullet,1,1</v>
      </c>
    </row>
    <row r="598" ht="15.75" customHeight="1">
      <c r="A598" s="8" t="s">
        <v>6266</v>
      </c>
      <c r="B598" s="18"/>
      <c r="C598" s="8" t="s">
        <v>6549</v>
      </c>
      <c r="D598" s="8">
        <v>1.0</v>
      </c>
      <c r="E598" s="8">
        <v>1.0</v>
      </c>
      <c r="F598" s="8" t="s">
        <v>6551</v>
      </c>
      <c r="G598" s="8" t="s">
        <v>1979</v>
      </c>
      <c r="H598" s="16" t="s">
        <v>3116</v>
      </c>
      <c r="I598" s="8" t="str">
        <f>IFERROR(__xludf.DUMMYFUNCTION("IF(OR(TRIM(G598)="""",TRIM(H598)=""""),"""",TEXTJOIN("", "",TRUE,ARRAYFORMULA(TRANSPOSE(TRIM(SPLIT(G598,"","")))&amp;""_""&amp;TRIM(SPLIT(H598,"","")))))"),"Elf_Male, Elf_Female, Human_Male, Human_Female, Orc_Male, Orc_Female")</f>
        <v>Elf_Male, Elf_Female, Human_Male, Human_Female, Orc_Male, Orc_Female</v>
      </c>
      <c r="J598" s="5" t="s">
        <v>6274</v>
      </c>
      <c r="L598" s="12" t="str">
        <f t="shared" si="1"/>
        <v>Xing_KSBlossomStory,1,1</v>
      </c>
    </row>
    <row r="599" ht="15.75" customHeight="1">
      <c r="A599" s="8" t="s">
        <v>6266</v>
      </c>
      <c r="B599" s="18"/>
      <c r="C599" s="8" t="s">
        <v>6557</v>
      </c>
      <c r="D599" s="8">
        <v>3.0</v>
      </c>
      <c r="E599" s="8">
        <v>3.0</v>
      </c>
      <c r="F599" s="8" t="s">
        <v>6558</v>
      </c>
      <c r="G599" s="8" t="s">
        <v>1979</v>
      </c>
      <c r="H599" s="16" t="s">
        <v>3116</v>
      </c>
      <c r="I599" s="8" t="str">
        <f>IFERROR(__xludf.DUMMYFUNCTION("IF(OR(TRIM(G599)="""",TRIM(H599)=""""),"""",TEXTJOIN("", "",TRUE,ARRAYFORMULA(TRANSPOSE(TRIM(SPLIT(G599,"","")))&amp;""_""&amp;TRIM(SPLIT(H599,"","")))))"),"Elf_Male, Elf_Female, Human_Male, Human_Female, Orc_Male, Orc_Female")</f>
        <v>Elf_Male, Elf_Female, Human_Male, Human_Female, Orc_Male, Orc_Female</v>
      </c>
      <c r="J599" s="5" t="s">
        <v>6274</v>
      </c>
      <c r="L599" s="12" t="str">
        <f t="shared" si="1"/>
        <v>Xing_KSButterfly098,3,3</v>
      </c>
    </row>
    <row r="600" ht="15.75" customHeight="1">
      <c r="A600" s="8" t="s">
        <v>6266</v>
      </c>
      <c r="B600" s="18"/>
      <c r="C600" s="8" t="s">
        <v>6564</v>
      </c>
      <c r="D600" s="8">
        <v>1.0</v>
      </c>
      <c r="E600" s="8">
        <v>1.0</v>
      </c>
      <c r="F600" s="8" t="s">
        <v>6565</v>
      </c>
      <c r="G600" s="8" t="s">
        <v>1979</v>
      </c>
      <c r="H600" s="16" t="s">
        <v>3116</v>
      </c>
      <c r="I600" s="8" t="str">
        <f>IFERROR(__xludf.DUMMYFUNCTION("IF(OR(TRIM(G600)="""",TRIM(H600)=""""),"""",TEXTJOIN("", "",TRUE,ARRAYFORMULA(TRANSPOSE(TRIM(SPLIT(G600,"","")))&amp;""_""&amp;TRIM(SPLIT(H600,"","")))))"),"Elf_Male, Elf_Female, Human_Male, Human_Female, Orc_Male, Orc_Female")</f>
        <v>Elf_Male, Elf_Female, Human_Male, Human_Female, Orc_Male, Orc_Female</v>
      </c>
      <c r="J600" s="5" t="s">
        <v>6274</v>
      </c>
      <c r="L600" s="12" t="str">
        <f t="shared" si="1"/>
        <v>Xing_KSCambrian,1,1</v>
      </c>
    </row>
    <row r="601" ht="15.75" customHeight="1">
      <c r="A601" s="8" t="s">
        <v>6266</v>
      </c>
      <c r="B601" s="18"/>
      <c r="C601" s="8" t="s">
        <v>6572</v>
      </c>
      <c r="D601" s="8">
        <v>3.0</v>
      </c>
      <c r="E601" s="8">
        <v>3.0</v>
      </c>
      <c r="F601" s="8" t="s">
        <v>6574</v>
      </c>
      <c r="G601" s="8" t="s">
        <v>1979</v>
      </c>
      <c r="H601" s="16" t="s">
        <v>3116</v>
      </c>
      <c r="I601" s="8" t="str">
        <f>IFERROR(__xludf.DUMMYFUNCTION("IF(OR(TRIM(G601)="""",TRIM(H601)=""""),"""",TEXTJOIN("", "",TRUE,ARRAYFORMULA(TRANSPOSE(TRIM(SPLIT(G601,"","")))&amp;""_""&amp;TRIM(SPLIT(H601,"","")))))"),"Elf_Male, Elf_Female, Human_Male, Human_Female, Orc_Male, Orc_Female")</f>
        <v>Elf_Male, Elf_Female, Human_Male, Human_Female, Orc_Male, Orc_Female</v>
      </c>
      <c r="J601" s="5" t="s">
        <v>6274</v>
      </c>
      <c r="L601" s="12" t="str">
        <f t="shared" si="1"/>
        <v>Xing_KSCaramella,3,3</v>
      </c>
    </row>
    <row r="602" ht="15.75" customHeight="1">
      <c r="A602" s="8" t="s">
        <v>6266</v>
      </c>
      <c r="B602" s="18"/>
      <c r="C602" s="8" t="s">
        <v>6580</v>
      </c>
      <c r="D602" s="8">
        <v>1.0</v>
      </c>
      <c r="E602" s="8">
        <v>1.0</v>
      </c>
      <c r="F602" s="8" t="s">
        <v>6581</v>
      </c>
      <c r="G602" s="8" t="s">
        <v>1979</v>
      </c>
      <c r="H602" s="16" t="s">
        <v>3116</v>
      </c>
      <c r="I602" s="8" t="str">
        <f>IFERROR(__xludf.DUMMYFUNCTION("IF(OR(TRIM(G602)="""",TRIM(H602)=""""),"""",TEXTJOIN("", "",TRUE,ARRAYFORMULA(TRANSPOSE(TRIM(SPLIT(G602,"","")))&amp;""_""&amp;TRIM(SPLIT(H602,"","")))))"),"Elf_Male, Elf_Female, Human_Male, Human_Female, Orc_Male, Orc_Female")</f>
        <v>Elf_Male, Elf_Female, Human_Male, Human_Female, Orc_Male, Orc_Female</v>
      </c>
      <c r="J602" s="5" t="s">
        <v>6274</v>
      </c>
      <c r="L602" s="12" t="str">
        <f t="shared" si="1"/>
        <v>Xing_KSChainReaction,1,1</v>
      </c>
    </row>
    <row r="603" ht="15.75" customHeight="1">
      <c r="A603" s="8" t="s">
        <v>6266</v>
      </c>
      <c r="B603" s="18"/>
      <c r="C603" s="8" t="s">
        <v>6587</v>
      </c>
      <c r="D603" s="8">
        <v>3.0</v>
      </c>
      <c r="E603" s="8">
        <v>3.0</v>
      </c>
      <c r="F603" s="8" t="s">
        <v>6589</v>
      </c>
      <c r="G603" s="8" t="s">
        <v>1979</v>
      </c>
      <c r="H603" s="16" t="s">
        <v>3116</v>
      </c>
      <c r="I603" s="8" t="str">
        <f>IFERROR(__xludf.DUMMYFUNCTION("IF(OR(TRIM(G603)="""",TRIM(H603)=""""),"""",TEXTJOIN("", "",TRUE,ARRAYFORMULA(TRANSPOSE(TRIM(SPLIT(G603,"","")))&amp;""_""&amp;TRIM(SPLIT(H603,"","")))))"),"Elf_Male, Elf_Female, Human_Male, Human_Female, Orc_Male, Orc_Female")</f>
        <v>Elf_Male, Elf_Female, Human_Male, Human_Female, Orc_Male, Orc_Female</v>
      </c>
      <c r="J603" s="5" t="s">
        <v>6274</v>
      </c>
      <c r="L603" s="12" t="str">
        <f t="shared" si="1"/>
        <v>Xing_KSClover,3,3</v>
      </c>
    </row>
    <row r="604" ht="15.75" customHeight="1">
      <c r="A604" s="8" t="s">
        <v>6266</v>
      </c>
      <c r="B604" s="18"/>
      <c r="C604" s="8" t="s">
        <v>6594</v>
      </c>
      <c r="D604" s="8">
        <v>2.0</v>
      </c>
      <c r="E604" s="8">
        <v>2.0</v>
      </c>
      <c r="F604" s="8" t="s">
        <v>6597</v>
      </c>
      <c r="G604" s="8" t="s">
        <v>1979</v>
      </c>
      <c r="H604" s="16" t="s">
        <v>3116</v>
      </c>
      <c r="I604" s="8" t="str">
        <f>IFERROR(__xludf.DUMMYFUNCTION("IF(OR(TRIM(G604)="""",TRIM(H604)=""""),"""",TEXTJOIN("", "",TRUE,ARRAYFORMULA(TRANSPOSE(TRIM(SPLIT(G604,"","")))&amp;""_""&amp;TRIM(SPLIT(H604,"","")))))"),"Elf_Male, Elf_Female, Human_Male, Human_Female, Orc_Male, Orc_Female")</f>
        <v>Elf_Male, Elf_Female, Human_Male, Human_Female, Orc_Male, Orc_Female</v>
      </c>
      <c r="J604" s="5" t="s">
        <v>6274</v>
      </c>
      <c r="L604" s="12" t="str">
        <f t="shared" si="1"/>
        <v>Xing_KSCraxyLove,2,2</v>
      </c>
    </row>
    <row r="605" ht="15.75" customHeight="1">
      <c r="A605" s="8" t="s">
        <v>6266</v>
      </c>
      <c r="B605" s="18"/>
      <c r="C605" s="8" t="s">
        <v>6603</v>
      </c>
      <c r="D605" s="8">
        <v>2.0</v>
      </c>
      <c r="E605" s="8">
        <v>3.0</v>
      </c>
      <c r="F605" s="8" t="s">
        <v>6605</v>
      </c>
      <c r="G605" s="8" t="s">
        <v>1979</v>
      </c>
      <c r="H605" s="16" t="s">
        <v>3116</v>
      </c>
      <c r="I605" s="8" t="str">
        <f>IFERROR(__xludf.DUMMYFUNCTION("IF(OR(TRIM(G605)="""",TRIM(H605)=""""),"""",TEXTJOIN("", "",TRUE,ARRAYFORMULA(TRANSPOSE(TRIM(SPLIT(G605,"","")))&amp;""_""&amp;TRIM(SPLIT(H605,"","")))))"),"Elf_Male, Elf_Female, Human_Male, Human_Female, Orc_Male, Orc_Female")</f>
        <v>Elf_Male, Elf_Female, Human_Male, Human_Female, Orc_Male, Orc_Female</v>
      </c>
      <c r="J605" s="5" t="s">
        <v>6274</v>
      </c>
      <c r="L605" s="12" t="str">
        <f t="shared" si="1"/>
        <v>Xing_KSDawn,2,3</v>
      </c>
    </row>
    <row r="606" ht="15.75" customHeight="1">
      <c r="A606" s="8" t="s">
        <v>6266</v>
      </c>
      <c r="B606" s="18"/>
      <c r="C606" s="8" t="s">
        <v>6613</v>
      </c>
      <c r="D606" s="8">
        <v>2.0</v>
      </c>
      <c r="E606" s="8">
        <v>3.0</v>
      </c>
      <c r="F606" s="8" t="s">
        <v>6616</v>
      </c>
      <c r="G606" s="8" t="s">
        <v>1979</v>
      </c>
      <c r="H606" s="16" t="s">
        <v>3116</v>
      </c>
      <c r="I606" s="8" t="str">
        <f>IFERROR(__xludf.DUMMYFUNCTION("IF(OR(TRIM(G606)="""",TRIM(H606)=""""),"""",TEXTJOIN("", "",TRUE,ARRAYFORMULA(TRANSPOSE(TRIM(SPLIT(G606,"","")))&amp;""_""&amp;TRIM(SPLIT(H606,"","")))))"),"Elf_Male, Elf_Female, Human_Male, Human_Female, Orc_Male, Orc_Female")</f>
        <v>Elf_Male, Elf_Female, Human_Male, Human_Female, Orc_Male, Orc_Female</v>
      </c>
      <c r="J606" s="5" t="s">
        <v>6274</v>
      </c>
      <c r="L606" s="12" t="str">
        <f t="shared" si="1"/>
        <v>Xing_KSDaydream,2,3</v>
      </c>
    </row>
    <row r="607" ht="15.75" customHeight="1">
      <c r="A607" s="8" t="s">
        <v>6266</v>
      </c>
      <c r="B607" s="18"/>
      <c r="C607" s="8" t="s">
        <v>6621</v>
      </c>
      <c r="D607" s="8">
        <v>1.0</v>
      </c>
      <c r="E607" s="8">
        <v>3.0</v>
      </c>
      <c r="F607" s="8" t="s">
        <v>6624</v>
      </c>
      <c r="G607" s="8" t="s">
        <v>1979</v>
      </c>
      <c r="H607" s="16" t="s">
        <v>3116</v>
      </c>
      <c r="I607" s="8" t="str">
        <f>IFERROR(__xludf.DUMMYFUNCTION("IF(OR(TRIM(G607)="""",TRIM(H607)=""""),"""",TEXTJOIN("", "",TRUE,ARRAYFORMULA(TRANSPOSE(TRIM(SPLIT(G607,"","")))&amp;""_""&amp;TRIM(SPLIT(H607,"","")))))"),"Elf_Male, Elf_Female, Human_Male, Human_Female, Orc_Male, Orc_Female")</f>
        <v>Elf_Male, Elf_Female, Human_Male, Human_Female, Orc_Male, Orc_Female</v>
      </c>
      <c r="J607" s="5" t="s">
        <v>6274</v>
      </c>
      <c r="L607" s="12" t="str">
        <f t="shared" si="1"/>
        <v>Xing_KSDracarys,1,3</v>
      </c>
    </row>
    <row r="608" ht="15.75" customHeight="1">
      <c r="A608" s="8" t="s">
        <v>6266</v>
      </c>
      <c r="B608" s="18"/>
      <c r="C608" s="8" t="s">
        <v>6629</v>
      </c>
      <c r="D608" s="8">
        <v>1.0</v>
      </c>
      <c r="E608" s="8">
        <v>3.0</v>
      </c>
      <c r="F608" s="8" t="s">
        <v>6630</v>
      </c>
      <c r="G608" s="8" t="s">
        <v>1979</v>
      </c>
      <c r="H608" s="16" t="s">
        <v>3116</v>
      </c>
      <c r="I608" s="8" t="str">
        <f>IFERROR(__xludf.DUMMYFUNCTION("IF(OR(TRIM(G608)="""",TRIM(H608)=""""),"""",TEXTJOIN("", "",TRUE,ARRAYFORMULA(TRANSPOSE(TRIM(SPLIT(G608,"","")))&amp;""_""&amp;TRIM(SPLIT(H608,"","")))))"),"Elf_Male, Elf_Female, Human_Male, Human_Female, Orc_Male, Orc_Female")</f>
        <v>Elf_Male, Elf_Female, Human_Male, Human_Female, Orc_Male, Orc_Female</v>
      </c>
      <c r="J608" s="5" t="s">
        <v>6274</v>
      </c>
      <c r="L608" s="12" t="str">
        <f t="shared" si="1"/>
        <v>Xing_KSDragonStone,1,3</v>
      </c>
    </row>
    <row r="609" ht="15.75" customHeight="1">
      <c r="A609" s="8" t="s">
        <v>6266</v>
      </c>
      <c r="B609" s="18"/>
      <c r="C609" s="8" t="s">
        <v>6639</v>
      </c>
      <c r="D609" s="8">
        <v>1.0</v>
      </c>
      <c r="E609" s="8">
        <v>1.0</v>
      </c>
      <c r="F609" s="8" t="s">
        <v>6640</v>
      </c>
      <c r="G609" s="8" t="s">
        <v>1979</v>
      </c>
      <c r="H609" s="16" t="s">
        <v>3116</v>
      </c>
      <c r="I609" s="8" t="str">
        <f>IFERROR(__xludf.DUMMYFUNCTION("IF(OR(TRIM(G609)="""",TRIM(H609)=""""),"""",TEXTJOIN("", "",TRUE,ARRAYFORMULA(TRANSPOSE(TRIM(SPLIT(G609,"","")))&amp;""_""&amp;TRIM(SPLIT(H609,"","")))))"),"Elf_Male, Elf_Female, Human_Male, Human_Female, Orc_Male, Orc_Female")</f>
        <v>Elf_Male, Elf_Female, Human_Male, Human_Female, Orc_Male, Orc_Female</v>
      </c>
      <c r="J609" s="5" t="s">
        <v>6274</v>
      </c>
      <c r="L609" s="12" t="str">
        <f t="shared" si="1"/>
        <v>Xing_KSDreamgirl,1,1</v>
      </c>
    </row>
    <row r="610" ht="15.75" customHeight="1">
      <c r="A610" s="8" t="s">
        <v>6266</v>
      </c>
      <c r="B610" s="18"/>
      <c r="C610" s="8" t="s">
        <v>6649</v>
      </c>
      <c r="D610" s="8">
        <v>3.0</v>
      </c>
      <c r="E610" s="8">
        <v>3.0</v>
      </c>
      <c r="F610" s="8" t="s">
        <v>6651</v>
      </c>
      <c r="G610" s="8" t="s">
        <v>1979</v>
      </c>
      <c r="H610" s="16" t="s">
        <v>3116</v>
      </c>
      <c r="I610" s="8" t="str">
        <f>IFERROR(__xludf.DUMMYFUNCTION("IF(OR(TRIM(G610)="""",TRIM(H610)=""""),"""",TEXTJOIN("", "",TRUE,ARRAYFORMULA(TRANSPOSE(TRIM(SPLIT(G610,"","")))&amp;""_""&amp;TRIM(SPLIT(H610,"","")))))"),"Elf_Male, Elf_Female, Human_Male, Human_Female, Orc_Male, Orc_Female")</f>
        <v>Elf_Male, Elf_Female, Human_Male, Human_Female, Orc_Male, Orc_Female</v>
      </c>
      <c r="J610" s="5" t="s">
        <v>6274</v>
      </c>
      <c r="L610" s="12" t="str">
        <f t="shared" si="1"/>
        <v>Xing_KSEden,3,3</v>
      </c>
    </row>
    <row r="611" ht="15.75" customHeight="1">
      <c r="A611" s="8" t="s">
        <v>6266</v>
      </c>
      <c r="B611" s="18"/>
      <c r="C611" s="8" t="s">
        <v>6660</v>
      </c>
      <c r="D611" s="8">
        <v>1.0</v>
      </c>
      <c r="E611" s="8">
        <v>1.0</v>
      </c>
      <c r="F611" s="8" t="s">
        <v>6662</v>
      </c>
      <c r="G611" s="8" t="s">
        <v>1979</v>
      </c>
      <c r="H611" s="16" t="s">
        <v>3116</v>
      </c>
      <c r="I611" s="8" t="str">
        <f>IFERROR(__xludf.DUMMYFUNCTION("IF(OR(TRIM(G611)="""",TRIM(H611)=""""),"""",TEXTJOIN("", "",TRUE,ARRAYFORMULA(TRANSPOSE(TRIM(SPLIT(G611,"","")))&amp;""_""&amp;TRIM(SPLIT(H611,"","")))))"),"Elf_Male, Elf_Female, Human_Male, Human_Female, Orc_Male, Orc_Female")</f>
        <v>Elf_Male, Elf_Female, Human_Male, Human_Female, Orc_Male, Orc_Female</v>
      </c>
      <c r="J611" s="5" t="s">
        <v>6274</v>
      </c>
      <c r="L611" s="12" t="str">
        <f t="shared" si="1"/>
        <v>Xing_KSEquanimity,1,1</v>
      </c>
    </row>
    <row r="612" ht="15.75" customHeight="1">
      <c r="A612" s="8" t="s">
        <v>6266</v>
      </c>
      <c r="B612" s="18"/>
      <c r="C612" s="8" t="s">
        <v>6670</v>
      </c>
      <c r="D612" s="8">
        <v>1.0</v>
      </c>
      <c r="E612" s="8">
        <v>3.0</v>
      </c>
      <c r="F612" s="8" t="s">
        <v>6671</v>
      </c>
      <c r="G612" s="8" t="s">
        <v>1979</v>
      </c>
      <c r="H612" s="16" t="s">
        <v>3116</v>
      </c>
      <c r="I612" s="8" t="str">
        <f>IFERROR(__xludf.DUMMYFUNCTION("IF(OR(TRIM(G612)="""",TRIM(H612)=""""),"""",TEXTJOIN("", "",TRUE,ARRAYFORMULA(TRANSPOSE(TRIM(SPLIT(G612,"","")))&amp;""_""&amp;TRIM(SPLIT(H612,"","")))))"),"Elf_Male, Elf_Female, Human_Male, Human_Female, Orc_Male, Orc_Female")</f>
        <v>Elf_Male, Elf_Female, Human_Male, Human_Female, Orc_Male, Orc_Female</v>
      </c>
      <c r="J612" s="5" t="s">
        <v>6274</v>
      </c>
      <c r="L612" s="12" t="str">
        <f t="shared" si="1"/>
        <v>Xing_KSFirenze,1,3</v>
      </c>
    </row>
    <row r="613" ht="15.75" customHeight="1">
      <c r="A613" s="8" t="s">
        <v>6266</v>
      </c>
      <c r="B613" s="18"/>
      <c r="C613" s="8" t="s">
        <v>6678</v>
      </c>
      <c r="D613" s="8">
        <v>1.0</v>
      </c>
      <c r="E613" s="8">
        <v>1.0</v>
      </c>
      <c r="F613" s="8" t="s">
        <v>6679</v>
      </c>
      <c r="G613" s="8" t="s">
        <v>1979</v>
      </c>
      <c r="H613" s="16" t="s">
        <v>3116</v>
      </c>
      <c r="I613" s="8" t="str">
        <f>IFERROR(__xludf.DUMMYFUNCTION("IF(OR(TRIM(G613)="""",TRIM(H613)=""""),"""",TEXTJOIN("", "",TRUE,ARRAYFORMULA(TRANSPOSE(TRIM(SPLIT(G613,"","")))&amp;""_""&amp;TRIM(SPLIT(H613,"","")))))"),"Elf_Male, Elf_Female, Human_Male, Human_Female, Orc_Male, Orc_Female")</f>
        <v>Elf_Male, Elf_Female, Human_Male, Human_Female, Orc_Male, Orc_Female</v>
      </c>
      <c r="J613" s="5" t="s">
        <v>6274</v>
      </c>
      <c r="L613" s="12" t="str">
        <f t="shared" si="1"/>
        <v>Xing_KSFragile,1,1</v>
      </c>
    </row>
    <row r="614" ht="15.75" customHeight="1">
      <c r="A614" s="8" t="s">
        <v>6266</v>
      </c>
      <c r="B614" s="18"/>
      <c r="C614" s="8" t="s">
        <v>6689</v>
      </c>
      <c r="D614" s="8">
        <v>1.0</v>
      </c>
      <c r="E614" s="8">
        <v>4.0</v>
      </c>
      <c r="F614" s="8" t="s">
        <v>6692</v>
      </c>
      <c r="G614" s="8" t="s">
        <v>1979</v>
      </c>
      <c r="H614" s="16" t="s">
        <v>3116</v>
      </c>
      <c r="I614" s="8" t="str">
        <f>IFERROR(__xludf.DUMMYFUNCTION("IF(OR(TRIM(G614)="""",TRIM(H614)=""""),"""",TEXTJOIN("", "",TRUE,ARRAYFORMULA(TRANSPOSE(TRIM(SPLIT(G614,"","")))&amp;""_""&amp;TRIM(SPLIT(H614,"","")))))"),"Elf_Male, Elf_Female, Human_Male, Human_Female, Orc_Male, Orc_Female")</f>
        <v>Elf_Male, Elf_Female, Human_Male, Human_Female, Orc_Male, Orc_Female</v>
      </c>
      <c r="J614" s="5" t="s">
        <v>6274</v>
      </c>
      <c r="L614" s="12" t="str">
        <f t="shared" si="1"/>
        <v>Xing_KSGalactic,1,4</v>
      </c>
    </row>
    <row r="615" ht="15.75" customHeight="1">
      <c r="A615" s="8" t="s">
        <v>6266</v>
      </c>
      <c r="B615" s="18"/>
      <c r="C615" s="8" t="s">
        <v>6698</v>
      </c>
      <c r="D615" s="8">
        <v>1.0</v>
      </c>
      <c r="E615" s="8">
        <v>3.0</v>
      </c>
      <c r="F615" s="8" t="s">
        <v>6699</v>
      </c>
      <c r="G615" s="8" t="s">
        <v>1979</v>
      </c>
      <c r="H615" s="16" t="s">
        <v>3116</v>
      </c>
      <c r="I615" s="8" t="str">
        <f>IFERROR(__xludf.DUMMYFUNCTION("IF(OR(TRIM(G615)="""",TRIM(H615)=""""),"""",TEXTJOIN("", "",TRUE,ARRAYFORMULA(TRANSPOSE(TRIM(SPLIT(G615,"","")))&amp;""_""&amp;TRIM(SPLIT(H615,"","")))))"),"Elf_Male, Elf_Female, Human_Male, Human_Female, Orc_Male, Orc_Female")</f>
        <v>Elf_Male, Elf_Female, Human_Male, Human_Female, Orc_Male, Orc_Female</v>
      </c>
      <c r="J615" s="5" t="s">
        <v>6274</v>
      </c>
      <c r="L615" s="12" t="str">
        <f t="shared" si="1"/>
        <v>Xing_KSGem,1,3</v>
      </c>
    </row>
    <row r="616" ht="15.75" customHeight="1">
      <c r="A616" s="8" t="s">
        <v>6266</v>
      </c>
      <c r="B616" s="18"/>
      <c r="C616" s="8" t="s">
        <v>6706</v>
      </c>
      <c r="D616" s="8">
        <v>3.0</v>
      </c>
      <c r="E616" s="8">
        <v>3.0</v>
      </c>
      <c r="F616" s="8" t="s">
        <v>6708</v>
      </c>
      <c r="G616" s="8" t="s">
        <v>1979</v>
      </c>
      <c r="H616" s="16" t="s">
        <v>3116</v>
      </c>
      <c r="I616" s="8" t="str">
        <f>IFERROR(__xludf.DUMMYFUNCTION("IF(OR(TRIM(G616)="""",TRIM(H616)=""""),"""",TEXTJOIN("", "",TRUE,ARRAYFORMULA(TRANSPOSE(TRIM(SPLIT(G616,"","")))&amp;""_""&amp;TRIM(SPLIT(H616,"","")))))"),"Elf_Male, Elf_Female, Human_Male, Human_Female, Orc_Male, Orc_Female")</f>
        <v>Elf_Male, Elf_Female, Human_Male, Human_Female, Orc_Male, Orc_Female</v>
      </c>
      <c r="J616" s="5" t="s">
        <v>6274</v>
      </c>
      <c r="L616" s="12" t="str">
        <f t="shared" si="1"/>
        <v>Xing_KSGlow,3,3</v>
      </c>
    </row>
    <row r="617" ht="15.75" customHeight="1">
      <c r="A617" s="8" t="s">
        <v>6266</v>
      </c>
      <c r="B617" s="18"/>
      <c r="C617" s="8" t="s">
        <v>6712</v>
      </c>
      <c r="D617" s="8">
        <v>1.0</v>
      </c>
      <c r="E617" s="8">
        <v>1.0</v>
      </c>
      <c r="F617" s="8" t="s">
        <v>6714</v>
      </c>
      <c r="G617" s="8" t="s">
        <v>1979</v>
      </c>
      <c r="H617" s="16" t="s">
        <v>3116</v>
      </c>
      <c r="I617" s="8" t="str">
        <f>IFERROR(__xludf.DUMMYFUNCTION("IF(OR(TRIM(G617)="""",TRIM(H617)=""""),"""",TEXTJOIN("", "",TRUE,ARRAYFORMULA(TRANSPOSE(TRIM(SPLIT(G617,"","")))&amp;""_""&amp;TRIM(SPLIT(H617,"","")))))"),"Elf_Male, Elf_Female, Human_Male, Human_Female, Orc_Male, Orc_Female")</f>
        <v>Elf_Male, Elf_Female, Human_Male, Human_Female, Orc_Male, Orc_Female</v>
      </c>
      <c r="J617" s="5" t="s">
        <v>6274</v>
      </c>
      <c r="L617" s="12" t="str">
        <f t="shared" si="1"/>
        <v>Xing_KSHeartquake,1,1</v>
      </c>
    </row>
    <row r="618" ht="15.75" customHeight="1">
      <c r="A618" s="8" t="s">
        <v>6266</v>
      </c>
      <c r="B618" s="18"/>
      <c r="C618" s="8" t="s">
        <v>6717</v>
      </c>
      <c r="D618" s="8">
        <v>2.0</v>
      </c>
      <c r="E618" s="8">
        <v>3.0</v>
      </c>
      <c r="F618" s="8" t="s">
        <v>6718</v>
      </c>
      <c r="G618" s="8" t="s">
        <v>1979</v>
      </c>
      <c r="H618" s="16" t="s">
        <v>3116</v>
      </c>
      <c r="I618" s="8" t="str">
        <f>IFERROR(__xludf.DUMMYFUNCTION("IF(OR(TRIM(G618)="""",TRIM(H618)=""""),"""",TEXTJOIN("", "",TRUE,ARRAYFORMULA(TRANSPOSE(TRIM(SPLIT(G618,"","")))&amp;""_""&amp;TRIM(SPLIT(H618,"","")))))"),"Elf_Male, Elf_Female, Human_Male, Human_Female, Orc_Male, Orc_Female")</f>
        <v>Elf_Male, Elf_Female, Human_Male, Human_Female, Orc_Male, Orc_Female</v>
      </c>
      <c r="J618" s="5" t="s">
        <v>6274</v>
      </c>
      <c r="L618" s="12" t="str">
        <f t="shared" si="1"/>
        <v>Xing_KSHello,2,3</v>
      </c>
    </row>
    <row r="619" ht="15.75" customHeight="1">
      <c r="A619" s="8" t="s">
        <v>6266</v>
      </c>
      <c r="B619" s="18"/>
      <c r="C619" s="8" t="s">
        <v>6721</v>
      </c>
      <c r="D619" s="8">
        <v>3.0</v>
      </c>
      <c r="E619" s="8">
        <v>3.0</v>
      </c>
      <c r="F619" s="8" t="s">
        <v>6723</v>
      </c>
      <c r="G619" s="8" t="s">
        <v>1979</v>
      </c>
      <c r="H619" s="16" t="s">
        <v>3116</v>
      </c>
      <c r="I619" s="8" t="str">
        <f>IFERROR(__xludf.DUMMYFUNCTION("IF(OR(TRIM(G619)="""",TRIM(H619)=""""),"""",TEXTJOIN("", "",TRUE,ARRAYFORMULA(TRANSPOSE(TRIM(SPLIT(G619,"","")))&amp;""_""&amp;TRIM(SPLIT(H619,"","")))))"),"Elf_Male, Elf_Female, Human_Male, Human_Female, Orc_Male, Orc_Female")</f>
        <v>Elf_Male, Elf_Female, Human_Male, Human_Female, Orc_Male, Orc_Female</v>
      </c>
      <c r="J619" s="5" t="s">
        <v>6274</v>
      </c>
      <c r="L619" s="12" t="str">
        <f t="shared" si="1"/>
        <v>Xing_KSHourglass,3,3</v>
      </c>
    </row>
    <row r="620" ht="15.75" customHeight="1">
      <c r="A620" s="8" t="s">
        <v>6266</v>
      </c>
      <c r="B620" s="18"/>
      <c r="C620" s="8" t="s">
        <v>6729</v>
      </c>
      <c r="D620" s="8">
        <v>2.0</v>
      </c>
      <c r="E620" s="8">
        <v>3.0</v>
      </c>
      <c r="F620" s="8" t="s">
        <v>6730</v>
      </c>
      <c r="G620" s="8" t="s">
        <v>1979</v>
      </c>
      <c r="H620" s="16" t="s">
        <v>3116</v>
      </c>
      <c r="I620" s="8" t="str">
        <f>IFERROR(__xludf.DUMMYFUNCTION("IF(OR(TRIM(G620)="""",TRIM(H620)=""""),"""",TEXTJOIN("", "",TRUE,ARRAYFORMULA(TRANSPOSE(TRIM(SPLIT(G620,"","")))&amp;""_""&amp;TRIM(SPLIT(H620,"","")))))"),"Elf_Male, Elf_Female, Human_Male, Human_Female, Orc_Male, Orc_Female")</f>
        <v>Elf_Male, Elf_Female, Human_Male, Human_Female, Orc_Male, Orc_Female</v>
      </c>
      <c r="J620" s="5" t="s">
        <v>6274</v>
      </c>
      <c r="L620" s="12" t="str">
        <f t="shared" si="1"/>
        <v>Xing_KSKaysa,2,3</v>
      </c>
    </row>
    <row r="621" ht="15.75" customHeight="1">
      <c r="A621" s="8" t="s">
        <v>6266</v>
      </c>
      <c r="B621" s="18"/>
      <c r="C621" s="8" t="s">
        <v>6736</v>
      </c>
      <c r="D621" s="3">
        <v>2.0</v>
      </c>
      <c r="E621" s="8">
        <v>3.0</v>
      </c>
      <c r="F621" s="8" t="s">
        <v>6737</v>
      </c>
      <c r="G621" s="8" t="s">
        <v>1979</v>
      </c>
      <c r="H621" s="16" t="s">
        <v>3116</v>
      </c>
      <c r="I621" s="8" t="str">
        <f>IFERROR(__xludf.DUMMYFUNCTION("IF(OR(TRIM(G621)="""",TRIM(H621)=""""),"""",TEXTJOIN("", "",TRUE,ARRAYFORMULA(TRANSPOSE(TRIM(SPLIT(G621,"","")))&amp;""_""&amp;TRIM(SPLIT(H621,"","")))))"),"Elf_Male, Elf_Female, Human_Male, Human_Female, Orc_Male, Orc_Female")</f>
        <v>Elf_Male, Elf_Female, Human_Male, Human_Female, Orc_Male, Orc_Female</v>
      </c>
      <c r="J621" s="5" t="s">
        <v>6274</v>
      </c>
      <c r="L621" s="12" t="str">
        <f t="shared" si="1"/>
        <v>Xing_KSMhysa,2,3</v>
      </c>
    </row>
    <row r="622" ht="15.75" customHeight="1">
      <c r="A622" s="8" t="s">
        <v>6266</v>
      </c>
      <c r="B622" s="18"/>
      <c r="C622" s="8" t="s">
        <v>6743</v>
      </c>
      <c r="D622" s="8">
        <v>2.0</v>
      </c>
      <c r="E622" s="8">
        <v>2.0</v>
      </c>
      <c r="F622" s="8" t="s">
        <v>6746</v>
      </c>
      <c r="G622" s="8" t="s">
        <v>1979</v>
      </c>
      <c r="H622" s="16" t="s">
        <v>3116</v>
      </c>
      <c r="I622" s="8" t="str">
        <f>IFERROR(__xludf.DUMMYFUNCTION("IF(OR(TRIM(G622)="""",TRIM(H622)=""""),"""",TEXTJOIN("", "",TRUE,ARRAYFORMULA(TRANSPOSE(TRIM(SPLIT(G622,"","")))&amp;""_""&amp;TRIM(SPLIT(H622,"","")))))"),"Elf_Male, Elf_Female, Human_Male, Human_Female, Orc_Male, Orc_Female")</f>
        <v>Elf_Male, Elf_Female, Human_Male, Human_Female, Orc_Male, Orc_Female</v>
      </c>
      <c r="J622" s="5" t="s">
        <v>6274</v>
      </c>
      <c r="L622" s="12" t="str">
        <f t="shared" si="1"/>
        <v>Xing_KSPeppermint,2,2</v>
      </c>
    </row>
    <row r="623" ht="15.75" customHeight="1">
      <c r="A623" s="8" t="s">
        <v>6266</v>
      </c>
      <c r="B623" s="18"/>
      <c r="C623" s="8" t="s">
        <v>6753</v>
      </c>
      <c r="D623" s="8">
        <v>2.0</v>
      </c>
      <c r="E623" s="8">
        <v>3.0</v>
      </c>
      <c r="F623" s="8" t="s">
        <v>6755</v>
      </c>
      <c r="G623" s="8" t="s">
        <v>1979</v>
      </c>
      <c r="H623" s="16" t="s">
        <v>3116</v>
      </c>
      <c r="I623" s="8" t="str">
        <f>IFERROR(__xludf.DUMMYFUNCTION("IF(OR(TRIM(G623)="""",TRIM(H623)=""""),"""",TEXTJOIN("", "",TRUE,ARRAYFORMULA(TRANSPOSE(TRIM(SPLIT(G623,"","")))&amp;""_""&amp;TRIM(SPLIT(H623,"","")))))"),"Elf_Male, Elf_Female, Human_Male, Human_Female, Orc_Male, Orc_Female")</f>
        <v>Elf_Male, Elf_Female, Human_Male, Human_Female, Orc_Male, Orc_Female</v>
      </c>
      <c r="J623" s="5" t="s">
        <v>6274</v>
      </c>
      <c r="L623" s="12" t="str">
        <f t="shared" si="1"/>
        <v>Xing_KSRenata,2,3</v>
      </c>
    </row>
    <row r="624" ht="15.75" customHeight="1">
      <c r="A624" s="8" t="s">
        <v>6266</v>
      </c>
      <c r="B624" s="18"/>
      <c r="C624" s="8" t="s">
        <v>6761</v>
      </c>
      <c r="D624" s="8">
        <v>2.0</v>
      </c>
      <c r="E624" s="8">
        <v>3.0</v>
      </c>
      <c r="F624" s="8" t="s">
        <v>6764</v>
      </c>
      <c r="G624" s="8" t="s">
        <v>1979</v>
      </c>
      <c r="H624" s="16" t="s">
        <v>3116</v>
      </c>
      <c r="I624" s="8" t="str">
        <f>IFERROR(__xludf.DUMMYFUNCTION("IF(OR(TRIM(G624)="""",TRIM(H624)=""""),"""",TEXTJOIN("", "",TRUE,ARRAYFORMULA(TRANSPOSE(TRIM(SPLIT(G624,"","")))&amp;""_""&amp;TRIM(SPLIT(H624,"","")))))"),"Elf_Male, Elf_Female, Human_Male, Human_Female, Orc_Male, Orc_Female")</f>
        <v>Elf_Male, Elf_Female, Human_Male, Human_Female, Orc_Male, Orc_Female</v>
      </c>
      <c r="J624" s="5" t="s">
        <v>6274</v>
      </c>
      <c r="L624" s="12" t="str">
        <f t="shared" si="1"/>
        <v>Xing_KSRunaway,2,3</v>
      </c>
    </row>
    <row r="625" ht="15.75" customHeight="1">
      <c r="A625" s="8" t="s">
        <v>6266</v>
      </c>
      <c r="B625" s="18"/>
      <c r="C625" s="8" t="s">
        <v>6768</v>
      </c>
      <c r="D625" s="8">
        <v>3.0</v>
      </c>
      <c r="E625" s="8">
        <v>3.0</v>
      </c>
      <c r="F625" s="8" t="s">
        <v>6769</v>
      </c>
      <c r="G625" s="8" t="s">
        <v>1979</v>
      </c>
      <c r="H625" s="16" t="s">
        <v>3116</v>
      </c>
      <c r="I625" s="8" t="str">
        <f>IFERROR(__xludf.DUMMYFUNCTION("IF(OR(TRIM(G625)="""",TRIM(H625)=""""),"""",TEXTJOIN("", "",TRUE,ARRAYFORMULA(TRANSPOSE(TRIM(SPLIT(G625,"","")))&amp;""_""&amp;TRIM(SPLIT(H625,"","")))))"),"Elf_Male, Elf_Female, Human_Male, Human_Female, Orc_Male, Orc_Female")</f>
        <v>Elf_Male, Elf_Female, Human_Male, Human_Female, Orc_Male, Orc_Female</v>
      </c>
      <c r="J625" s="5" t="s">
        <v>6274</v>
      </c>
      <c r="L625" s="12" t="str">
        <f t="shared" si="1"/>
        <v>Xing_KSSailAway,3,3</v>
      </c>
    </row>
    <row r="626" ht="15.75" customHeight="1">
      <c r="A626" s="8" t="s">
        <v>6266</v>
      </c>
      <c r="B626" s="18"/>
      <c r="C626" s="8" t="s">
        <v>6776</v>
      </c>
      <c r="D626" s="3">
        <v>2.0</v>
      </c>
      <c r="E626" s="8">
        <v>3.0</v>
      </c>
      <c r="F626" s="8" t="s">
        <v>6779</v>
      </c>
      <c r="G626" s="8" t="s">
        <v>1979</v>
      </c>
      <c r="H626" s="16" t="s">
        <v>3116</v>
      </c>
      <c r="I626" s="8" t="str">
        <f>IFERROR(__xludf.DUMMYFUNCTION("IF(OR(TRIM(G626)="""",TRIM(H626)=""""),"""",TEXTJOIN("", "",TRUE,ARRAYFORMULA(TRANSPOSE(TRIM(SPLIT(G626,"","")))&amp;""_""&amp;TRIM(SPLIT(H626,"","")))))"),"Elf_Male, Elf_Female, Human_Male, Human_Female, Orc_Male, Orc_Female")</f>
        <v>Elf_Male, Elf_Female, Human_Male, Human_Female, Orc_Male, Orc_Female</v>
      </c>
      <c r="J626" s="5" t="s">
        <v>6274</v>
      </c>
      <c r="L626" s="12" t="str">
        <f t="shared" si="1"/>
        <v>Xing_KSShepherd,2,3</v>
      </c>
    </row>
    <row r="627" ht="15.75" customHeight="1">
      <c r="A627" s="8" t="s">
        <v>6266</v>
      </c>
      <c r="B627" s="18"/>
      <c r="C627" s="8" t="s">
        <v>6784</v>
      </c>
      <c r="D627" s="8">
        <v>1.0</v>
      </c>
      <c r="E627" s="8">
        <v>3.0</v>
      </c>
      <c r="F627" s="8" t="s">
        <v>6785</v>
      </c>
      <c r="G627" s="8" t="s">
        <v>1979</v>
      </c>
      <c r="H627" s="16" t="s">
        <v>3116</v>
      </c>
      <c r="I627" s="8" t="str">
        <f>IFERROR(__xludf.DUMMYFUNCTION("IF(OR(TRIM(G627)="""",TRIM(H627)=""""),"""",TEXTJOIN("", "",TRUE,ARRAYFORMULA(TRANSPOSE(TRIM(SPLIT(G627,"","")))&amp;""_""&amp;TRIM(SPLIT(H627,"","")))))"),"Elf_Male, Elf_Female, Human_Male, Human_Female, Orc_Male, Orc_Female")</f>
        <v>Elf_Male, Elf_Female, Human_Male, Human_Female, Orc_Male, Orc_Female</v>
      </c>
      <c r="J627" s="5" t="s">
        <v>6274</v>
      </c>
      <c r="L627" s="12" t="str">
        <f t="shared" si="1"/>
        <v>Xing_KSShieldbrother,1,3</v>
      </c>
    </row>
    <row r="628" ht="15.75" customHeight="1">
      <c r="A628" s="8" t="s">
        <v>6266</v>
      </c>
      <c r="B628" s="18"/>
      <c r="C628" s="8" t="s">
        <v>6790</v>
      </c>
      <c r="D628" s="8">
        <v>1.0</v>
      </c>
      <c r="E628" s="8">
        <v>3.0</v>
      </c>
      <c r="F628" s="8" t="s">
        <v>6792</v>
      </c>
      <c r="G628" s="8" t="s">
        <v>1979</v>
      </c>
      <c r="H628" s="16" t="s">
        <v>3116</v>
      </c>
      <c r="I628" s="8" t="str">
        <f>IFERROR(__xludf.DUMMYFUNCTION("IF(OR(TRIM(G628)="""",TRIM(H628)=""""),"""",TEXTJOIN("", "",TRUE,ARRAYFORMULA(TRANSPOSE(TRIM(SPLIT(G628,"","")))&amp;""_""&amp;TRIM(SPLIT(H628,"","")))))"),"Elf_Male, Elf_Female, Human_Male, Human_Female, Orc_Male, Orc_Female")</f>
        <v>Elf_Male, Elf_Female, Human_Male, Human_Female, Orc_Male, Orc_Female</v>
      </c>
      <c r="J628" s="5" t="s">
        <v>6274</v>
      </c>
      <c r="L628" s="12" t="str">
        <f t="shared" si="1"/>
        <v>Xing_KSShieldmaiden,1,3</v>
      </c>
    </row>
    <row r="629" ht="15.75" customHeight="1">
      <c r="A629" s="8" t="s">
        <v>6266</v>
      </c>
      <c r="B629" s="18"/>
      <c r="C629" s="8" t="s">
        <v>6800</v>
      </c>
      <c r="D629" s="8">
        <v>3.0</v>
      </c>
      <c r="E629" s="8">
        <v>4.0</v>
      </c>
      <c r="F629" s="8" t="s">
        <v>6802</v>
      </c>
      <c r="G629" s="8" t="s">
        <v>1979</v>
      </c>
      <c r="H629" s="16" t="s">
        <v>3116</v>
      </c>
      <c r="I629" s="8" t="str">
        <f>IFERROR(__xludf.DUMMYFUNCTION("IF(OR(TRIM(G629)="""",TRIM(H629)=""""),"""",TEXTJOIN("", "",TRUE,ARRAYFORMULA(TRANSPOSE(TRIM(SPLIT(G629,"","")))&amp;""_""&amp;TRIM(SPLIT(H629,"","")))))"),"Elf_Male, Elf_Female, Human_Male, Human_Female, Orc_Male, Orc_Female")</f>
        <v>Elf_Male, Elf_Female, Human_Male, Human_Female, Orc_Male, Orc_Female</v>
      </c>
      <c r="J629" s="5" t="s">
        <v>6274</v>
      </c>
      <c r="L629" s="12" t="str">
        <f t="shared" si="1"/>
        <v>Xing_KSSirenForest,3,4</v>
      </c>
    </row>
    <row r="630" ht="15.75" customHeight="1">
      <c r="A630" s="8" t="s">
        <v>6266</v>
      </c>
      <c r="B630" s="18"/>
      <c r="C630" s="8" t="s">
        <v>6808</v>
      </c>
      <c r="D630" s="3">
        <v>2.0</v>
      </c>
      <c r="E630" s="8">
        <v>3.0</v>
      </c>
      <c r="F630" s="8" t="s">
        <v>6810</v>
      </c>
      <c r="G630" s="8" t="s">
        <v>1979</v>
      </c>
      <c r="H630" s="16" t="s">
        <v>3116</v>
      </c>
      <c r="I630" s="8" t="str">
        <f>IFERROR(__xludf.DUMMYFUNCTION("IF(OR(TRIM(G630)="""",TRIM(H630)=""""),"""",TEXTJOIN("", "",TRUE,ARRAYFORMULA(TRANSPOSE(TRIM(SPLIT(G630,"","")))&amp;""_""&amp;TRIM(SPLIT(H630,"","")))))"),"Elf_Male, Elf_Female, Human_Male, Human_Female, Orc_Male, Orc_Female")</f>
        <v>Elf_Male, Elf_Female, Human_Male, Human_Female, Orc_Male, Orc_Female</v>
      </c>
      <c r="J630" s="5" t="s">
        <v>6274</v>
      </c>
      <c r="L630" s="12" t="str">
        <f t="shared" si="1"/>
        <v>Xing_KSSky084,2,3</v>
      </c>
    </row>
    <row r="631" ht="15.75" customHeight="1">
      <c r="A631" s="8" t="s">
        <v>6266</v>
      </c>
      <c r="B631" s="18"/>
      <c r="C631" s="8" t="s">
        <v>6818</v>
      </c>
      <c r="D631" s="8">
        <v>1.0</v>
      </c>
      <c r="E631" s="8">
        <v>2.0</v>
      </c>
      <c r="F631" s="8" t="s">
        <v>6820</v>
      </c>
      <c r="G631" s="8" t="s">
        <v>1979</v>
      </c>
      <c r="H631" s="16" t="s">
        <v>3116</v>
      </c>
      <c r="I631" s="8" t="str">
        <f>IFERROR(__xludf.DUMMYFUNCTION("IF(OR(TRIM(G631)="""",TRIM(H631)=""""),"""",TEXTJOIN("", "",TRUE,ARRAYFORMULA(TRANSPOSE(TRIM(SPLIT(G631,"","")))&amp;""_""&amp;TRIM(SPLIT(H631,"","")))))"),"Elf_Male, Elf_Female, Human_Male, Human_Female, Orc_Male, Orc_Female")</f>
        <v>Elf_Male, Elf_Female, Human_Male, Human_Female, Orc_Male, Orc_Female</v>
      </c>
      <c r="J631" s="5" t="s">
        <v>6274</v>
      </c>
      <c r="L631" s="12" t="str">
        <f t="shared" si="1"/>
        <v>Xing_KSSky161,1,2</v>
      </c>
    </row>
    <row r="632" ht="15.75" customHeight="1">
      <c r="A632" s="8" t="s">
        <v>6266</v>
      </c>
      <c r="B632" s="18"/>
      <c r="C632" s="8" t="s">
        <v>6829</v>
      </c>
      <c r="D632" s="8">
        <v>3.0</v>
      </c>
      <c r="E632" s="8">
        <v>3.0</v>
      </c>
      <c r="F632" s="8" t="s">
        <v>6830</v>
      </c>
      <c r="G632" s="8" t="s">
        <v>1979</v>
      </c>
      <c r="H632" s="16" t="s">
        <v>3116</v>
      </c>
      <c r="I632" s="8" t="str">
        <f>IFERROR(__xludf.DUMMYFUNCTION("IF(OR(TRIM(G632)="""",TRIM(H632)=""""),"""",TEXTJOIN("", "",TRUE,ARRAYFORMULA(TRANSPOSE(TRIM(SPLIT(G632,"","")))&amp;""_""&amp;TRIM(SPLIT(H632,"","")))))"),"Elf_Male, Elf_Female, Human_Male, Human_Female, Orc_Male, Orc_Female")</f>
        <v>Elf_Male, Elf_Female, Human_Male, Human_Female, Orc_Male, Orc_Female</v>
      </c>
      <c r="J632" s="5" t="s">
        <v>6274</v>
      </c>
      <c r="L632" s="12" t="str">
        <f t="shared" si="1"/>
        <v>Xing_KSSky207,3,3</v>
      </c>
    </row>
    <row r="633" ht="15.75" customHeight="1">
      <c r="A633" s="8" t="s">
        <v>6266</v>
      </c>
      <c r="B633" s="18"/>
      <c r="C633" s="8" t="s">
        <v>6836</v>
      </c>
      <c r="D633" s="3">
        <v>2.0</v>
      </c>
      <c r="E633" s="8">
        <v>3.0</v>
      </c>
      <c r="F633" s="8" t="s">
        <v>6838</v>
      </c>
      <c r="G633" s="8" t="s">
        <v>1979</v>
      </c>
      <c r="H633" s="16" t="s">
        <v>3116</v>
      </c>
      <c r="I633" s="8" t="str">
        <f>IFERROR(__xludf.DUMMYFUNCTION("IF(OR(TRIM(G633)="""",TRIM(H633)=""""),"""",TEXTJOIN("", "",TRUE,ARRAYFORMULA(TRANSPOSE(TRIM(SPLIT(G633,"","")))&amp;""_""&amp;TRIM(SPLIT(H633,"","")))))"),"Elf_Male, Elf_Female, Human_Male, Human_Female, Orc_Male, Orc_Female")</f>
        <v>Elf_Male, Elf_Female, Human_Male, Human_Female, Orc_Male, Orc_Female</v>
      </c>
      <c r="J633" s="5" t="s">
        <v>6274</v>
      </c>
      <c r="L633" s="12" t="str">
        <f t="shared" si="1"/>
        <v>Xing_KSSleeper,2,3</v>
      </c>
    </row>
    <row r="634" ht="15.75" customHeight="1">
      <c r="A634" s="8" t="s">
        <v>6266</v>
      </c>
      <c r="B634" s="18"/>
      <c r="C634" s="8" t="s">
        <v>6845</v>
      </c>
      <c r="D634" s="3">
        <v>1.0</v>
      </c>
      <c r="E634" s="8">
        <v>2.0</v>
      </c>
      <c r="F634" s="8" t="s">
        <v>6848</v>
      </c>
      <c r="G634" s="8" t="s">
        <v>1979</v>
      </c>
      <c r="H634" s="16" t="s">
        <v>3116</v>
      </c>
      <c r="I634" s="8" t="str">
        <f>IFERROR(__xludf.DUMMYFUNCTION("IF(OR(TRIM(G634)="""",TRIM(H634)=""""),"""",TEXTJOIN("", "",TRUE,ARRAYFORMULA(TRANSPOSE(TRIM(SPLIT(G634,"","")))&amp;""_""&amp;TRIM(SPLIT(H634,"","")))))"),"Elf_Male, Elf_Female, Human_Male, Human_Female, Orc_Male, Orc_Female")</f>
        <v>Elf_Male, Elf_Female, Human_Male, Human_Female, Orc_Male, Orc_Female</v>
      </c>
      <c r="J634" s="5" t="s">
        <v>6274</v>
      </c>
      <c r="L634" s="12" t="str">
        <f t="shared" si="1"/>
        <v>Xing_KSSomali,1,2</v>
      </c>
    </row>
    <row r="635" ht="15.75" customHeight="1">
      <c r="A635" s="8" t="s">
        <v>6266</v>
      </c>
      <c r="B635" s="18"/>
      <c r="C635" s="8" t="s">
        <v>6853</v>
      </c>
      <c r="D635" s="8">
        <v>1.0</v>
      </c>
      <c r="E635" s="8">
        <v>1.0</v>
      </c>
      <c r="F635" s="8" t="s">
        <v>6856</v>
      </c>
      <c r="G635" s="8" t="s">
        <v>1979</v>
      </c>
      <c r="H635" s="16" t="s">
        <v>3116</v>
      </c>
      <c r="I635" s="8" t="str">
        <f>IFERROR(__xludf.DUMMYFUNCTION("IF(OR(TRIM(G635)="""",TRIM(H635)=""""),"""",TEXTJOIN("", "",TRUE,ARRAYFORMULA(TRANSPOSE(TRIM(SPLIT(G635,"","")))&amp;""_""&amp;TRIM(SPLIT(H635,"","")))))"),"Elf_Male, Elf_Female, Human_Male, Human_Female, Orc_Male, Orc_Female")</f>
        <v>Elf_Male, Elf_Female, Human_Male, Human_Female, Orc_Male, Orc_Female</v>
      </c>
      <c r="J635" s="5" t="s">
        <v>6274</v>
      </c>
      <c r="L635" s="12" t="str">
        <f t="shared" si="1"/>
        <v>Xing_KSSoundwave,1,1</v>
      </c>
    </row>
    <row r="636" ht="15.75" customHeight="1">
      <c r="A636" s="8" t="s">
        <v>6266</v>
      </c>
      <c r="B636" s="18"/>
      <c r="C636" s="8" t="s">
        <v>6863</v>
      </c>
      <c r="D636" s="8">
        <v>3.0</v>
      </c>
      <c r="E636" s="8">
        <v>3.0</v>
      </c>
      <c r="F636" s="8" t="s">
        <v>6864</v>
      </c>
      <c r="G636" s="8" t="s">
        <v>1979</v>
      </c>
      <c r="H636" s="16" t="s">
        <v>3116</v>
      </c>
      <c r="I636" s="8" t="str">
        <f>IFERROR(__xludf.DUMMYFUNCTION("IF(OR(TRIM(G636)="""",TRIM(H636)=""""),"""",TEXTJOIN("", "",TRUE,ARRAYFORMULA(TRANSPOSE(TRIM(SPLIT(G636,"","")))&amp;""_""&amp;TRIM(SPLIT(H636,"","")))))"),"Elf_Male, Elf_Female, Human_Male, Human_Female, Orc_Male, Orc_Female")</f>
        <v>Elf_Male, Elf_Female, Human_Male, Human_Female, Orc_Male, Orc_Female</v>
      </c>
      <c r="J636" s="5" t="s">
        <v>6274</v>
      </c>
      <c r="L636" s="12" t="str">
        <f t="shared" si="1"/>
        <v>Xing_KSSparks,3,3</v>
      </c>
    </row>
    <row r="637" ht="15.75" customHeight="1">
      <c r="A637" s="8" t="s">
        <v>6266</v>
      </c>
      <c r="B637" s="18"/>
      <c r="C637" s="8" t="s">
        <v>6871</v>
      </c>
      <c r="D637" s="3">
        <v>1.0</v>
      </c>
      <c r="E637" s="8">
        <v>3.0</v>
      </c>
      <c r="F637" s="8" t="s">
        <v>6872</v>
      </c>
      <c r="G637" s="8" t="s">
        <v>1979</v>
      </c>
      <c r="H637" s="16" t="s">
        <v>3116</v>
      </c>
      <c r="I637" s="8" t="str">
        <f>IFERROR(__xludf.DUMMYFUNCTION("IF(OR(TRIM(G637)="""",TRIM(H637)=""""),"""",TEXTJOIN("", "",TRUE,ARRAYFORMULA(TRANSPOSE(TRIM(SPLIT(G637,"","")))&amp;""_""&amp;TRIM(SPLIT(H637,"","")))))"),"Elf_Male, Elf_Female, Human_Male, Human_Female, Orc_Male, Orc_Female")</f>
        <v>Elf_Male, Elf_Female, Human_Male, Human_Female, Orc_Male, Orc_Female</v>
      </c>
      <c r="J637" s="5" t="s">
        <v>6274</v>
      </c>
      <c r="L637" s="12" t="str">
        <f t="shared" si="1"/>
        <v>Xing_KSSpectrum,1,3</v>
      </c>
    </row>
    <row r="638" ht="15.75" customHeight="1">
      <c r="A638" s="8" t="s">
        <v>6266</v>
      </c>
      <c r="B638" s="18"/>
      <c r="C638" s="8" t="s">
        <v>6879</v>
      </c>
      <c r="D638" s="8">
        <v>3.0</v>
      </c>
      <c r="E638" s="8">
        <v>4.0</v>
      </c>
      <c r="F638" s="8" t="s">
        <v>6881</v>
      </c>
      <c r="G638" s="8" t="s">
        <v>1979</v>
      </c>
      <c r="H638" s="16" t="s">
        <v>3116</v>
      </c>
      <c r="I638" s="8" t="str">
        <f>IFERROR(__xludf.DUMMYFUNCTION("IF(OR(TRIM(G638)="""",TRIM(H638)=""""),"""",TEXTJOIN("", "",TRUE,ARRAYFORMULA(TRANSPOSE(TRIM(SPLIT(G638,"","")))&amp;""_""&amp;TRIM(SPLIT(H638,"","")))))"),"Elf_Male, Elf_Female, Human_Male, Human_Female, Orc_Male, Orc_Female")</f>
        <v>Elf_Male, Elf_Female, Human_Male, Human_Female, Orc_Male, Orc_Female</v>
      </c>
      <c r="J638" s="5" t="s">
        <v>6274</v>
      </c>
      <c r="L638" s="12" t="str">
        <f t="shared" si="1"/>
        <v>Xing_KSSteammist,3,4</v>
      </c>
    </row>
    <row r="639" ht="15.75" customHeight="1">
      <c r="A639" s="8" t="s">
        <v>6266</v>
      </c>
      <c r="B639" s="18"/>
      <c r="C639" s="8" t="s">
        <v>6888</v>
      </c>
      <c r="D639" s="8">
        <v>2.0</v>
      </c>
      <c r="E639" s="8">
        <v>2.0</v>
      </c>
      <c r="F639" s="8" t="s">
        <v>6890</v>
      </c>
      <c r="G639" s="8" t="s">
        <v>1979</v>
      </c>
      <c r="H639" s="16" t="s">
        <v>3116</v>
      </c>
      <c r="I639" s="8" t="str">
        <f>IFERROR(__xludf.DUMMYFUNCTION("IF(OR(TRIM(G639)="""",TRIM(H639)=""""),"""",TEXTJOIN("", "",TRUE,ARRAYFORMULA(TRANSPOSE(TRIM(SPLIT(G639,"","")))&amp;""_""&amp;TRIM(SPLIT(H639,"","")))))"),"Elf_Male, Elf_Female, Human_Male, Human_Female, Orc_Male, Orc_Female")</f>
        <v>Elf_Male, Elf_Female, Human_Male, Human_Female, Orc_Male, Orc_Female</v>
      </c>
      <c r="J639" s="5" t="s">
        <v>6274</v>
      </c>
      <c r="L639" s="12" t="str">
        <f t="shared" si="1"/>
        <v>Xing_KSSunshine,2,2</v>
      </c>
    </row>
    <row r="640" ht="15.75" customHeight="1">
      <c r="A640" s="8" t="s">
        <v>6266</v>
      </c>
      <c r="B640" s="18"/>
      <c r="C640" s="8" t="s">
        <v>6897</v>
      </c>
      <c r="D640" s="8">
        <v>2.0</v>
      </c>
      <c r="E640" s="8">
        <v>3.0</v>
      </c>
      <c r="F640" s="8" t="s">
        <v>6900</v>
      </c>
      <c r="G640" s="8" t="s">
        <v>1979</v>
      </c>
      <c r="H640" s="16" t="s">
        <v>3116</v>
      </c>
      <c r="I640" s="8" t="str">
        <f>IFERROR(__xludf.DUMMYFUNCTION("IF(OR(TRIM(G640)="""",TRIM(H640)=""""),"""",TEXTJOIN("", "",TRUE,ARRAYFORMULA(TRANSPOSE(TRIM(SPLIT(G640,"","")))&amp;""_""&amp;TRIM(SPLIT(H640,"","")))))"),"Elf_Male, Elf_Female, Human_Male, Human_Female, Orc_Male, Orc_Female")</f>
        <v>Elf_Male, Elf_Female, Human_Male, Human_Female, Orc_Male, Orc_Female</v>
      </c>
      <c r="J640" s="5" t="s">
        <v>6274</v>
      </c>
      <c r="L640" s="12" t="str">
        <f t="shared" si="1"/>
        <v>Xing_KSTemptress,2,3</v>
      </c>
    </row>
    <row r="641" ht="15.75" customHeight="1">
      <c r="A641" s="8" t="s">
        <v>6266</v>
      </c>
      <c r="B641" s="18"/>
      <c r="C641" s="8" t="s">
        <v>6907</v>
      </c>
      <c r="D641" s="8">
        <v>3.0</v>
      </c>
      <c r="E641" s="8">
        <v>3.0</v>
      </c>
      <c r="F641" s="8" t="s">
        <v>6908</v>
      </c>
      <c r="G641" s="8" t="s">
        <v>1979</v>
      </c>
      <c r="H641" s="16" t="s">
        <v>3116</v>
      </c>
      <c r="I641" s="8" t="str">
        <f>IFERROR(__xludf.DUMMYFUNCTION("IF(OR(TRIM(G641)="""",TRIM(H641)=""""),"""",TEXTJOIN("", "",TRUE,ARRAYFORMULA(TRANSPOSE(TRIM(SPLIT(G641,"","")))&amp;""_""&amp;TRIM(SPLIT(H641,"","")))))"),"Elf_Male, Elf_Female, Human_Male, Human_Female, Orc_Male, Orc_Female")</f>
        <v>Elf_Male, Elf_Female, Human_Male, Human_Female, Orc_Male, Orc_Female</v>
      </c>
      <c r="J641" s="5" t="s">
        <v>6274</v>
      </c>
      <c r="L641" s="12" t="str">
        <f t="shared" si="1"/>
        <v>Xing_KSTitanium,3,3</v>
      </c>
    </row>
    <row r="642" ht="15.75" customHeight="1">
      <c r="A642" s="8" t="s">
        <v>6266</v>
      </c>
      <c r="B642" s="18"/>
      <c r="C642" s="8" t="s">
        <v>6914</v>
      </c>
      <c r="D642" s="8">
        <v>1.0</v>
      </c>
      <c r="E642" s="8">
        <v>2.0</v>
      </c>
      <c r="F642" s="8" t="s">
        <v>6916</v>
      </c>
      <c r="G642" s="8" t="s">
        <v>1979</v>
      </c>
      <c r="H642" s="16" t="s">
        <v>3116</v>
      </c>
      <c r="I642" s="8" t="str">
        <f>IFERROR(__xludf.DUMMYFUNCTION("IF(OR(TRIM(G642)="""",TRIM(H642)=""""),"""",TEXTJOIN("", "",TRUE,ARRAYFORMULA(TRANSPOSE(TRIM(SPLIT(G642,"","")))&amp;""_""&amp;TRIM(SPLIT(H642,"","")))))"),"Elf_Male, Elf_Female, Human_Male, Human_Female, Orc_Male, Orc_Female")</f>
        <v>Elf_Male, Elf_Female, Human_Male, Human_Female, Orc_Male, Orc_Female</v>
      </c>
      <c r="J642" s="5" t="s">
        <v>6274</v>
      </c>
      <c r="L642" s="12" t="str">
        <f t="shared" si="1"/>
        <v>Xing_KSTsugumi1,1,2</v>
      </c>
    </row>
    <row r="643" ht="15.75" customHeight="1">
      <c r="A643" s="8" t="s">
        <v>6266</v>
      </c>
      <c r="B643" s="18"/>
      <c r="C643" s="8" t="s">
        <v>6922</v>
      </c>
      <c r="D643" s="8">
        <v>1.0</v>
      </c>
      <c r="E643" s="8">
        <v>3.0</v>
      </c>
      <c r="F643" s="8" t="s">
        <v>6923</v>
      </c>
      <c r="G643" s="8" t="s">
        <v>1979</v>
      </c>
      <c r="H643" s="16" t="s">
        <v>3116</v>
      </c>
      <c r="I643" s="8" t="str">
        <f>IFERROR(__xludf.DUMMYFUNCTION("IF(OR(TRIM(G643)="""",TRIM(H643)=""""),"""",TEXTJOIN("", "",TRUE,ARRAYFORMULA(TRANSPOSE(TRIM(SPLIT(G643,"","")))&amp;""_""&amp;TRIM(SPLIT(H643,"","")))))"),"Elf_Male, Elf_Female, Human_Male, Human_Female, Orc_Male, Orc_Female")</f>
        <v>Elf_Male, Elf_Female, Human_Male, Human_Female, Orc_Male, Orc_Female</v>
      </c>
      <c r="J643" s="5" t="s">
        <v>6274</v>
      </c>
      <c r="L643" s="12" t="str">
        <f t="shared" si="1"/>
        <v>Xing_KSTsugumi2,1,3</v>
      </c>
    </row>
    <row r="644" ht="15.75" customHeight="1">
      <c r="A644" s="8" t="s">
        <v>6266</v>
      </c>
      <c r="B644" s="18"/>
      <c r="C644" s="8" t="s">
        <v>6928</v>
      </c>
      <c r="D644" s="8">
        <v>1.0</v>
      </c>
      <c r="E644" s="8">
        <v>4.0</v>
      </c>
      <c r="F644" s="8" t="s">
        <v>6931</v>
      </c>
      <c r="G644" s="8" t="s">
        <v>1979</v>
      </c>
      <c r="H644" s="16" t="s">
        <v>3116</v>
      </c>
      <c r="I644" s="8" t="str">
        <f>IFERROR(__xludf.DUMMYFUNCTION("IF(OR(TRIM(G644)="""",TRIM(H644)=""""),"""",TEXTJOIN("", "",TRUE,ARRAYFORMULA(TRANSPOSE(TRIM(SPLIT(G644,"","")))&amp;""_""&amp;TRIM(SPLIT(H644,"","")))))"),"Elf_Male, Elf_Female, Human_Male, Human_Female, Orc_Male, Orc_Female")</f>
        <v>Elf_Male, Elf_Female, Human_Male, Human_Female, Orc_Male, Orc_Female</v>
      </c>
      <c r="J644" s="5" t="s">
        <v>6274</v>
      </c>
      <c r="L644" s="12" t="str">
        <f t="shared" si="1"/>
        <v>Xing_KSTsugumi3,1,4</v>
      </c>
    </row>
    <row r="645" ht="15.75" customHeight="1">
      <c r="A645" s="8" t="s">
        <v>6266</v>
      </c>
      <c r="B645" s="18"/>
      <c r="C645" s="8" t="s">
        <v>6937</v>
      </c>
      <c r="D645" s="8">
        <v>3.0</v>
      </c>
      <c r="E645" s="8">
        <v>3.0</v>
      </c>
      <c r="F645" s="8" t="s">
        <v>6939</v>
      </c>
      <c r="G645" s="8" t="s">
        <v>1979</v>
      </c>
      <c r="H645" s="16" t="s">
        <v>3116</v>
      </c>
      <c r="I645" s="8" t="str">
        <f>IFERROR(__xludf.DUMMYFUNCTION("IF(OR(TRIM(G645)="""",TRIM(H645)=""""),"""",TEXTJOIN("", "",TRUE,ARRAYFORMULA(TRANSPOSE(TRIM(SPLIT(G645,"","")))&amp;""_""&amp;TRIM(SPLIT(H645,"","")))))"),"Elf_Male, Elf_Female, Human_Male, Human_Female, Orc_Male, Orc_Female")</f>
        <v>Elf_Male, Elf_Female, Human_Male, Human_Female, Orc_Male, Orc_Female</v>
      </c>
      <c r="J645" s="5" t="s">
        <v>6274</v>
      </c>
      <c r="L645" s="12" t="str">
        <f t="shared" si="1"/>
        <v>Xing_KSVeneris,3,3</v>
      </c>
    </row>
    <row r="646" ht="15.75" customHeight="1">
      <c r="A646" s="8" t="s">
        <v>6266</v>
      </c>
      <c r="B646" s="18"/>
      <c r="C646" s="8" t="s">
        <v>6945</v>
      </c>
      <c r="D646" s="3">
        <v>2.0</v>
      </c>
      <c r="E646" s="8">
        <v>3.0</v>
      </c>
      <c r="F646" s="8" t="s">
        <v>6946</v>
      </c>
      <c r="G646" s="8" t="s">
        <v>1979</v>
      </c>
      <c r="H646" s="16" t="s">
        <v>3116</v>
      </c>
      <c r="I646" s="8" t="str">
        <f>IFERROR(__xludf.DUMMYFUNCTION("IF(OR(TRIM(G646)="""",TRIM(H646)=""""),"""",TEXTJOIN("", "",TRUE,ARRAYFORMULA(TRANSPOSE(TRIM(SPLIT(G646,"","")))&amp;""_""&amp;TRIM(SPLIT(H646,"","")))))"),"Elf_Male, Elf_Female, Human_Male, Human_Female, Orc_Male, Orc_Female")</f>
        <v>Elf_Male, Elf_Female, Human_Male, Human_Female, Orc_Male, Orc_Female</v>
      </c>
      <c r="J646" s="5" t="s">
        <v>6274</v>
      </c>
      <c r="L646" s="12" t="str">
        <f t="shared" si="1"/>
        <v>Xing_KSVenus,2,3</v>
      </c>
    </row>
    <row r="647" ht="15.75" customHeight="1">
      <c r="A647" s="8" t="s">
        <v>6266</v>
      </c>
      <c r="B647" s="18"/>
      <c r="C647" s="8" t="s">
        <v>6953</v>
      </c>
      <c r="D647" s="8">
        <v>1.0</v>
      </c>
      <c r="E647" s="8">
        <v>1.0</v>
      </c>
      <c r="F647" s="8" t="s">
        <v>6954</v>
      </c>
      <c r="G647" s="8" t="s">
        <v>1979</v>
      </c>
      <c r="H647" s="16" t="s">
        <v>3116</v>
      </c>
      <c r="I647" s="8" t="str">
        <f>IFERROR(__xludf.DUMMYFUNCTION("IF(OR(TRIM(G647)="""",TRIM(H647)=""""),"""",TEXTJOIN("", "",TRUE,ARRAYFORMULA(TRANSPOSE(TRIM(SPLIT(G647,"","")))&amp;""_""&amp;TRIM(SPLIT(H647,"","")))))"),"Elf_Male, Elf_Female, Human_Male, Human_Female, Orc_Male, Orc_Female")</f>
        <v>Elf_Male, Elf_Female, Human_Male, Human_Female, Orc_Male, Orc_Female</v>
      </c>
      <c r="J647" s="5" t="s">
        <v>6274</v>
      </c>
      <c r="L647" s="12" t="str">
        <f t="shared" si="1"/>
        <v>Xing_SGGinko02,1,1</v>
      </c>
    </row>
    <row r="648" ht="15.75" customHeight="1">
      <c r="A648" s="8" t="s">
        <v>6266</v>
      </c>
      <c r="B648" s="18"/>
      <c r="C648" s="8" t="s">
        <v>6962</v>
      </c>
      <c r="D648" s="3">
        <v>1.0</v>
      </c>
      <c r="E648" s="8">
        <v>2.0</v>
      </c>
      <c r="F648" s="8" t="s">
        <v>6963</v>
      </c>
      <c r="G648" s="8" t="s">
        <v>1979</v>
      </c>
      <c r="H648" s="16" t="s">
        <v>3116</v>
      </c>
      <c r="I648" s="8" t="str">
        <f>IFERROR(__xludf.DUMMYFUNCTION("IF(OR(TRIM(G648)="""",TRIM(H648)=""""),"""",TEXTJOIN("", "",TRUE,ARRAYFORMULA(TRANSPOSE(TRIM(SPLIT(G648,"","")))&amp;""_""&amp;TRIM(SPLIT(H648,"","")))))"),"Elf_Male, Elf_Female, Human_Male, Human_Female, Orc_Male, Orc_Female")</f>
        <v>Elf_Male, Elf_Female, Human_Male, Human_Female, Orc_Male, Orc_Female</v>
      </c>
      <c r="J648" s="5" t="s">
        <v>6274</v>
      </c>
      <c r="L648" s="12" t="str">
        <f t="shared" si="1"/>
        <v>Xing_SGhair25,1,2</v>
      </c>
    </row>
    <row r="649" ht="15.75" customHeight="1">
      <c r="A649" s="8" t="s">
        <v>6266</v>
      </c>
      <c r="B649" s="18"/>
      <c r="C649" s="8" t="s">
        <v>6972</v>
      </c>
      <c r="D649" s="8">
        <v>1.0</v>
      </c>
      <c r="E649" s="8">
        <v>1.0</v>
      </c>
      <c r="F649" s="8" t="s">
        <v>6973</v>
      </c>
      <c r="G649" s="8" t="s">
        <v>1979</v>
      </c>
      <c r="H649" s="16" t="s">
        <v>3116</v>
      </c>
      <c r="I649" s="8" t="str">
        <f>IFERROR(__xludf.DUMMYFUNCTION("IF(OR(TRIM(G649)="""",TRIM(H649)=""""),"""",TEXTJOIN("", "",TRUE,ARRAYFORMULA(TRANSPOSE(TRIM(SPLIT(G649,"","")))&amp;""_""&amp;TRIM(SPLIT(H649,"","")))))"),"Elf_Male, Elf_Female, Human_Male, Human_Female, Orc_Male, Orc_Female")</f>
        <v>Elf_Male, Elf_Female, Human_Male, Human_Female, Orc_Male, Orc_Female</v>
      </c>
      <c r="J649" s="5" t="s">
        <v>6274</v>
      </c>
      <c r="L649" s="12" t="str">
        <f t="shared" si="1"/>
        <v>Xing_SGHaircoolsims89,1,1</v>
      </c>
    </row>
    <row r="650" ht="15.75" customHeight="1">
      <c r="A650" s="8" t="s">
        <v>6266</v>
      </c>
      <c r="B650" s="18"/>
      <c r="C650" s="8" t="s">
        <v>6974</v>
      </c>
      <c r="D650" s="8">
        <v>2.0</v>
      </c>
      <c r="E650" s="8">
        <v>3.0</v>
      </c>
      <c r="F650" s="8" t="s">
        <v>6975</v>
      </c>
      <c r="G650" s="8" t="s">
        <v>1979</v>
      </c>
      <c r="H650" s="16" t="s">
        <v>3116</v>
      </c>
      <c r="I650" s="8" t="str">
        <f>IFERROR(__xludf.DUMMYFUNCTION("IF(OR(TRIM(G650)="""",TRIM(H650)=""""),"""",TEXTJOIN("", "",TRUE,ARRAYFORMULA(TRANSPOSE(TRIM(SPLIT(G650,"","")))&amp;""_""&amp;TRIM(SPLIT(H650,"","")))))"),"Elf_Male, Elf_Female, Human_Male, Human_Female, Orc_Male, Orc_Female")</f>
        <v>Elf_Male, Elf_Female, Human_Male, Human_Female, Orc_Male, Orc_Female</v>
      </c>
      <c r="J650" s="5" t="s">
        <v>6274</v>
      </c>
      <c r="L650" s="12" t="str">
        <f t="shared" si="1"/>
        <v>Xing_SGhairpg4385,2,3</v>
      </c>
    </row>
    <row r="651" ht="15.75" customHeight="1">
      <c r="A651" s="8" t="s">
        <v>6266</v>
      </c>
      <c r="B651" s="18"/>
      <c r="C651" s="8" t="s">
        <v>6979</v>
      </c>
      <c r="D651" s="3">
        <v>2.0</v>
      </c>
      <c r="E651" s="3">
        <v>2.0</v>
      </c>
      <c r="F651" s="8" t="s">
        <v>6980</v>
      </c>
      <c r="G651" s="8" t="s">
        <v>1979</v>
      </c>
      <c r="H651" s="16" t="s">
        <v>3116</v>
      </c>
      <c r="I651" s="8" t="str">
        <f>IFERROR(__xludf.DUMMYFUNCTION("IF(OR(TRIM(G651)="""",TRIM(H651)=""""),"""",TEXTJOIN("", "",TRUE,ARRAYFORMULA(TRANSPOSE(TRIM(SPLIT(G651,"","")))&amp;""_""&amp;TRIM(SPLIT(H651,"","")))))"),"Elf_Male, Elf_Female, Human_Male, Human_Female, Orc_Male, Orc_Female")</f>
        <v>Elf_Male, Elf_Female, Human_Male, Human_Female, Orc_Male, Orc_Female</v>
      </c>
      <c r="J651" s="5" t="s">
        <v>6274</v>
      </c>
      <c r="L651" s="12" t="str">
        <f t="shared" si="1"/>
        <v>Xing_SGLovelution,2,2</v>
      </c>
    </row>
    <row r="652" ht="15.75" customHeight="1">
      <c r="A652" s="8" t="s">
        <v>6266</v>
      </c>
      <c r="B652" s="18"/>
      <c r="C652" s="8" t="s">
        <v>6988</v>
      </c>
      <c r="D652" s="3">
        <v>1.0</v>
      </c>
      <c r="E652" s="8">
        <v>2.0</v>
      </c>
      <c r="F652" s="8" t="s">
        <v>6990</v>
      </c>
      <c r="G652" s="8" t="s">
        <v>1979</v>
      </c>
      <c r="H652" s="16" t="s">
        <v>3116</v>
      </c>
      <c r="I652" s="8" t="str">
        <f>IFERROR(__xludf.DUMMYFUNCTION("IF(OR(TRIM(G652)="""",TRIM(H652)=""""),"""",TEXTJOIN("", "",TRUE,ARRAYFORMULA(TRANSPOSE(TRIM(SPLIT(G652,"","")))&amp;""_""&amp;TRIM(SPLIT(H652,"","")))))"),"Elf_Male, Elf_Female, Human_Male, Human_Female, Orc_Male, Orc_Female")</f>
        <v>Elf_Male, Elf_Female, Human_Male, Human_Female, Orc_Male, Orc_Female</v>
      </c>
      <c r="J652" s="5" t="s">
        <v>6274</v>
      </c>
      <c r="L652" s="12" t="str">
        <f t="shared" si="1"/>
        <v>Xing_SGMisa,1,2</v>
      </c>
    </row>
    <row r="653" ht="15.75" customHeight="1">
      <c r="A653" s="8" t="s">
        <v>6266</v>
      </c>
      <c r="B653" s="18"/>
      <c r="C653" s="8" t="s">
        <v>6998</v>
      </c>
      <c r="D653" s="3">
        <v>1.0</v>
      </c>
      <c r="E653" s="8">
        <v>2.0</v>
      </c>
      <c r="F653" s="8" t="s">
        <v>7001</v>
      </c>
      <c r="G653" s="8" t="s">
        <v>1979</v>
      </c>
      <c r="H653" s="16" t="s">
        <v>3116</v>
      </c>
      <c r="I653" s="8" t="str">
        <f>IFERROR(__xludf.DUMMYFUNCTION("IF(OR(TRIM(G653)="""",TRIM(H653)=""""),"""",TEXTJOIN("", "",TRUE,ARRAYFORMULA(TRANSPOSE(TRIM(SPLIT(G653,"","")))&amp;""_""&amp;TRIM(SPLIT(H653,"","")))))"),"Elf_Male, Elf_Female, Human_Male, Human_Female, Orc_Male, Orc_Female")</f>
        <v>Elf_Male, Elf_Female, Human_Male, Human_Female, Orc_Male, Orc_Female</v>
      </c>
      <c r="J653" s="5" t="s">
        <v>6274</v>
      </c>
      <c r="L653" s="12" t="str">
        <f t="shared" si="1"/>
        <v>Xing_SGMisa2,1,2</v>
      </c>
    </row>
    <row r="654" ht="16.5" customHeight="1">
      <c r="A654" s="8" t="s">
        <v>6266</v>
      </c>
      <c r="B654" s="18"/>
      <c r="C654" s="8" t="s">
        <v>7010</v>
      </c>
      <c r="D654" s="8">
        <v>1.0</v>
      </c>
      <c r="E654" s="8">
        <v>2.0</v>
      </c>
      <c r="F654" s="8" t="s">
        <v>7011</v>
      </c>
      <c r="G654" s="8" t="s">
        <v>1979</v>
      </c>
      <c r="H654" s="16" t="s">
        <v>3116</v>
      </c>
      <c r="I654" s="8" t="str">
        <f>IFERROR(__xludf.DUMMYFUNCTION("IF(OR(TRIM(G654)="""",TRIM(H654)=""""),"""",TEXTJOIN("", "",TRUE,ARRAYFORMULA(TRANSPOSE(TRIM(SPLIT(G654,"","")))&amp;""_""&amp;TRIM(SPLIT(H654,"","")))))"),"Elf_Male, Elf_Female, Human_Male, Human_Female, Orc_Male, Orc_Female")</f>
        <v>Elf_Male, Elf_Female, Human_Male, Human_Female, Orc_Male, Orc_Female</v>
      </c>
      <c r="J654" s="5" t="s">
        <v>6274</v>
      </c>
      <c r="L654" s="12" t="str">
        <f t="shared" si="1"/>
        <v>Xing_SGSidebraids,1,2</v>
      </c>
    </row>
    <row r="655" ht="15.75" customHeight="1">
      <c r="A655" s="8" t="s">
        <v>6266</v>
      </c>
      <c r="B655" s="18"/>
      <c r="C655" s="8" t="s">
        <v>7017</v>
      </c>
      <c r="D655" s="8">
        <v>2.0</v>
      </c>
      <c r="E655" s="8">
        <v>2.0</v>
      </c>
      <c r="F655" s="8" t="s">
        <v>7019</v>
      </c>
      <c r="G655" s="8" t="s">
        <v>1979</v>
      </c>
      <c r="H655" s="16" t="s">
        <v>3116</v>
      </c>
      <c r="I655" s="8" t="str">
        <f>IFERROR(__xludf.DUMMYFUNCTION("IF(OR(TRIM(G655)="""",TRIM(H655)=""""),"""",TEXTJOIN("", "",TRUE,ARRAYFORMULA(TRANSPOSE(TRIM(SPLIT(G655,"","")))&amp;""_""&amp;TRIM(SPLIT(H655,"","")))))"),"Elf_Male, Elf_Female, Human_Male, Human_Female, Orc_Male, Orc_Female")</f>
        <v>Elf_Male, Elf_Female, Human_Male, Human_Female, Orc_Male, Orc_Female</v>
      </c>
      <c r="J655" s="5" t="s">
        <v>6274</v>
      </c>
      <c r="L655" s="12" t="str">
        <f t="shared" si="1"/>
        <v>Xing_SGWildsoul,2,2</v>
      </c>
    </row>
    <row r="656" ht="15.75" customHeight="1">
      <c r="B656" s="18"/>
      <c r="I656" s="8" t="str">
        <f t="array" ref="I656">IFERROR(TEXTJOIN(", ", TRUE, MAKEARRAY(COLUMNS(TEXTSPLIT(G656, ",",, TRUE)), COLUMNS(TEXTSPLIT(H656, ",",, TRUE)), LAMBDA(_xlpm.ri,_xlpm.gi, TRIM(INDEX(TEXTSPLIT(G656, ",",, TRUE), 1, _xlpm.ri)) &amp; "_" &amp; TRIM(INDEX(TEXTSPLIT(H656, ",",, TRUE), 1, _xlpm.gi))))), "")</f>
        <v/>
      </c>
    </row>
    <row r="657" ht="15.75" customHeight="1">
      <c r="B657" s="18"/>
      <c r="I657" s="8" t="str">
        <f t="array" ref="I657">IFERROR(TEXTJOIN(", ", TRUE, MAKEARRAY(COLUMNS(TEXTSPLIT(G657, ",",, TRUE)), COLUMNS(TEXTSPLIT(H657, ",",, TRUE)), LAMBDA(_xlpm.ri,_xlpm.gi, TRIM(INDEX(TEXTSPLIT(G657, ",",, TRUE), 1, _xlpm.ri)) &amp; "_" &amp; TRIM(INDEX(TEXTSPLIT(H657, ",",, TRUE), 1, _xlpm.gi))))), "")</f>
        <v/>
      </c>
    </row>
    <row r="658" ht="15.75" customHeight="1">
      <c r="B658" s="18"/>
      <c r="I658" s="8" t="str">
        <f t="array" ref="I658">IFERROR(TEXTJOIN(", ", TRUE, MAKEARRAY(COLUMNS(TEXTSPLIT(G658, ",",, TRUE)), COLUMNS(TEXTSPLIT(H658, ",",, TRUE)), LAMBDA(_xlpm.ri,_xlpm.gi, TRIM(INDEX(TEXTSPLIT(G658, ",",, TRUE), 1, _xlpm.ri)) &amp; "_" &amp; TRIM(INDEX(TEXTSPLIT(H658, ",",, TRUE), 1, _xlpm.gi))))), "")</f>
        <v/>
      </c>
    </row>
    <row r="659" ht="15.75" customHeight="1">
      <c r="B659" s="18"/>
      <c r="I659" s="8" t="str">
        <f t="array" ref="I659">IFERROR(TEXTJOIN(", ", TRUE, MAKEARRAY(COLUMNS(TEXTSPLIT(G659, ",",, TRUE)), COLUMNS(TEXTSPLIT(H659, ",",, TRUE)), LAMBDA(_xlpm.ri,_xlpm.gi, TRIM(INDEX(TEXTSPLIT(G659, ",",, TRUE), 1, _xlpm.ri)) &amp; "_" &amp; TRIM(INDEX(TEXTSPLIT(H659, ",",, TRUE), 1, _xlpm.gi))))), "")</f>
        <v/>
      </c>
    </row>
    <row r="660" ht="15.75" customHeight="1">
      <c r="B660" s="18"/>
      <c r="I660" s="8" t="str">
        <f t="array" ref="I660">IFERROR(TEXTJOIN(", ", TRUE, MAKEARRAY(COLUMNS(TEXTSPLIT(G660, ",",, TRUE)), COLUMNS(TEXTSPLIT(H660, ",",, TRUE)), LAMBDA(_xlpm.ri,_xlpm.gi, TRIM(INDEX(TEXTSPLIT(G660, ",",, TRUE), 1, _xlpm.ri)) &amp; "_" &amp; TRIM(INDEX(TEXTSPLIT(H660, ",",, TRUE), 1, _xlpm.gi))))), "")</f>
        <v/>
      </c>
    </row>
    <row r="661" ht="15.75" customHeight="1">
      <c r="B661" s="18"/>
      <c r="I661" s="8" t="str">
        <f t="array" ref="I661">IFERROR(TEXTJOIN(", ", TRUE, MAKEARRAY(COLUMNS(TEXTSPLIT(G661, ",",, TRUE)), COLUMNS(TEXTSPLIT(H661, ",",, TRUE)), LAMBDA(_xlpm.ri,_xlpm.gi, TRIM(INDEX(TEXTSPLIT(G661, ",",, TRUE), 1, _xlpm.ri)) &amp; "_" &amp; TRIM(INDEX(TEXTSPLIT(H661, ",",, TRUE), 1, _xlpm.gi))))), "")</f>
        <v/>
      </c>
    </row>
    <row r="662" ht="15.75" customHeight="1">
      <c r="B662" s="18"/>
      <c r="I662" s="8" t="str">
        <f t="array" ref="I662">IFERROR(TEXTJOIN(", ", TRUE, MAKEARRAY(COLUMNS(TEXTSPLIT(G662, ",",, TRUE)), COLUMNS(TEXTSPLIT(H662, ",",, TRUE)), LAMBDA(_xlpm.ri,_xlpm.gi, TRIM(INDEX(TEXTSPLIT(G662, ",",, TRUE), 1, _xlpm.ri)) &amp; "_" &amp; TRIM(INDEX(TEXTSPLIT(H662, ",",, TRUE), 1, _xlpm.gi))))), "")</f>
        <v/>
      </c>
    </row>
    <row r="663" ht="15.75" customHeight="1">
      <c r="B663" s="18"/>
      <c r="I663" s="8" t="str">
        <f t="array" ref="I663">IFERROR(TEXTJOIN(", ", TRUE, MAKEARRAY(COLUMNS(TEXTSPLIT(G663, ",",, TRUE)), COLUMNS(TEXTSPLIT(H663, ",",, TRUE)), LAMBDA(_xlpm.ri,_xlpm.gi, TRIM(INDEX(TEXTSPLIT(G663, ",",, TRUE), 1, _xlpm.ri)) &amp; "_" &amp; TRIM(INDEX(TEXTSPLIT(H663, ",",, TRUE), 1, _xlpm.gi))))), "")</f>
        <v/>
      </c>
    </row>
    <row r="664" ht="15.75" customHeight="1">
      <c r="B664" s="18"/>
      <c r="I664" s="8" t="str">
        <f t="array" ref="I664">IFERROR(TEXTJOIN(", ", TRUE, MAKEARRAY(COLUMNS(TEXTSPLIT(G664, ",",, TRUE)), COLUMNS(TEXTSPLIT(H664, ",",, TRUE)), LAMBDA(_xlpm.ri,_xlpm.gi, TRIM(INDEX(TEXTSPLIT(G664, ",",, TRUE), 1, _xlpm.ri)) &amp; "_" &amp; TRIM(INDEX(TEXTSPLIT(H664, ",",, TRUE), 1, _xlpm.gi))))), "")</f>
        <v/>
      </c>
    </row>
    <row r="665" ht="15.75" customHeight="1">
      <c r="B665" s="18"/>
      <c r="I665" s="8" t="str">
        <f t="array" ref="I665">IFERROR(TEXTJOIN(", ", TRUE, MAKEARRAY(COLUMNS(TEXTSPLIT(G665, ",",, TRUE)), COLUMNS(TEXTSPLIT(H665, ",",, TRUE)), LAMBDA(_xlpm.ri,_xlpm.gi, TRIM(INDEX(TEXTSPLIT(G665, ",",, TRUE), 1, _xlpm.ri)) &amp; "_" &amp; TRIM(INDEX(TEXTSPLIT(H665, ",",, TRUE), 1, _xlpm.gi))))), "")</f>
        <v/>
      </c>
    </row>
    <row r="666" ht="15.75" customHeight="1">
      <c r="B666" s="18"/>
      <c r="I666" s="8" t="str">
        <f t="array" ref="I666">IFERROR(TEXTJOIN(", ", TRUE, MAKEARRAY(COLUMNS(TEXTSPLIT(G666, ",",, TRUE)), COLUMNS(TEXTSPLIT(H666, ",",, TRUE)), LAMBDA(_xlpm.ri,_xlpm.gi, TRIM(INDEX(TEXTSPLIT(G666, ",",, TRUE), 1, _xlpm.ri)) &amp; "_" &amp; TRIM(INDEX(TEXTSPLIT(H666, ",",, TRUE), 1, _xlpm.gi))))), "")</f>
        <v/>
      </c>
    </row>
    <row r="667" ht="15.75" customHeight="1">
      <c r="B667" s="18"/>
      <c r="I667" s="8" t="str">
        <f t="array" ref="I667">IFERROR(TEXTJOIN(", ", TRUE, MAKEARRAY(COLUMNS(TEXTSPLIT(G667, ",",, TRUE)), COLUMNS(TEXTSPLIT(H667, ",",, TRUE)), LAMBDA(_xlpm.ri,_xlpm.gi, TRIM(INDEX(TEXTSPLIT(G667, ",",, TRUE), 1, _xlpm.ri)) &amp; "_" &amp; TRIM(INDEX(TEXTSPLIT(H667, ",",, TRUE), 1, _xlpm.gi))))), "")</f>
        <v/>
      </c>
    </row>
    <row r="668" ht="15.75" customHeight="1">
      <c r="B668" s="18"/>
      <c r="I668" s="8" t="str">
        <f t="array" ref="I668">IFERROR(TEXTJOIN(", ", TRUE, MAKEARRAY(COLUMNS(TEXTSPLIT(G668, ",",, TRUE)), COLUMNS(TEXTSPLIT(H668, ",",, TRUE)), LAMBDA(_xlpm.ri,_xlpm.gi, TRIM(INDEX(TEXTSPLIT(G668, ",",, TRUE), 1, _xlpm.ri)) &amp; "_" &amp; TRIM(INDEX(TEXTSPLIT(H668, ",",, TRUE), 1, _xlpm.gi))))), "")</f>
        <v/>
      </c>
    </row>
    <row r="669" ht="15.75" customHeight="1">
      <c r="B669" s="18"/>
      <c r="I669" s="8" t="str">
        <f t="array" ref="I669">IFERROR(TEXTJOIN(", ", TRUE, MAKEARRAY(COLUMNS(TEXTSPLIT(G669, ",",, TRUE)), COLUMNS(TEXTSPLIT(H669, ",",, TRUE)), LAMBDA(_xlpm.ri,_xlpm.gi, TRIM(INDEX(TEXTSPLIT(G669, ",",, TRUE), 1, _xlpm.ri)) &amp; "_" &amp; TRIM(INDEX(TEXTSPLIT(H669, ",",, TRUE), 1, _xlpm.gi))))), "")</f>
        <v/>
      </c>
    </row>
    <row r="670" ht="15.75" customHeight="1">
      <c r="B670" s="18"/>
      <c r="I670" s="8" t="str">
        <f t="array" ref="I670">IFERROR(TEXTJOIN(", ", TRUE, MAKEARRAY(COLUMNS(TEXTSPLIT(G670, ",",, TRUE)), COLUMNS(TEXTSPLIT(H670, ",",, TRUE)), LAMBDA(_xlpm.ri,_xlpm.gi, TRIM(INDEX(TEXTSPLIT(G670, ",",, TRUE), 1, _xlpm.ri)) &amp; "_" &amp; TRIM(INDEX(TEXTSPLIT(H670, ",",, TRUE), 1, _xlpm.gi))))), "")</f>
        <v/>
      </c>
    </row>
    <row r="671" ht="15.75" customHeight="1">
      <c r="B671" s="18"/>
      <c r="I671" s="8" t="str">
        <f t="array" ref="I671">IFERROR(TEXTJOIN(", ", TRUE, MAKEARRAY(COLUMNS(TEXTSPLIT(G671, ",",, TRUE)), COLUMNS(TEXTSPLIT(H671, ",",, TRUE)), LAMBDA(_xlpm.ri,_xlpm.gi, TRIM(INDEX(TEXTSPLIT(G671, ",",, TRUE), 1, _xlpm.ri)) &amp; "_" &amp; TRIM(INDEX(TEXTSPLIT(H671, ",",, TRUE), 1, _xlpm.gi))))), "")</f>
        <v/>
      </c>
    </row>
    <row r="672" ht="15.75" customHeight="1">
      <c r="B672" s="18"/>
      <c r="I672" s="8" t="str">
        <f t="array" ref="I672">IFERROR(TEXTJOIN(", ", TRUE, MAKEARRAY(COLUMNS(TEXTSPLIT(G672, ",",, TRUE)), COLUMNS(TEXTSPLIT(H672, ",",, TRUE)), LAMBDA(_xlpm.ri,_xlpm.gi, TRIM(INDEX(TEXTSPLIT(G672, ",",, TRUE), 1, _xlpm.ri)) &amp; "_" &amp; TRIM(INDEX(TEXTSPLIT(H672, ",",, TRUE), 1, _xlpm.gi))))), "")</f>
        <v/>
      </c>
    </row>
    <row r="673" ht="15.75" customHeight="1">
      <c r="B673" s="18"/>
      <c r="I673" s="8" t="str">
        <f t="array" ref="I673">IFERROR(TEXTJOIN(", ", TRUE, MAKEARRAY(COLUMNS(TEXTSPLIT(G673, ",",, TRUE)), COLUMNS(TEXTSPLIT(H673, ",",, TRUE)), LAMBDA(_xlpm.ri,_xlpm.gi, TRIM(INDEX(TEXTSPLIT(G673, ",",, TRUE), 1, _xlpm.ri)) &amp; "_" &amp; TRIM(INDEX(TEXTSPLIT(H673, ",",, TRUE), 1, _xlpm.gi))))), "")</f>
        <v/>
      </c>
    </row>
    <row r="674" ht="15.75" customHeight="1">
      <c r="B674" s="18"/>
      <c r="I674" s="8" t="str">
        <f t="array" ref="I674">IFERROR(TEXTJOIN(", ", TRUE, MAKEARRAY(COLUMNS(TEXTSPLIT(G674, ",",, TRUE)), COLUMNS(TEXTSPLIT(H674, ",",, TRUE)), LAMBDA(_xlpm.ri,_xlpm.gi, TRIM(INDEX(TEXTSPLIT(G674, ",",, TRUE), 1, _xlpm.ri)) &amp; "_" &amp; TRIM(INDEX(TEXTSPLIT(H674, ",",, TRUE), 1, _xlpm.gi))))), "")</f>
        <v/>
      </c>
    </row>
    <row r="675" ht="15.75" customHeight="1">
      <c r="B675" s="18"/>
      <c r="I675" s="8" t="str">
        <f t="array" ref="I675">IFERROR(TEXTJOIN(", ", TRUE, MAKEARRAY(COLUMNS(TEXTSPLIT(G675, ",",, TRUE)), COLUMNS(TEXTSPLIT(H675, ",",, TRUE)), LAMBDA(_xlpm.ri,_xlpm.gi, TRIM(INDEX(TEXTSPLIT(G675, ",",, TRUE), 1, _xlpm.ri)) &amp; "_" &amp; TRIM(INDEX(TEXTSPLIT(H675, ",",, TRUE), 1, _xlpm.gi))))), "")</f>
        <v/>
      </c>
    </row>
    <row r="676" ht="15.75" customHeight="1">
      <c r="B676" s="18"/>
      <c r="I676" s="8" t="str">
        <f t="array" ref="I676">IFERROR(TEXTJOIN(", ", TRUE, MAKEARRAY(COLUMNS(TEXTSPLIT(G676, ",",, TRUE)), COLUMNS(TEXTSPLIT(H676, ",",, TRUE)), LAMBDA(_xlpm.ri,_xlpm.gi, TRIM(INDEX(TEXTSPLIT(G676, ",",, TRUE), 1, _xlpm.ri)) &amp; "_" &amp; TRIM(INDEX(TEXTSPLIT(H676, ",",, TRUE), 1, _xlpm.gi))))), "")</f>
        <v/>
      </c>
    </row>
    <row r="677" ht="15.75" customHeight="1">
      <c r="B677" s="18"/>
      <c r="I677" s="8" t="str">
        <f t="array" ref="I677">IFERROR(TEXTJOIN(", ", TRUE, MAKEARRAY(COLUMNS(TEXTSPLIT(G677, ",",, TRUE)), COLUMNS(TEXTSPLIT(H677, ",",, TRUE)), LAMBDA(_xlpm.ri,_xlpm.gi, TRIM(INDEX(TEXTSPLIT(G677, ",",, TRUE), 1, _xlpm.ri)) &amp; "_" &amp; TRIM(INDEX(TEXTSPLIT(H677, ",",, TRUE), 1, _xlpm.gi))))), "")</f>
        <v/>
      </c>
    </row>
    <row r="678" ht="15.75" customHeight="1">
      <c r="B678" s="18"/>
      <c r="I678" s="8" t="str">
        <f t="array" ref="I678">IFERROR(TEXTJOIN(", ", TRUE, MAKEARRAY(COLUMNS(TEXTSPLIT(G678, ",",, TRUE)), COLUMNS(TEXTSPLIT(H678, ",",, TRUE)), LAMBDA(_xlpm.ri,_xlpm.gi, TRIM(INDEX(TEXTSPLIT(G678, ",",, TRUE), 1, _xlpm.ri)) &amp; "_" &amp; TRIM(INDEX(TEXTSPLIT(H678, ",",, TRUE), 1, _xlpm.gi))))), "")</f>
        <v/>
      </c>
    </row>
    <row r="679" ht="15.75" customHeight="1">
      <c r="B679" s="18"/>
      <c r="I679" s="8" t="str">
        <f t="array" ref="I679">IFERROR(TEXTJOIN(", ", TRUE, MAKEARRAY(COLUMNS(TEXTSPLIT(G679, ",",, TRUE)), COLUMNS(TEXTSPLIT(H679, ",",, TRUE)), LAMBDA(_xlpm.ri,_xlpm.gi, TRIM(INDEX(TEXTSPLIT(G679, ",",, TRUE), 1, _xlpm.ri)) &amp; "_" &amp; TRIM(INDEX(TEXTSPLIT(H679, ",",, TRUE), 1, _xlpm.gi))))), "")</f>
        <v/>
      </c>
    </row>
    <row r="680" ht="15.75" customHeight="1">
      <c r="B680" s="18"/>
      <c r="I680" s="8" t="str">
        <f t="array" ref="I680">IFERROR(TEXTJOIN(", ", TRUE, MAKEARRAY(COLUMNS(TEXTSPLIT(G680, ",",, TRUE)), COLUMNS(TEXTSPLIT(H680, ",",, TRUE)), LAMBDA(_xlpm.ri,_xlpm.gi, TRIM(INDEX(TEXTSPLIT(G680, ",",, TRUE), 1, _xlpm.ri)) &amp; "_" &amp; TRIM(INDEX(TEXTSPLIT(H680, ",",, TRUE), 1, _xlpm.gi))))), "")</f>
        <v/>
      </c>
    </row>
    <row r="681" ht="15.75" customHeight="1">
      <c r="B681" s="18"/>
      <c r="I681" s="8" t="str">
        <f t="array" ref="I681">IFERROR(TEXTJOIN(", ", TRUE, MAKEARRAY(COLUMNS(TEXTSPLIT(G681, ",",, TRUE)), COLUMNS(TEXTSPLIT(H681, ",",, TRUE)), LAMBDA(_xlpm.ri,_xlpm.gi, TRIM(INDEX(TEXTSPLIT(G681, ",",, TRUE), 1, _xlpm.ri)) &amp; "_" &amp; TRIM(INDEX(TEXTSPLIT(H681, ",",, TRUE), 1, _xlpm.gi))))), "")</f>
        <v/>
      </c>
    </row>
    <row r="682" ht="15.75" customHeight="1">
      <c r="B682" s="18"/>
      <c r="I682" s="8" t="str">
        <f t="array" ref="I682">IFERROR(TEXTJOIN(", ", TRUE, MAKEARRAY(COLUMNS(TEXTSPLIT(G682, ",",, TRUE)), COLUMNS(TEXTSPLIT(H682, ",",, TRUE)), LAMBDA(_xlpm.ri,_xlpm.gi, TRIM(INDEX(TEXTSPLIT(G682, ",",, TRUE), 1, _xlpm.ri)) &amp; "_" &amp; TRIM(INDEX(TEXTSPLIT(H682, ",",, TRUE), 1, _xlpm.gi))))), "")</f>
        <v/>
      </c>
    </row>
    <row r="683" ht="15.75" customHeight="1">
      <c r="B683" s="18"/>
      <c r="I683" s="8" t="str">
        <f t="array" ref="I683">IFERROR(TEXTJOIN(", ", TRUE, MAKEARRAY(COLUMNS(TEXTSPLIT(G683, ",",, TRUE)), COLUMNS(TEXTSPLIT(H683, ",",, TRUE)), LAMBDA(_xlpm.ri,_xlpm.gi, TRIM(INDEX(TEXTSPLIT(G683, ",",, TRUE), 1, _xlpm.ri)) &amp; "_" &amp; TRIM(INDEX(TEXTSPLIT(H683, ",",, TRUE), 1, _xlpm.gi))))), "")</f>
        <v/>
      </c>
    </row>
    <row r="684" ht="15.75" customHeight="1">
      <c r="B684" s="18"/>
      <c r="I684" s="8" t="str">
        <f t="array" ref="I684">IFERROR(TEXTJOIN(", ", TRUE, MAKEARRAY(COLUMNS(TEXTSPLIT(G684, ",",, TRUE)), COLUMNS(TEXTSPLIT(H684, ",",, TRUE)), LAMBDA(_xlpm.ri,_xlpm.gi, TRIM(INDEX(TEXTSPLIT(G684, ",",, TRUE), 1, _xlpm.ri)) &amp; "_" &amp; TRIM(INDEX(TEXTSPLIT(H684, ",",, TRUE), 1, _xlpm.gi))))), "")</f>
        <v/>
      </c>
    </row>
    <row r="685" ht="15.75" customHeight="1">
      <c r="B685" s="18"/>
      <c r="I685" s="8" t="str">
        <f t="array" ref="I685">IFERROR(TEXTJOIN(", ", TRUE, MAKEARRAY(COLUMNS(TEXTSPLIT(G685, ",",, TRUE)), COLUMNS(TEXTSPLIT(H685, ",",, TRUE)), LAMBDA(_xlpm.ri,_xlpm.gi, TRIM(INDEX(TEXTSPLIT(G685, ",",, TRUE), 1, _xlpm.ri)) &amp; "_" &amp; TRIM(INDEX(TEXTSPLIT(H685, ",",, TRUE), 1, _xlpm.gi))))), "")</f>
        <v/>
      </c>
    </row>
    <row r="686" ht="15.75" customHeight="1">
      <c r="B686" s="18"/>
      <c r="I686" s="8" t="str">
        <f t="array" ref="I686">IFERROR(TEXTJOIN(", ", TRUE, MAKEARRAY(COLUMNS(TEXTSPLIT(G686, ",",, TRUE)), COLUMNS(TEXTSPLIT(H686, ",",, TRUE)), LAMBDA(_xlpm.ri,_xlpm.gi, TRIM(INDEX(TEXTSPLIT(G686, ",",, TRUE), 1, _xlpm.ri)) &amp; "_" &amp; TRIM(INDEX(TEXTSPLIT(H686, ",",, TRUE), 1, _xlpm.gi))))), "")</f>
        <v/>
      </c>
    </row>
    <row r="687" ht="15.75" customHeight="1">
      <c r="B687" s="18"/>
      <c r="I687" s="8" t="str">
        <f t="array" ref="I687">IFERROR(TEXTJOIN(", ", TRUE, MAKEARRAY(COLUMNS(TEXTSPLIT(G687, ",",, TRUE)), COLUMNS(TEXTSPLIT(H687, ",",, TRUE)), LAMBDA(_xlpm.ri,_xlpm.gi, TRIM(INDEX(TEXTSPLIT(G687, ",",, TRUE), 1, _xlpm.ri)) &amp; "_" &amp; TRIM(INDEX(TEXTSPLIT(H687, ",",, TRUE), 1, _xlpm.gi))))), "")</f>
        <v/>
      </c>
    </row>
    <row r="688" ht="15.75" customHeight="1">
      <c r="B688" s="18"/>
      <c r="I688" s="8" t="str">
        <f t="array" ref="I688">IFERROR(TEXTJOIN(", ", TRUE, MAKEARRAY(COLUMNS(TEXTSPLIT(G688, ",",, TRUE)), COLUMNS(TEXTSPLIT(H688, ",",, TRUE)), LAMBDA(_xlpm.ri,_xlpm.gi, TRIM(INDEX(TEXTSPLIT(G688, ",",, TRUE), 1, _xlpm.ri)) &amp; "_" &amp; TRIM(INDEX(TEXTSPLIT(H688, ",",, TRUE), 1, _xlpm.gi))))), "")</f>
        <v/>
      </c>
    </row>
    <row r="689" ht="15.75" customHeight="1">
      <c r="B689" s="18"/>
      <c r="I689" s="8" t="str">
        <f t="array" ref="I689">IFERROR(TEXTJOIN(", ", TRUE, MAKEARRAY(COLUMNS(TEXTSPLIT(G689, ",",, TRUE)), COLUMNS(TEXTSPLIT(H689, ",",, TRUE)), LAMBDA(_xlpm.ri,_xlpm.gi, TRIM(INDEX(TEXTSPLIT(G689, ",",, TRUE), 1, _xlpm.ri)) &amp; "_" &amp; TRIM(INDEX(TEXTSPLIT(H689, ",",, TRUE), 1, _xlpm.gi))))), "")</f>
        <v/>
      </c>
    </row>
    <row r="690" ht="15.75" customHeight="1">
      <c r="B690" s="18"/>
      <c r="I690" s="8" t="str">
        <f t="array" ref="I690">IFERROR(TEXTJOIN(", ", TRUE, MAKEARRAY(COLUMNS(TEXTSPLIT(G690, ",",, TRUE)), COLUMNS(TEXTSPLIT(H690, ",",, TRUE)), LAMBDA(_xlpm.ri,_xlpm.gi, TRIM(INDEX(TEXTSPLIT(G690, ",",, TRUE), 1, _xlpm.ri)) &amp; "_" &amp; TRIM(INDEX(TEXTSPLIT(H690, ",",, TRUE), 1, _xlpm.gi))))), "")</f>
        <v/>
      </c>
    </row>
    <row r="691" ht="15.75" customHeight="1">
      <c r="B691" s="18"/>
      <c r="I691" s="8" t="str">
        <f t="array" ref="I691">IFERROR(TEXTJOIN(", ", TRUE, MAKEARRAY(COLUMNS(TEXTSPLIT(G691, ",",, TRUE)), COLUMNS(TEXTSPLIT(H691, ",",, TRUE)), LAMBDA(_xlpm.ri,_xlpm.gi, TRIM(INDEX(TEXTSPLIT(G691, ",",, TRUE), 1, _xlpm.ri)) &amp; "_" &amp; TRIM(INDEX(TEXTSPLIT(H691, ",",, TRUE), 1, _xlpm.gi))))), "")</f>
        <v/>
      </c>
    </row>
    <row r="692" ht="15.75" customHeight="1">
      <c r="B692" s="18"/>
      <c r="I692" s="8" t="str">
        <f t="array" ref="I692">IFERROR(TEXTJOIN(", ", TRUE, MAKEARRAY(COLUMNS(TEXTSPLIT(G692, ",",, TRUE)), COLUMNS(TEXTSPLIT(H692, ",",, TRUE)), LAMBDA(_xlpm.ri,_xlpm.gi, TRIM(INDEX(TEXTSPLIT(G692, ",",, TRUE), 1, _xlpm.ri)) &amp; "_" &amp; TRIM(INDEX(TEXTSPLIT(H692, ",",, TRUE), 1, _xlpm.gi))))), "")</f>
        <v/>
      </c>
    </row>
    <row r="693" ht="15.75" customHeight="1">
      <c r="B693" s="18"/>
      <c r="I693" s="8" t="str">
        <f t="array" ref="I693">IFERROR(TEXTJOIN(", ", TRUE, MAKEARRAY(COLUMNS(TEXTSPLIT(G693, ",",, TRUE)), COLUMNS(TEXTSPLIT(H693, ",",, TRUE)), LAMBDA(_xlpm.ri,_xlpm.gi, TRIM(INDEX(TEXTSPLIT(G693, ",",, TRUE), 1, _xlpm.ri)) &amp; "_" &amp; TRIM(INDEX(TEXTSPLIT(H693, ",",, TRUE), 1, _xlpm.gi))))), "")</f>
        <v/>
      </c>
    </row>
    <row r="694" ht="15.75" customHeight="1">
      <c r="B694" s="18"/>
      <c r="I694" s="8" t="str">
        <f t="array" ref="I694">IFERROR(TEXTJOIN(", ", TRUE, MAKEARRAY(COLUMNS(TEXTSPLIT(G694, ",",, TRUE)), COLUMNS(TEXTSPLIT(H694, ",",, TRUE)), LAMBDA(_xlpm.ri,_xlpm.gi, TRIM(INDEX(TEXTSPLIT(G694, ",",, TRUE), 1, _xlpm.ri)) &amp; "_" &amp; TRIM(INDEX(TEXTSPLIT(H694, ",",, TRUE), 1, _xlpm.gi))))), "")</f>
        <v/>
      </c>
    </row>
    <row r="695" ht="15.75" customHeight="1">
      <c r="B695" s="18"/>
      <c r="I695" s="8" t="str">
        <f t="array" ref="I695">IFERROR(TEXTJOIN(", ", TRUE, MAKEARRAY(COLUMNS(TEXTSPLIT(G695, ",",, TRUE)), COLUMNS(TEXTSPLIT(H695, ",",, TRUE)), LAMBDA(_xlpm.ri,_xlpm.gi, TRIM(INDEX(TEXTSPLIT(G695, ",",, TRUE), 1, _xlpm.ri)) &amp; "_" &amp; TRIM(INDEX(TEXTSPLIT(H695, ",",, TRUE), 1, _xlpm.gi))))), "")</f>
        <v/>
      </c>
    </row>
    <row r="696" ht="15.75" customHeight="1">
      <c r="B696" s="18"/>
      <c r="I696" s="8" t="str">
        <f t="array" ref="I696">IFERROR(TEXTJOIN(", ", TRUE, MAKEARRAY(COLUMNS(TEXTSPLIT(G696, ",",, TRUE)), COLUMNS(TEXTSPLIT(H696, ",",, TRUE)), LAMBDA(_xlpm.ri,_xlpm.gi, TRIM(INDEX(TEXTSPLIT(G696, ",",, TRUE), 1, _xlpm.ri)) &amp; "_" &amp; TRIM(INDEX(TEXTSPLIT(H696, ",",, TRUE), 1, _xlpm.gi))))), "")</f>
        <v/>
      </c>
    </row>
    <row r="697" ht="15.75" customHeight="1">
      <c r="B697" s="18"/>
      <c r="I697" s="8" t="str">
        <f t="array" ref="I697">IFERROR(TEXTJOIN(", ", TRUE, MAKEARRAY(COLUMNS(TEXTSPLIT(G697, ",",, TRUE)), COLUMNS(TEXTSPLIT(H697, ",",, TRUE)), LAMBDA(_xlpm.ri,_xlpm.gi, TRIM(INDEX(TEXTSPLIT(G697, ",",, TRUE), 1, _xlpm.ri)) &amp; "_" &amp; TRIM(INDEX(TEXTSPLIT(H697, ",",, TRUE), 1, _xlpm.gi))))), "")</f>
        <v/>
      </c>
    </row>
    <row r="698" ht="15.75" customHeight="1">
      <c r="B698" s="18"/>
      <c r="I698" s="8" t="str">
        <f t="array" ref="I698">IFERROR(TEXTJOIN(", ", TRUE, MAKEARRAY(COLUMNS(TEXTSPLIT(G698, ",",, TRUE)), COLUMNS(TEXTSPLIT(H698, ",",, TRUE)), LAMBDA(_xlpm.ri,_xlpm.gi, TRIM(INDEX(TEXTSPLIT(G698, ",",, TRUE), 1, _xlpm.ri)) &amp; "_" &amp; TRIM(INDEX(TEXTSPLIT(H698, ",",, TRUE), 1, _xlpm.gi))))), "")</f>
        <v/>
      </c>
    </row>
    <row r="699" ht="15.75" customHeight="1">
      <c r="B699" s="18"/>
      <c r="I699" s="8" t="str">
        <f t="array" ref="I699">IFERROR(TEXTJOIN(", ", TRUE, MAKEARRAY(COLUMNS(TEXTSPLIT(G699, ",",, TRUE)), COLUMNS(TEXTSPLIT(H699, ",",, TRUE)), LAMBDA(_xlpm.ri,_xlpm.gi, TRIM(INDEX(TEXTSPLIT(G699, ",",, TRUE), 1, _xlpm.ri)) &amp; "_" &amp; TRIM(INDEX(TEXTSPLIT(H699, ",",, TRUE), 1, _xlpm.gi))))), "")</f>
        <v/>
      </c>
    </row>
    <row r="700" ht="15.75" customHeight="1">
      <c r="B700" s="18"/>
      <c r="I700" s="8" t="str">
        <f t="array" ref="I700">IFERROR(TEXTJOIN(", ", TRUE, MAKEARRAY(COLUMNS(TEXTSPLIT(G700, ",",, TRUE)), COLUMNS(TEXTSPLIT(H700, ",",, TRUE)), LAMBDA(_xlpm.ri,_xlpm.gi, TRIM(INDEX(TEXTSPLIT(G700, ",",, TRUE), 1, _xlpm.ri)) &amp; "_" &amp; TRIM(INDEX(TEXTSPLIT(H700, ",",, TRUE), 1, _xlpm.gi))))), "")</f>
        <v/>
      </c>
    </row>
    <row r="701" ht="15.75" customHeight="1">
      <c r="B701" s="18"/>
      <c r="I701" s="8" t="str">
        <f t="array" ref="I701">IFERROR(TEXTJOIN(", ", TRUE, MAKEARRAY(COLUMNS(TEXTSPLIT(G701, ",",, TRUE)), COLUMNS(TEXTSPLIT(H701, ",",, TRUE)), LAMBDA(_xlpm.ri,_xlpm.gi, TRIM(INDEX(TEXTSPLIT(G701, ",",, TRUE), 1, _xlpm.ri)) &amp; "_" &amp; TRIM(INDEX(TEXTSPLIT(H701, ",",, TRUE), 1, _xlpm.gi))))), "")</f>
        <v/>
      </c>
    </row>
    <row r="702" ht="15.75" customHeight="1">
      <c r="B702" s="18"/>
      <c r="I702" s="8" t="str">
        <f t="array" ref="I702">IFERROR(TEXTJOIN(", ", TRUE, MAKEARRAY(COLUMNS(TEXTSPLIT(G702, ",",, TRUE)), COLUMNS(TEXTSPLIT(H702, ",",, TRUE)), LAMBDA(_xlpm.ri,_xlpm.gi, TRIM(INDEX(TEXTSPLIT(G702, ",",, TRUE), 1, _xlpm.ri)) &amp; "_" &amp; TRIM(INDEX(TEXTSPLIT(H702, ",",, TRUE), 1, _xlpm.gi))))), "")</f>
        <v/>
      </c>
    </row>
    <row r="703" ht="15.75" customHeight="1">
      <c r="B703" s="18"/>
      <c r="I703" s="8" t="str">
        <f t="array" ref="I703">IFERROR(TEXTJOIN(", ", TRUE, MAKEARRAY(COLUMNS(TEXTSPLIT(G703, ",",, TRUE)), COLUMNS(TEXTSPLIT(H703, ",",, TRUE)), LAMBDA(_xlpm.ri,_xlpm.gi, TRIM(INDEX(TEXTSPLIT(G703, ",",, TRUE), 1, _xlpm.ri)) &amp; "_" &amp; TRIM(INDEX(TEXTSPLIT(H703, ",",, TRUE), 1, _xlpm.gi))))), "")</f>
        <v/>
      </c>
    </row>
    <row r="704" ht="15.75" customHeight="1">
      <c r="B704" s="18"/>
      <c r="I704" s="8" t="str">
        <f t="array" ref="I704">IFERROR(TEXTJOIN(", ", TRUE, MAKEARRAY(COLUMNS(TEXTSPLIT(G704, ",",, TRUE)), COLUMNS(TEXTSPLIT(H704, ",",, TRUE)), LAMBDA(_xlpm.ri,_xlpm.gi, TRIM(INDEX(TEXTSPLIT(G704, ",",, TRUE), 1, _xlpm.ri)) &amp; "_" &amp; TRIM(INDEX(TEXTSPLIT(H704, ",",, TRUE), 1, _xlpm.gi))))), "")</f>
        <v/>
      </c>
    </row>
    <row r="705" ht="15.75" customHeight="1">
      <c r="B705" s="18"/>
      <c r="I705" s="8" t="str">
        <f t="array" ref="I705">IFERROR(TEXTJOIN(", ", TRUE, MAKEARRAY(COLUMNS(TEXTSPLIT(G705, ",",, TRUE)), COLUMNS(TEXTSPLIT(H705, ",",, TRUE)), LAMBDA(_xlpm.ri,_xlpm.gi, TRIM(INDEX(TEXTSPLIT(G705, ",",, TRUE), 1, _xlpm.ri)) &amp; "_" &amp; TRIM(INDEX(TEXTSPLIT(H705, ",",, TRUE), 1, _xlpm.gi))))), "")</f>
        <v/>
      </c>
    </row>
    <row r="706" ht="15.75" customHeight="1">
      <c r="B706" s="18"/>
      <c r="I706" s="8" t="str">
        <f t="array" ref="I706">IFERROR(TEXTJOIN(", ", TRUE, MAKEARRAY(COLUMNS(TEXTSPLIT(G706, ",",, TRUE)), COLUMNS(TEXTSPLIT(H706, ",",, TRUE)), LAMBDA(_xlpm.ri,_xlpm.gi, TRIM(INDEX(TEXTSPLIT(G706, ",",, TRUE), 1, _xlpm.ri)) &amp; "_" &amp; TRIM(INDEX(TEXTSPLIT(H706, ",",, TRUE), 1, _xlpm.gi))))), "")</f>
        <v/>
      </c>
    </row>
    <row r="707" ht="15.75" customHeight="1">
      <c r="B707" s="18"/>
      <c r="I707" s="8" t="str">
        <f t="array" ref="I707">IFERROR(TEXTJOIN(", ", TRUE, MAKEARRAY(COLUMNS(TEXTSPLIT(G707, ",",, TRUE)), COLUMNS(TEXTSPLIT(H707, ",",, TRUE)), LAMBDA(_xlpm.ri,_xlpm.gi, TRIM(INDEX(TEXTSPLIT(G707, ",",, TRUE), 1, _xlpm.ri)) &amp; "_" &amp; TRIM(INDEX(TEXTSPLIT(H707, ",",, TRUE), 1, _xlpm.gi))))), "")</f>
        <v/>
      </c>
    </row>
    <row r="708" ht="15.75" customHeight="1">
      <c r="B708" s="18"/>
      <c r="I708" s="8" t="str">
        <f t="array" ref="I708">IFERROR(TEXTJOIN(", ", TRUE, MAKEARRAY(COLUMNS(TEXTSPLIT(G708, ",",, TRUE)), COLUMNS(TEXTSPLIT(H708, ",",, TRUE)), LAMBDA(_xlpm.ri,_xlpm.gi, TRIM(INDEX(TEXTSPLIT(G708, ",",, TRUE), 1, _xlpm.ri)) &amp; "_" &amp; TRIM(INDEX(TEXTSPLIT(H708, ",",, TRUE), 1, _xlpm.gi))))), "")</f>
        <v/>
      </c>
    </row>
    <row r="709" ht="15.75" customHeight="1">
      <c r="B709" s="18"/>
      <c r="I709" s="8" t="str">
        <f t="array" ref="I709">IFERROR(TEXTJOIN(", ", TRUE, MAKEARRAY(COLUMNS(TEXTSPLIT(G709, ",",, TRUE)), COLUMNS(TEXTSPLIT(H709, ",",, TRUE)), LAMBDA(_xlpm.ri,_xlpm.gi, TRIM(INDEX(TEXTSPLIT(G709, ",",, TRUE), 1, _xlpm.ri)) &amp; "_" &amp; TRIM(INDEX(TEXTSPLIT(H709, ",",, TRUE), 1, _xlpm.gi))))), "")</f>
        <v/>
      </c>
    </row>
    <row r="710" ht="15.75" customHeight="1">
      <c r="B710" s="18"/>
      <c r="I710" s="8" t="str">
        <f t="array" ref="I710">IFERROR(TEXTJOIN(", ", TRUE, MAKEARRAY(COLUMNS(TEXTSPLIT(G710, ",",, TRUE)), COLUMNS(TEXTSPLIT(H710, ",",, TRUE)), LAMBDA(_xlpm.ri,_xlpm.gi, TRIM(INDEX(TEXTSPLIT(G710, ",",, TRUE), 1, _xlpm.ri)) &amp; "_" &amp; TRIM(INDEX(TEXTSPLIT(H710, ",",, TRUE), 1, _xlpm.gi))))), "")</f>
        <v/>
      </c>
    </row>
    <row r="711" ht="15.75" customHeight="1">
      <c r="B711" s="18"/>
      <c r="I711" s="8" t="str">
        <f t="array" ref="I711">IFERROR(TEXTJOIN(", ", TRUE, MAKEARRAY(COLUMNS(TEXTSPLIT(G711, ",",, TRUE)), COLUMNS(TEXTSPLIT(H711, ",",, TRUE)), LAMBDA(_xlpm.ri,_xlpm.gi, TRIM(INDEX(TEXTSPLIT(G711, ",",, TRUE), 1, _xlpm.ri)) &amp; "_" &amp; TRIM(INDEX(TEXTSPLIT(H711, ",",, TRUE), 1, _xlpm.gi))))), "")</f>
        <v/>
      </c>
    </row>
    <row r="712" ht="15.75" customHeight="1">
      <c r="B712" s="18"/>
      <c r="I712" s="8" t="str">
        <f t="array" ref="I712">IFERROR(TEXTJOIN(", ", TRUE, MAKEARRAY(COLUMNS(TEXTSPLIT(G712, ",",, TRUE)), COLUMNS(TEXTSPLIT(H712, ",",, TRUE)), LAMBDA(_xlpm.ri,_xlpm.gi, TRIM(INDEX(TEXTSPLIT(G712, ",",, TRUE), 1, _xlpm.ri)) &amp; "_" &amp; TRIM(INDEX(TEXTSPLIT(H712, ",",, TRUE), 1, _xlpm.gi))))), "")</f>
        <v/>
      </c>
    </row>
    <row r="713" ht="15.75" customHeight="1">
      <c r="B713" s="18"/>
      <c r="I713" s="8" t="str">
        <f t="array" ref="I713">IFERROR(TEXTJOIN(", ", TRUE, MAKEARRAY(COLUMNS(TEXTSPLIT(G713, ",",, TRUE)), COLUMNS(TEXTSPLIT(H713, ",",, TRUE)), LAMBDA(_xlpm.ri,_xlpm.gi, TRIM(INDEX(TEXTSPLIT(G713, ",",, TRUE), 1, _xlpm.ri)) &amp; "_" &amp; TRIM(INDEX(TEXTSPLIT(H713, ",",, TRUE), 1, _xlpm.gi))))), "")</f>
        <v/>
      </c>
    </row>
    <row r="714" ht="15.75" customHeight="1">
      <c r="B714" s="18"/>
      <c r="I714" s="8" t="str">
        <f t="array" ref="I714">IFERROR(TEXTJOIN(", ", TRUE, MAKEARRAY(COLUMNS(TEXTSPLIT(G714, ",",, TRUE)), COLUMNS(TEXTSPLIT(H714, ",",, TRUE)), LAMBDA(_xlpm.ri,_xlpm.gi, TRIM(INDEX(TEXTSPLIT(G714, ",",, TRUE), 1, _xlpm.ri)) &amp; "_" &amp; TRIM(INDEX(TEXTSPLIT(H714, ",",, TRUE), 1, _xlpm.gi))))), "")</f>
        <v/>
      </c>
    </row>
    <row r="715" ht="15.75" customHeight="1">
      <c r="B715" s="18"/>
      <c r="I715" s="8" t="str">
        <f t="array" ref="I715">IFERROR(TEXTJOIN(", ", TRUE, MAKEARRAY(COLUMNS(TEXTSPLIT(G715, ",",, TRUE)), COLUMNS(TEXTSPLIT(H715, ",",, TRUE)), LAMBDA(_xlpm.ri,_xlpm.gi, TRIM(INDEX(TEXTSPLIT(G715, ",",, TRUE), 1, _xlpm.ri)) &amp; "_" &amp; TRIM(INDEX(TEXTSPLIT(H715, ",",, TRUE), 1, _xlpm.gi))))), "")</f>
        <v/>
      </c>
    </row>
    <row r="716" ht="15.75" customHeight="1">
      <c r="B716" s="18"/>
      <c r="I716" s="8" t="str">
        <f t="array" ref="I716">IFERROR(TEXTJOIN(", ", TRUE, MAKEARRAY(COLUMNS(TEXTSPLIT(G716, ",",, TRUE)), COLUMNS(TEXTSPLIT(H716, ",",, TRUE)), LAMBDA(_xlpm.ri,_xlpm.gi, TRIM(INDEX(TEXTSPLIT(G716, ",",, TRUE), 1, _xlpm.ri)) &amp; "_" &amp; TRIM(INDEX(TEXTSPLIT(H716, ",",, TRUE), 1, _xlpm.gi))))), "")</f>
        <v/>
      </c>
    </row>
    <row r="717" ht="15.75" customHeight="1">
      <c r="B717" s="18"/>
      <c r="I717" s="8" t="str">
        <f t="array" ref="I717">IFERROR(TEXTJOIN(", ", TRUE, MAKEARRAY(COLUMNS(TEXTSPLIT(G717, ",",, TRUE)), COLUMNS(TEXTSPLIT(H717, ",",, TRUE)), LAMBDA(_xlpm.ri,_xlpm.gi, TRIM(INDEX(TEXTSPLIT(G717, ",",, TRUE), 1, _xlpm.ri)) &amp; "_" &amp; TRIM(INDEX(TEXTSPLIT(H717, ",",, TRUE), 1, _xlpm.gi))))), "")</f>
        <v/>
      </c>
    </row>
    <row r="718" ht="15.75" customHeight="1">
      <c r="B718" s="18"/>
      <c r="I718" s="8" t="str">
        <f t="array" ref="I718">IFERROR(TEXTJOIN(", ", TRUE, MAKEARRAY(COLUMNS(TEXTSPLIT(G718, ",",, TRUE)), COLUMNS(TEXTSPLIT(H718, ",",, TRUE)), LAMBDA(_xlpm.ri,_xlpm.gi, TRIM(INDEX(TEXTSPLIT(G718, ",",, TRUE), 1, _xlpm.ri)) &amp; "_" &amp; TRIM(INDEX(TEXTSPLIT(H718, ",",, TRUE), 1, _xlpm.gi))))), "")</f>
        <v/>
      </c>
    </row>
    <row r="719" ht="15.75" customHeight="1">
      <c r="B719" s="18"/>
      <c r="I719" s="8" t="str">
        <f t="array" ref="I719">IFERROR(TEXTJOIN(", ", TRUE, MAKEARRAY(COLUMNS(TEXTSPLIT(G719, ",",, TRUE)), COLUMNS(TEXTSPLIT(H719, ",",, TRUE)), LAMBDA(_xlpm.ri,_xlpm.gi, TRIM(INDEX(TEXTSPLIT(G719, ",",, TRUE), 1, _xlpm.ri)) &amp; "_" &amp; TRIM(INDEX(TEXTSPLIT(H719, ",",, TRUE), 1, _xlpm.gi))))), "")</f>
        <v/>
      </c>
    </row>
    <row r="720" ht="15.75" customHeight="1">
      <c r="B720" s="18"/>
      <c r="I720" s="8" t="str">
        <f t="array" ref="I720">IFERROR(TEXTJOIN(", ", TRUE, MAKEARRAY(COLUMNS(TEXTSPLIT(G720, ",",, TRUE)), COLUMNS(TEXTSPLIT(H720, ",",, TRUE)), LAMBDA(_xlpm.ri,_xlpm.gi, TRIM(INDEX(TEXTSPLIT(G720, ",",, TRUE), 1, _xlpm.ri)) &amp; "_" &amp; TRIM(INDEX(TEXTSPLIT(H720, ",",, TRUE), 1, _xlpm.gi))))), "")</f>
        <v/>
      </c>
    </row>
    <row r="721" ht="15.75" customHeight="1">
      <c r="B721" s="18"/>
      <c r="I721" s="8" t="str">
        <f t="array" ref="I721">IFERROR(TEXTJOIN(", ", TRUE, MAKEARRAY(COLUMNS(TEXTSPLIT(G721, ",",, TRUE)), COLUMNS(TEXTSPLIT(H721, ",",, TRUE)), LAMBDA(_xlpm.ri,_xlpm.gi, TRIM(INDEX(TEXTSPLIT(G721, ",",, TRUE), 1, _xlpm.ri)) &amp; "_" &amp; TRIM(INDEX(TEXTSPLIT(H721, ",",, TRUE), 1, _xlpm.gi))))), "")</f>
        <v/>
      </c>
    </row>
    <row r="722" ht="15.75" customHeight="1">
      <c r="B722" s="18"/>
      <c r="I722" s="8" t="str">
        <f t="array" ref="I722">IFERROR(TEXTJOIN(", ", TRUE, MAKEARRAY(COLUMNS(TEXTSPLIT(G722, ",",, TRUE)), COLUMNS(TEXTSPLIT(H722, ",",, TRUE)), LAMBDA(_xlpm.ri,_xlpm.gi, TRIM(INDEX(TEXTSPLIT(G722, ",",, TRUE), 1, _xlpm.ri)) &amp; "_" &amp; TRIM(INDEX(TEXTSPLIT(H722, ",",, TRUE), 1, _xlpm.gi))))), "")</f>
        <v/>
      </c>
    </row>
    <row r="723" ht="15.75" customHeight="1">
      <c r="B723" s="18"/>
      <c r="I723" s="8" t="str">
        <f t="array" ref="I723">IFERROR(TEXTJOIN(", ", TRUE, MAKEARRAY(COLUMNS(TEXTSPLIT(G723, ",",, TRUE)), COLUMNS(TEXTSPLIT(H723, ",",, TRUE)), LAMBDA(_xlpm.ri,_xlpm.gi, TRIM(INDEX(TEXTSPLIT(G723, ",",, TRUE), 1, _xlpm.ri)) &amp; "_" &amp; TRIM(INDEX(TEXTSPLIT(H723, ",",, TRUE), 1, _xlpm.gi))))), "")</f>
        <v/>
      </c>
    </row>
    <row r="724" ht="15.75" customHeight="1">
      <c r="B724" s="18"/>
      <c r="I724" s="8" t="str">
        <f t="array" ref="I724">IFERROR(TEXTJOIN(", ", TRUE, MAKEARRAY(COLUMNS(TEXTSPLIT(G724, ",",, TRUE)), COLUMNS(TEXTSPLIT(H724, ",",, TRUE)), LAMBDA(_xlpm.ri,_xlpm.gi, TRIM(INDEX(TEXTSPLIT(G724, ",",, TRUE), 1, _xlpm.ri)) &amp; "_" &amp; TRIM(INDEX(TEXTSPLIT(H724, ",",, TRUE), 1, _xlpm.gi))))), "")</f>
        <v/>
      </c>
    </row>
    <row r="725" ht="15.75" customHeight="1">
      <c r="B725" s="18"/>
      <c r="I725" s="8" t="str">
        <f t="array" ref="I725">IFERROR(TEXTJOIN(", ", TRUE, MAKEARRAY(COLUMNS(TEXTSPLIT(G725, ",",, TRUE)), COLUMNS(TEXTSPLIT(H725, ",",, TRUE)), LAMBDA(_xlpm.ri,_xlpm.gi, TRIM(INDEX(TEXTSPLIT(G725, ",",, TRUE), 1, _xlpm.ri)) &amp; "_" &amp; TRIM(INDEX(TEXTSPLIT(H725, ",",, TRUE), 1, _xlpm.gi))))), "")</f>
        <v/>
      </c>
    </row>
    <row r="726" ht="15.75" customHeight="1">
      <c r="B726" s="18"/>
      <c r="I726" s="8" t="str">
        <f t="array" ref="I726">IFERROR(TEXTJOIN(", ", TRUE, MAKEARRAY(COLUMNS(TEXTSPLIT(G726, ",",, TRUE)), COLUMNS(TEXTSPLIT(H726, ",",, TRUE)), LAMBDA(_xlpm.ri,_xlpm.gi, TRIM(INDEX(TEXTSPLIT(G726, ",",, TRUE), 1, _xlpm.ri)) &amp; "_" &amp; TRIM(INDEX(TEXTSPLIT(H726, ",",, TRUE), 1, _xlpm.gi))))), "")</f>
        <v/>
      </c>
    </row>
    <row r="727" ht="15.75" customHeight="1">
      <c r="B727" s="18"/>
      <c r="I727" s="8" t="str">
        <f t="array" ref="I727">IFERROR(TEXTJOIN(", ", TRUE, MAKEARRAY(COLUMNS(TEXTSPLIT(G727, ",",, TRUE)), COLUMNS(TEXTSPLIT(H727, ",",, TRUE)), LAMBDA(_xlpm.ri,_xlpm.gi, TRIM(INDEX(TEXTSPLIT(G727, ",",, TRUE), 1, _xlpm.ri)) &amp; "_" &amp; TRIM(INDEX(TEXTSPLIT(H727, ",",, TRUE), 1, _xlpm.gi))))), "")</f>
        <v/>
      </c>
    </row>
    <row r="728" ht="15.75" customHeight="1">
      <c r="B728" s="18"/>
      <c r="I728" s="8" t="str">
        <f t="array" ref="I728">IFERROR(TEXTJOIN(", ", TRUE, MAKEARRAY(COLUMNS(TEXTSPLIT(G728, ",",, TRUE)), COLUMNS(TEXTSPLIT(H728, ",",, TRUE)), LAMBDA(_xlpm.ri,_xlpm.gi, TRIM(INDEX(TEXTSPLIT(G728, ",",, TRUE), 1, _xlpm.ri)) &amp; "_" &amp; TRIM(INDEX(TEXTSPLIT(H728, ",",, TRUE), 1, _xlpm.gi))))), "")</f>
        <v/>
      </c>
    </row>
    <row r="729" ht="15.75" customHeight="1">
      <c r="B729" s="18"/>
      <c r="I729" s="8" t="str">
        <f t="array" ref="I729">IFERROR(TEXTJOIN(", ", TRUE, MAKEARRAY(COLUMNS(TEXTSPLIT(G729, ",",, TRUE)), COLUMNS(TEXTSPLIT(H729, ",",, TRUE)), LAMBDA(_xlpm.ri,_xlpm.gi, TRIM(INDEX(TEXTSPLIT(G729, ",",, TRUE), 1, _xlpm.ri)) &amp; "_" &amp; TRIM(INDEX(TEXTSPLIT(H729, ",",, TRUE), 1, _xlpm.gi))))), "")</f>
        <v/>
      </c>
    </row>
    <row r="730" ht="15.75" customHeight="1">
      <c r="B730" s="18"/>
      <c r="I730" s="8" t="str">
        <f t="array" ref="I730">IFERROR(TEXTJOIN(", ", TRUE, MAKEARRAY(COLUMNS(TEXTSPLIT(G730, ",",, TRUE)), COLUMNS(TEXTSPLIT(H730, ",",, TRUE)), LAMBDA(_xlpm.ri,_xlpm.gi, TRIM(INDEX(TEXTSPLIT(G730, ",",, TRUE), 1, _xlpm.ri)) &amp; "_" &amp; TRIM(INDEX(TEXTSPLIT(H730, ",",, TRUE), 1, _xlpm.gi))))), "")</f>
        <v/>
      </c>
    </row>
    <row r="731" ht="15.75" customHeight="1">
      <c r="B731" s="18"/>
      <c r="I731" s="8" t="str">
        <f t="array" ref="I731">IFERROR(TEXTJOIN(", ", TRUE, MAKEARRAY(COLUMNS(TEXTSPLIT(G731, ",",, TRUE)), COLUMNS(TEXTSPLIT(H731, ",",, TRUE)), LAMBDA(_xlpm.ri,_xlpm.gi, TRIM(INDEX(TEXTSPLIT(G731, ",",, TRUE), 1, _xlpm.ri)) &amp; "_" &amp; TRIM(INDEX(TEXTSPLIT(H731, ",",, TRUE), 1, _xlpm.gi))))), "")</f>
        <v/>
      </c>
    </row>
    <row r="732" ht="15.75" customHeight="1">
      <c r="B732" s="18"/>
      <c r="I732" s="8" t="str">
        <f t="array" ref="I732">IFERROR(TEXTJOIN(", ", TRUE, MAKEARRAY(COLUMNS(TEXTSPLIT(G732, ",",, TRUE)), COLUMNS(TEXTSPLIT(H732, ",",, TRUE)), LAMBDA(_xlpm.ri,_xlpm.gi, TRIM(INDEX(TEXTSPLIT(G732, ",",, TRUE), 1, _xlpm.ri)) &amp; "_" &amp; TRIM(INDEX(TEXTSPLIT(H732, ",",, TRUE), 1, _xlpm.gi))))), "")</f>
        <v/>
      </c>
    </row>
    <row r="733" ht="15.75" customHeight="1">
      <c r="B733" s="18"/>
      <c r="I733" s="8" t="str">
        <f t="array" ref="I733">IFERROR(TEXTJOIN(", ", TRUE, MAKEARRAY(COLUMNS(TEXTSPLIT(G733, ",",, TRUE)), COLUMNS(TEXTSPLIT(H733, ",",, TRUE)), LAMBDA(_xlpm.ri,_xlpm.gi, TRIM(INDEX(TEXTSPLIT(G733, ",",, TRUE), 1, _xlpm.ri)) &amp; "_" &amp; TRIM(INDEX(TEXTSPLIT(H733, ",",, TRUE), 1, _xlpm.gi))))), "")</f>
        <v/>
      </c>
    </row>
    <row r="734" ht="15.75" customHeight="1">
      <c r="B734" s="18"/>
      <c r="I734" s="8" t="str">
        <f t="array" ref="I734">IFERROR(TEXTJOIN(", ", TRUE, MAKEARRAY(COLUMNS(TEXTSPLIT(G734, ",",, TRUE)), COLUMNS(TEXTSPLIT(H734, ",",, TRUE)), LAMBDA(_xlpm.ri,_xlpm.gi, TRIM(INDEX(TEXTSPLIT(G734, ",",, TRUE), 1, _xlpm.ri)) &amp; "_" &amp; TRIM(INDEX(TEXTSPLIT(H734, ",",, TRUE), 1, _xlpm.gi))))), "")</f>
        <v/>
      </c>
    </row>
    <row r="735" ht="15.75" customHeight="1">
      <c r="B735" s="18"/>
      <c r="I735" s="8" t="str">
        <f t="array" ref="I735">IFERROR(TEXTJOIN(", ", TRUE, MAKEARRAY(COLUMNS(TEXTSPLIT(G735, ",",, TRUE)), COLUMNS(TEXTSPLIT(H735, ",",, TRUE)), LAMBDA(_xlpm.ri,_xlpm.gi, TRIM(INDEX(TEXTSPLIT(G735, ",",, TRUE), 1, _xlpm.ri)) &amp; "_" &amp; TRIM(INDEX(TEXTSPLIT(H735, ",",, TRUE), 1, _xlpm.gi))))), "")</f>
        <v/>
      </c>
    </row>
    <row r="736" ht="15.75" customHeight="1">
      <c r="B736" s="18"/>
      <c r="I736" s="8" t="str">
        <f t="array" ref="I736">IFERROR(TEXTJOIN(", ", TRUE, MAKEARRAY(COLUMNS(TEXTSPLIT(G736, ",",, TRUE)), COLUMNS(TEXTSPLIT(H736, ",",, TRUE)), LAMBDA(_xlpm.ri,_xlpm.gi, TRIM(INDEX(TEXTSPLIT(G736, ",",, TRUE), 1, _xlpm.ri)) &amp; "_" &amp; TRIM(INDEX(TEXTSPLIT(H736, ",",, TRUE), 1, _xlpm.gi))))), "")</f>
        <v/>
      </c>
    </row>
    <row r="737" ht="15.75" customHeight="1">
      <c r="B737" s="18"/>
      <c r="I737" s="8" t="str">
        <f t="array" ref="I737">IFERROR(TEXTJOIN(", ", TRUE, MAKEARRAY(COLUMNS(TEXTSPLIT(G737, ",",, TRUE)), COLUMNS(TEXTSPLIT(H737, ",",, TRUE)), LAMBDA(_xlpm.ri,_xlpm.gi, TRIM(INDEX(TEXTSPLIT(G737, ",",, TRUE), 1, _xlpm.ri)) &amp; "_" &amp; TRIM(INDEX(TEXTSPLIT(H737, ",",, TRUE), 1, _xlpm.gi))))), "")</f>
        <v/>
      </c>
    </row>
    <row r="738" ht="15.75" customHeight="1">
      <c r="B738" s="18"/>
      <c r="I738" s="8" t="str">
        <f t="array" ref="I738">IFERROR(TEXTJOIN(", ", TRUE, MAKEARRAY(COLUMNS(TEXTSPLIT(G738, ",",, TRUE)), COLUMNS(TEXTSPLIT(H738, ",",, TRUE)), LAMBDA(_xlpm.ri,_xlpm.gi, TRIM(INDEX(TEXTSPLIT(G738, ",",, TRUE), 1, _xlpm.ri)) &amp; "_" &amp; TRIM(INDEX(TEXTSPLIT(H738, ",",, TRUE), 1, _xlpm.gi))))), "")</f>
        <v/>
      </c>
    </row>
    <row r="739" ht="15.75" customHeight="1">
      <c r="B739" s="18"/>
      <c r="I739" s="8" t="str">
        <f t="array" ref="I739">IFERROR(TEXTJOIN(", ", TRUE, MAKEARRAY(COLUMNS(TEXTSPLIT(G739, ",",, TRUE)), COLUMNS(TEXTSPLIT(H739, ",",, TRUE)), LAMBDA(_xlpm.ri,_xlpm.gi, TRIM(INDEX(TEXTSPLIT(G739, ",",, TRUE), 1, _xlpm.ri)) &amp; "_" &amp; TRIM(INDEX(TEXTSPLIT(H739, ",",, TRUE), 1, _xlpm.gi))))), "")</f>
        <v/>
      </c>
    </row>
    <row r="740" ht="15.75" customHeight="1">
      <c r="B740" s="18"/>
      <c r="I740" s="8" t="str">
        <f t="array" ref="I740">IFERROR(TEXTJOIN(", ", TRUE, MAKEARRAY(COLUMNS(TEXTSPLIT(G740, ",",, TRUE)), COLUMNS(TEXTSPLIT(H740, ",",, TRUE)), LAMBDA(_xlpm.ri,_xlpm.gi, TRIM(INDEX(TEXTSPLIT(G740, ",",, TRUE), 1, _xlpm.ri)) &amp; "_" &amp; TRIM(INDEX(TEXTSPLIT(H740, ",",, TRUE), 1, _xlpm.gi))))), "")</f>
        <v/>
      </c>
    </row>
    <row r="741" ht="15.75" customHeight="1">
      <c r="B741" s="18"/>
      <c r="I741" s="8" t="str">
        <f t="array" ref="I741">IFERROR(TEXTJOIN(", ", TRUE, MAKEARRAY(COLUMNS(TEXTSPLIT(G741, ",",, TRUE)), COLUMNS(TEXTSPLIT(H741, ",",, TRUE)), LAMBDA(_xlpm.ri,_xlpm.gi, TRIM(INDEX(TEXTSPLIT(G741, ",",, TRUE), 1, _xlpm.ri)) &amp; "_" &amp; TRIM(INDEX(TEXTSPLIT(H741, ",",, TRUE), 1, _xlpm.gi))))), "")</f>
        <v/>
      </c>
    </row>
    <row r="742" ht="15.75" customHeight="1">
      <c r="B742" s="18"/>
      <c r="I742" s="8" t="str">
        <f t="array" ref="I742">IFERROR(TEXTJOIN(", ", TRUE, MAKEARRAY(COLUMNS(TEXTSPLIT(G742, ",",, TRUE)), COLUMNS(TEXTSPLIT(H742, ",",, TRUE)), LAMBDA(_xlpm.ri,_xlpm.gi, TRIM(INDEX(TEXTSPLIT(G742, ",",, TRUE), 1, _xlpm.ri)) &amp; "_" &amp; TRIM(INDEX(TEXTSPLIT(H742, ",",, TRUE), 1, _xlpm.gi))))), "")</f>
        <v/>
      </c>
    </row>
    <row r="743" ht="15.75" customHeight="1">
      <c r="B743" s="18"/>
      <c r="I743" s="8" t="str">
        <f t="array" ref="I743">IFERROR(TEXTJOIN(", ", TRUE, MAKEARRAY(COLUMNS(TEXTSPLIT(G743, ",",, TRUE)), COLUMNS(TEXTSPLIT(H743, ",",, TRUE)), LAMBDA(_xlpm.ri,_xlpm.gi, TRIM(INDEX(TEXTSPLIT(G743, ",",, TRUE), 1, _xlpm.ri)) &amp; "_" &amp; TRIM(INDEX(TEXTSPLIT(H743, ",",, TRUE), 1, _xlpm.gi))))), "")</f>
        <v/>
      </c>
    </row>
    <row r="744" ht="15.75" customHeight="1">
      <c r="B744" s="18"/>
      <c r="I744" s="8" t="str">
        <f t="array" ref="I744">IFERROR(TEXTJOIN(", ", TRUE, MAKEARRAY(COLUMNS(TEXTSPLIT(G744, ",",, TRUE)), COLUMNS(TEXTSPLIT(H744, ",",, TRUE)), LAMBDA(_xlpm.ri,_xlpm.gi, TRIM(INDEX(TEXTSPLIT(G744, ",",, TRUE), 1, _xlpm.ri)) &amp; "_" &amp; TRIM(INDEX(TEXTSPLIT(H744, ",",, TRUE), 1, _xlpm.gi))))), "")</f>
        <v/>
      </c>
    </row>
    <row r="745" ht="15.75" customHeight="1">
      <c r="B745" s="18"/>
      <c r="I745" s="8" t="str">
        <f t="array" ref="I745">IFERROR(TEXTJOIN(", ", TRUE, MAKEARRAY(COLUMNS(TEXTSPLIT(G745, ",",, TRUE)), COLUMNS(TEXTSPLIT(H745, ",",, TRUE)), LAMBDA(_xlpm.ri,_xlpm.gi, TRIM(INDEX(TEXTSPLIT(G745, ",",, TRUE), 1, _xlpm.ri)) &amp; "_" &amp; TRIM(INDEX(TEXTSPLIT(H745, ",",, TRUE), 1, _xlpm.gi))))), "")</f>
        <v/>
      </c>
    </row>
    <row r="746" ht="15.75" customHeight="1">
      <c r="B746" s="18"/>
      <c r="I746" s="8" t="str">
        <f t="array" ref="I746">IFERROR(TEXTJOIN(", ", TRUE, MAKEARRAY(COLUMNS(TEXTSPLIT(G746, ",",, TRUE)), COLUMNS(TEXTSPLIT(H746, ",",, TRUE)), LAMBDA(_xlpm.ri,_xlpm.gi, TRIM(INDEX(TEXTSPLIT(G746, ",",, TRUE), 1, _xlpm.ri)) &amp; "_" &amp; TRIM(INDEX(TEXTSPLIT(H746, ",",, TRUE), 1, _xlpm.gi))))), "")</f>
        <v/>
      </c>
    </row>
    <row r="747" ht="15.75" customHeight="1">
      <c r="B747" s="18"/>
      <c r="I747" s="8" t="str">
        <f t="array" ref="I747">IFERROR(TEXTJOIN(", ", TRUE, MAKEARRAY(COLUMNS(TEXTSPLIT(G747, ",",, TRUE)), COLUMNS(TEXTSPLIT(H747, ",",, TRUE)), LAMBDA(_xlpm.ri,_xlpm.gi, TRIM(INDEX(TEXTSPLIT(G747, ",",, TRUE), 1, _xlpm.ri)) &amp; "_" &amp; TRIM(INDEX(TEXTSPLIT(H747, ",",, TRUE), 1, _xlpm.gi))))), "")</f>
        <v/>
      </c>
    </row>
    <row r="748" ht="15.75" customHeight="1">
      <c r="B748" s="18"/>
      <c r="I748" s="8" t="str">
        <f t="array" ref="I748">IFERROR(TEXTJOIN(", ", TRUE, MAKEARRAY(COLUMNS(TEXTSPLIT(G748, ",",, TRUE)), COLUMNS(TEXTSPLIT(H748, ",",, TRUE)), LAMBDA(_xlpm.ri,_xlpm.gi, TRIM(INDEX(TEXTSPLIT(G748, ",",, TRUE), 1, _xlpm.ri)) &amp; "_" &amp; TRIM(INDEX(TEXTSPLIT(H748, ",",, TRUE), 1, _xlpm.gi))))), "")</f>
        <v/>
      </c>
    </row>
    <row r="749" ht="15.75" customHeight="1">
      <c r="B749" s="18"/>
      <c r="I749" s="8" t="str">
        <f t="array" ref="I749">IFERROR(TEXTJOIN(", ", TRUE, MAKEARRAY(COLUMNS(TEXTSPLIT(G749, ",",, TRUE)), COLUMNS(TEXTSPLIT(H749, ",",, TRUE)), LAMBDA(_xlpm.ri,_xlpm.gi, TRIM(INDEX(TEXTSPLIT(G749, ",",, TRUE), 1, _xlpm.ri)) &amp; "_" &amp; TRIM(INDEX(TEXTSPLIT(H749, ",",, TRUE), 1, _xlpm.gi))))), "")</f>
        <v/>
      </c>
    </row>
    <row r="750" ht="15.75" customHeight="1">
      <c r="B750" s="18"/>
      <c r="I750" s="8" t="str">
        <f t="array" ref="I750">IFERROR(TEXTJOIN(", ", TRUE, MAKEARRAY(COLUMNS(TEXTSPLIT(G750, ",",, TRUE)), COLUMNS(TEXTSPLIT(H750, ",",, TRUE)), LAMBDA(_xlpm.ri,_xlpm.gi, TRIM(INDEX(TEXTSPLIT(G750, ",",, TRUE), 1, _xlpm.ri)) &amp; "_" &amp; TRIM(INDEX(TEXTSPLIT(H750, ",",, TRUE), 1, _xlpm.gi))))), "")</f>
        <v/>
      </c>
    </row>
    <row r="751" ht="15.75" customHeight="1">
      <c r="B751" s="18"/>
      <c r="I751" s="8" t="str">
        <f t="array" ref="I751">IFERROR(TEXTJOIN(", ", TRUE, MAKEARRAY(COLUMNS(TEXTSPLIT(G751, ",",, TRUE)), COLUMNS(TEXTSPLIT(H751, ",",, TRUE)), LAMBDA(_xlpm.ri,_xlpm.gi, TRIM(INDEX(TEXTSPLIT(G751, ",",, TRUE), 1, _xlpm.ri)) &amp; "_" &amp; TRIM(INDEX(TEXTSPLIT(H751, ",",, TRUE), 1, _xlpm.gi))))), "")</f>
        <v/>
      </c>
    </row>
    <row r="752" ht="15.75" customHeight="1">
      <c r="B752" s="18"/>
      <c r="I752" s="8" t="str">
        <f t="array" ref="I752">IFERROR(TEXTJOIN(", ", TRUE, MAKEARRAY(COLUMNS(TEXTSPLIT(G752, ",",, TRUE)), COLUMNS(TEXTSPLIT(H752, ",",, TRUE)), LAMBDA(_xlpm.ri,_xlpm.gi, TRIM(INDEX(TEXTSPLIT(G752, ",",, TRUE), 1, _xlpm.ri)) &amp; "_" &amp; TRIM(INDEX(TEXTSPLIT(H752, ",",, TRUE), 1, _xlpm.gi))))), "")</f>
        <v/>
      </c>
    </row>
    <row r="753" ht="15.75" customHeight="1">
      <c r="B753" s="18"/>
      <c r="I753" s="8" t="str">
        <f t="array" ref="I753">IFERROR(TEXTJOIN(", ", TRUE, MAKEARRAY(COLUMNS(TEXTSPLIT(G753, ",",, TRUE)), COLUMNS(TEXTSPLIT(H753, ",",, TRUE)), LAMBDA(_xlpm.ri,_xlpm.gi, TRIM(INDEX(TEXTSPLIT(G753, ",",, TRUE), 1, _xlpm.ri)) &amp; "_" &amp; TRIM(INDEX(TEXTSPLIT(H753, ",",, TRUE), 1, _xlpm.gi))))), "")</f>
        <v/>
      </c>
    </row>
    <row r="754" ht="15.75" customHeight="1">
      <c r="B754" s="18"/>
      <c r="I754" s="8" t="str">
        <f t="array" ref="I754">IFERROR(TEXTJOIN(", ", TRUE, MAKEARRAY(COLUMNS(TEXTSPLIT(G754, ",",, TRUE)), COLUMNS(TEXTSPLIT(H754, ",",, TRUE)), LAMBDA(_xlpm.ri,_xlpm.gi, TRIM(INDEX(TEXTSPLIT(G754, ",",, TRUE), 1, _xlpm.ri)) &amp; "_" &amp; TRIM(INDEX(TEXTSPLIT(H754, ",",, TRUE), 1, _xlpm.gi))))), "")</f>
        <v/>
      </c>
    </row>
    <row r="755" ht="15.75" customHeight="1">
      <c r="B755" s="18"/>
      <c r="I755" s="8" t="str">
        <f t="array" ref="I755">IFERROR(TEXTJOIN(", ", TRUE, MAKEARRAY(COLUMNS(TEXTSPLIT(G755, ",",, TRUE)), COLUMNS(TEXTSPLIT(H755, ",",, TRUE)), LAMBDA(_xlpm.ri,_xlpm.gi, TRIM(INDEX(TEXTSPLIT(G755, ",",, TRUE), 1, _xlpm.ri)) &amp; "_" &amp; TRIM(INDEX(TEXTSPLIT(H755, ",",, TRUE), 1, _xlpm.gi))))), "")</f>
        <v/>
      </c>
    </row>
    <row r="756" ht="15.75" customHeight="1">
      <c r="B756" s="18"/>
      <c r="I756" s="8" t="str">
        <f t="array" ref="I756">IFERROR(TEXTJOIN(", ", TRUE, MAKEARRAY(COLUMNS(TEXTSPLIT(G756, ",",, TRUE)), COLUMNS(TEXTSPLIT(H756, ",",, TRUE)), LAMBDA(_xlpm.ri,_xlpm.gi, TRIM(INDEX(TEXTSPLIT(G756, ",",, TRUE), 1, _xlpm.ri)) &amp; "_" &amp; TRIM(INDEX(TEXTSPLIT(H756, ",",, TRUE), 1, _xlpm.gi))))), "")</f>
        <v/>
      </c>
    </row>
    <row r="757" ht="15.75" customHeight="1">
      <c r="B757" s="18"/>
      <c r="I757" s="8" t="str">
        <f t="array" ref="I757">IFERROR(TEXTJOIN(", ", TRUE, MAKEARRAY(COLUMNS(TEXTSPLIT(G757, ",",, TRUE)), COLUMNS(TEXTSPLIT(H757, ",",, TRUE)), LAMBDA(_xlpm.ri,_xlpm.gi, TRIM(INDEX(TEXTSPLIT(G757, ",",, TRUE), 1, _xlpm.ri)) &amp; "_" &amp; TRIM(INDEX(TEXTSPLIT(H757, ",",, TRUE), 1, _xlpm.gi))))), "")</f>
        <v/>
      </c>
    </row>
    <row r="758" ht="15.75" customHeight="1">
      <c r="B758" s="18"/>
      <c r="I758" s="8" t="str">
        <f t="array" ref="I758">IFERROR(TEXTJOIN(", ", TRUE, MAKEARRAY(COLUMNS(TEXTSPLIT(G758, ",",, TRUE)), COLUMNS(TEXTSPLIT(H758, ",",, TRUE)), LAMBDA(_xlpm.ri,_xlpm.gi, TRIM(INDEX(TEXTSPLIT(G758, ",",, TRUE), 1, _xlpm.ri)) &amp; "_" &amp; TRIM(INDEX(TEXTSPLIT(H758, ",",, TRUE), 1, _xlpm.gi))))), "")</f>
        <v/>
      </c>
    </row>
    <row r="759" ht="15.75" customHeight="1">
      <c r="B759" s="18"/>
      <c r="I759" s="8" t="str">
        <f t="array" ref="I759">IFERROR(TEXTJOIN(", ", TRUE, MAKEARRAY(COLUMNS(TEXTSPLIT(G759, ",",, TRUE)), COLUMNS(TEXTSPLIT(H759, ",",, TRUE)), LAMBDA(_xlpm.ri,_xlpm.gi, TRIM(INDEX(TEXTSPLIT(G759, ",",, TRUE), 1, _xlpm.ri)) &amp; "_" &amp; TRIM(INDEX(TEXTSPLIT(H759, ",",, TRUE), 1, _xlpm.gi))))), "")</f>
        <v/>
      </c>
    </row>
    <row r="760" ht="15.75" customHeight="1">
      <c r="B760" s="18"/>
      <c r="I760" s="8" t="str">
        <f t="array" ref="I760">IFERROR(TEXTJOIN(", ", TRUE, MAKEARRAY(COLUMNS(TEXTSPLIT(G760, ",",, TRUE)), COLUMNS(TEXTSPLIT(H760, ",",, TRUE)), LAMBDA(_xlpm.ri,_xlpm.gi, TRIM(INDEX(TEXTSPLIT(G760, ",",, TRUE), 1, _xlpm.ri)) &amp; "_" &amp; TRIM(INDEX(TEXTSPLIT(H760, ",",, TRUE), 1, _xlpm.gi))))), "")</f>
        <v/>
      </c>
    </row>
    <row r="761" ht="15.75" customHeight="1">
      <c r="B761" s="18"/>
      <c r="I761" s="8" t="str">
        <f t="array" ref="I761">IFERROR(TEXTJOIN(", ", TRUE, MAKEARRAY(COLUMNS(TEXTSPLIT(G761, ",",, TRUE)), COLUMNS(TEXTSPLIT(H761, ",",, TRUE)), LAMBDA(_xlpm.ri,_xlpm.gi, TRIM(INDEX(TEXTSPLIT(G761, ",",, TRUE), 1, _xlpm.ri)) &amp; "_" &amp; TRIM(INDEX(TEXTSPLIT(H761, ",",, TRUE), 1, _xlpm.gi))))), "")</f>
        <v/>
      </c>
    </row>
    <row r="762" ht="15.75" customHeight="1">
      <c r="B762" s="18"/>
      <c r="I762" s="8" t="str">
        <f t="array" ref="I762">IFERROR(TEXTJOIN(", ", TRUE, MAKEARRAY(COLUMNS(TEXTSPLIT(G762, ",",, TRUE)), COLUMNS(TEXTSPLIT(H762, ",",, TRUE)), LAMBDA(_xlpm.ri,_xlpm.gi, TRIM(INDEX(TEXTSPLIT(G762, ",",, TRUE), 1, _xlpm.ri)) &amp; "_" &amp; TRIM(INDEX(TEXTSPLIT(H762, ",",, TRUE), 1, _xlpm.gi))))), "")</f>
        <v/>
      </c>
    </row>
    <row r="763" ht="15.75" customHeight="1">
      <c r="B763" s="18"/>
      <c r="I763" s="8" t="str">
        <f t="array" ref="I763">IFERROR(TEXTJOIN(", ", TRUE, MAKEARRAY(COLUMNS(TEXTSPLIT(G763, ",",, TRUE)), COLUMNS(TEXTSPLIT(H763, ",",, TRUE)), LAMBDA(_xlpm.ri,_xlpm.gi, TRIM(INDEX(TEXTSPLIT(G763, ",",, TRUE), 1, _xlpm.ri)) &amp; "_" &amp; TRIM(INDEX(TEXTSPLIT(H763, ",",, TRUE), 1, _xlpm.gi))))), "")</f>
        <v/>
      </c>
    </row>
    <row r="764" ht="15.75" customHeight="1">
      <c r="B764" s="18"/>
      <c r="I764" s="8" t="str">
        <f t="array" ref="I764">IFERROR(TEXTJOIN(", ", TRUE, MAKEARRAY(COLUMNS(TEXTSPLIT(G764, ",",, TRUE)), COLUMNS(TEXTSPLIT(H764, ",",, TRUE)), LAMBDA(_xlpm.ri,_xlpm.gi, TRIM(INDEX(TEXTSPLIT(G764, ",",, TRUE), 1, _xlpm.ri)) &amp; "_" &amp; TRIM(INDEX(TEXTSPLIT(H764, ",",, TRUE), 1, _xlpm.gi))))), "")</f>
        <v/>
      </c>
    </row>
    <row r="765" ht="15.75" customHeight="1">
      <c r="B765" s="18"/>
      <c r="I765" s="8" t="str">
        <f t="array" ref="I765">IFERROR(TEXTJOIN(", ", TRUE, MAKEARRAY(COLUMNS(TEXTSPLIT(G765, ",",, TRUE)), COLUMNS(TEXTSPLIT(H765, ",",, TRUE)), LAMBDA(_xlpm.ri,_xlpm.gi, TRIM(INDEX(TEXTSPLIT(G765, ",",, TRUE), 1, _xlpm.ri)) &amp; "_" &amp; TRIM(INDEX(TEXTSPLIT(H765, ",",, TRUE), 1, _xlpm.gi))))), "")</f>
        <v/>
      </c>
    </row>
    <row r="766" ht="15.75" customHeight="1">
      <c r="B766" s="18"/>
      <c r="I766" s="8" t="str">
        <f t="array" ref="I766">IFERROR(TEXTJOIN(", ", TRUE, MAKEARRAY(COLUMNS(TEXTSPLIT(G766, ",",, TRUE)), COLUMNS(TEXTSPLIT(H766, ",",, TRUE)), LAMBDA(_xlpm.ri,_xlpm.gi, TRIM(INDEX(TEXTSPLIT(G766, ",",, TRUE), 1, _xlpm.ri)) &amp; "_" &amp; TRIM(INDEX(TEXTSPLIT(H766, ",",, TRUE), 1, _xlpm.gi))))), "")</f>
        <v/>
      </c>
    </row>
    <row r="767" ht="15.75" customHeight="1">
      <c r="B767" s="18"/>
      <c r="I767" s="8" t="str">
        <f t="array" ref="I767">IFERROR(TEXTJOIN(", ", TRUE, MAKEARRAY(COLUMNS(TEXTSPLIT(G767, ",",, TRUE)), COLUMNS(TEXTSPLIT(H767, ",",, TRUE)), LAMBDA(_xlpm.ri,_xlpm.gi, TRIM(INDEX(TEXTSPLIT(G767, ",",, TRUE), 1, _xlpm.ri)) &amp; "_" &amp; TRIM(INDEX(TEXTSPLIT(H767, ",",, TRUE), 1, _xlpm.gi))))), "")</f>
        <v/>
      </c>
    </row>
    <row r="768" ht="15.75" customHeight="1">
      <c r="B768" s="18"/>
      <c r="I768" s="8" t="str">
        <f t="array" ref="I768">IFERROR(TEXTJOIN(", ", TRUE, MAKEARRAY(COLUMNS(TEXTSPLIT(G768, ",",, TRUE)), COLUMNS(TEXTSPLIT(H768, ",",, TRUE)), LAMBDA(_xlpm.ri,_xlpm.gi, TRIM(INDEX(TEXTSPLIT(G768, ",",, TRUE), 1, _xlpm.ri)) &amp; "_" &amp; TRIM(INDEX(TEXTSPLIT(H768, ",",, TRUE), 1, _xlpm.gi))))), "")</f>
        <v/>
      </c>
    </row>
    <row r="769" ht="15.75" customHeight="1">
      <c r="B769" s="18"/>
      <c r="I769" s="8" t="str">
        <f t="array" ref="I769">IFERROR(TEXTJOIN(", ", TRUE, MAKEARRAY(COLUMNS(TEXTSPLIT(G769, ",",, TRUE)), COLUMNS(TEXTSPLIT(H769, ",",, TRUE)), LAMBDA(_xlpm.ri,_xlpm.gi, TRIM(INDEX(TEXTSPLIT(G769, ",",, TRUE), 1, _xlpm.ri)) &amp; "_" &amp; TRIM(INDEX(TEXTSPLIT(H769, ",",, TRUE), 1, _xlpm.gi))))), "")</f>
        <v/>
      </c>
    </row>
    <row r="770" ht="15.75" customHeight="1">
      <c r="B770" s="18"/>
      <c r="I770" s="8" t="str">
        <f t="array" ref="I770">IFERROR(TEXTJOIN(", ", TRUE, MAKEARRAY(COLUMNS(TEXTSPLIT(G770, ",",, TRUE)), COLUMNS(TEXTSPLIT(H770, ",",, TRUE)), LAMBDA(_xlpm.ri,_xlpm.gi, TRIM(INDEX(TEXTSPLIT(G770, ",",, TRUE), 1, _xlpm.ri)) &amp; "_" &amp; TRIM(INDEX(TEXTSPLIT(H770, ",",, TRUE), 1, _xlpm.gi))))), "")</f>
        <v/>
      </c>
    </row>
    <row r="771" ht="15.75" customHeight="1">
      <c r="B771" s="18"/>
      <c r="I771" s="8" t="str">
        <f t="array" ref="I771">IFERROR(TEXTJOIN(", ", TRUE, MAKEARRAY(COLUMNS(TEXTSPLIT(G771, ",",, TRUE)), COLUMNS(TEXTSPLIT(H771, ",",, TRUE)), LAMBDA(_xlpm.ri,_xlpm.gi, TRIM(INDEX(TEXTSPLIT(G771, ",",, TRUE), 1, _xlpm.ri)) &amp; "_" &amp; TRIM(INDEX(TEXTSPLIT(H771, ",",, TRUE), 1, _xlpm.gi))))), "")</f>
        <v/>
      </c>
    </row>
    <row r="772" ht="15.75" customHeight="1">
      <c r="B772" s="18"/>
      <c r="I772" s="8" t="str">
        <f t="array" ref="I772">IFERROR(TEXTJOIN(", ", TRUE, MAKEARRAY(COLUMNS(TEXTSPLIT(G772, ",",, TRUE)), COLUMNS(TEXTSPLIT(H772, ",",, TRUE)), LAMBDA(_xlpm.ri,_xlpm.gi, TRIM(INDEX(TEXTSPLIT(G772, ",",, TRUE), 1, _xlpm.ri)) &amp; "_" &amp; TRIM(INDEX(TEXTSPLIT(H772, ",",, TRUE), 1, _xlpm.gi))))), "")</f>
        <v/>
      </c>
    </row>
    <row r="773" ht="15.75" customHeight="1">
      <c r="B773" s="18"/>
      <c r="I773" s="8" t="str">
        <f t="array" ref="I773">IFERROR(TEXTJOIN(", ", TRUE, MAKEARRAY(COLUMNS(TEXTSPLIT(G773, ",",, TRUE)), COLUMNS(TEXTSPLIT(H773, ",",, TRUE)), LAMBDA(_xlpm.ri,_xlpm.gi, TRIM(INDEX(TEXTSPLIT(G773, ",",, TRUE), 1, _xlpm.ri)) &amp; "_" &amp; TRIM(INDEX(TEXTSPLIT(H773, ",",, TRUE), 1, _xlpm.gi))))), "")</f>
        <v/>
      </c>
    </row>
    <row r="774" ht="15.75" customHeight="1">
      <c r="B774" s="18"/>
      <c r="I774" s="8" t="str">
        <f t="array" ref="I774">IFERROR(TEXTJOIN(", ", TRUE, MAKEARRAY(COLUMNS(TEXTSPLIT(G774, ",",, TRUE)), COLUMNS(TEXTSPLIT(H774, ",",, TRUE)), LAMBDA(_xlpm.ri,_xlpm.gi, TRIM(INDEX(TEXTSPLIT(G774, ",",, TRUE), 1, _xlpm.ri)) &amp; "_" &amp; TRIM(INDEX(TEXTSPLIT(H774, ",",, TRUE), 1, _xlpm.gi))))), "")</f>
        <v/>
      </c>
    </row>
    <row r="775" ht="15.75" customHeight="1">
      <c r="B775" s="18"/>
      <c r="I775" s="8" t="str">
        <f t="array" ref="I775">IFERROR(TEXTJOIN(", ", TRUE, MAKEARRAY(COLUMNS(TEXTSPLIT(G775, ",",, TRUE)), COLUMNS(TEXTSPLIT(H775, ",",, TRUE)), LAMBDA(_xlpm.ri,_xlpm.gi, TRIM(INDEX(TEXTSPLIT(G775, ",",, TRUE), 1, _xlpm.ri)) &amp; "_" &amp; TRIM(INDEX(TEXTSPLIT(H775, ",",, TRUE), 1, _xlpm.gi))))), "")</f>
        <v/>
      </c>
    </row>
    <row r="776" ht="15.75" customHeight="1">
      <c r="B776" s="18"/>
      <c r="I776" s="8" t="str">
        <f t="array" ref="I776">IFERROR(TEXTJOIN(", ", TRUE, MAKEARRAY(COLUMNS(TEXTSPLIT(G776, ",",, TRUE)), COLUMNS(TEXTSPLIT(H776, ",",, TRUE)), LAMBDA(_xlpm.ri,_xlpm.gi, TRIM(INDEX(TEXTSPLIT(G776, ",",, TRUE), 1, _xlpm.ri)) &amp; "_" &amp; TRIM(INDEX(TEXTSPLIT(H776, ",",, TRUE), 1, _xlpm.gi))))), "")</f>
        <v/>
      </c>
    </row>
    <row r="777" ht="15.75" customHeight="1">
      <c r="B777" s="18"/>
      <c r="I777" s="8" t="str">
        <f t="array" ref="I777">IFERROR(TEXTJOIN(", ", TRUE, MAKEARRAY(COLUMNS(TEXTSPLIT(G777, ",",, TRUE)), COLUMNS(TEXTSPLIT(H777, ",",, TRUE)), LAMBDA(_xlpm.ri,_xlpm.gi, TRIM(INDEX(TEXTSPLIT(G777, ",",, TRUE), 1, _xlpm.ri)) &amp; "_" &amp; TRIM(INDEX(TEXTSPLIT(H777, ",",, TRUE), 1, _xlpm.gi))))), "")</f>
        <v/>
      </c>
    </row>
    <row r="778" ht="15.75" customHeight="1">
      <c r="B778" s="18"/>
      <c r="I778" s="8" t="str">
        <f t="array" ref="I778">IFERROR(TEXTJOIN(", ", TRUE, MAKEARRAY(COLUMNS(TEXTSPLIT(G778, ",",, TRUE)), COLUMNS(TEXTSPLIT(H778, ",",, TRUE)), LAMBDA(_xlpm.ri,_xlpm.gi, TRIM(INDEX(TEXTSPLIT(G778, ",",, TRUE), 1, _xlpm.ri)) &amp; "_" &amp; TRIM(INDEX(TEXTSPLIT(H778, ",",, TRUE), 1, _xlpm.gi))))), "")</f>
        <v/>
      </c>
    </row>
    <row r="779" ht="15.75" customHeight="1">
      <c r="B779" s="18"/>
      <c r="I779" s="8" t="str">
        <f t="array" ref="I779">IFERROR(TEXTJOIN(", ", TRUE, MAKEARRAY(COLUMNS(TEXTSPLIT(G779, ",",, TRUE)), COLUMNS(TEXTSPLIT(H779, ",",, TRUE)), LAMBDA(_xlpm.ri,_xlpm.gi, TRIM(INDEX(TEXTSPLIT(G779, ",",, TRUE), 1, _xlpm.ri)) &amp; "_" &amp; TRIM(INDEX(TEXTSPLIT(H779, ",",, TRUE), 1, _xlpm.gi))))), "")</f>
        <v/>
      </c>
    </row>
    <row r="780" ht="15.75" customHeight="1">
      <c r="B780" s="18"/>
      <c r="I780" s="8" t="str">
        <f t="array" ref="I780">IFERROR(TEXTJOIN(", ", TRUE, MAKEARRAY(COLUMNS(TEXTSPLIT(G780, ",",, TRUE)), COLUMNS(TEXTSPLIT(H780, ",",, TRUE)), LAMBDA(_xlpm.ri,_xlpm.gi, TRIM(INDEX(TEXTSPLIT(G780, ",",, TRUE), 1, _xlpm.ri)) &amp; "_" &amp; TRIM(INDEX(TEXTSPLIT(H780, ",",, TRUE), 1, _xlpm.gi))))), "")</f>
        <v/>
      </c>
    </row>
    <row r="781" ht="15.75" customHeight="1">
      <c r="B781" s="18"/>
      <c r="I781" s="8" t="str">
        <f t="array" ref="I781">IFERROR(TEXTJOIN(", ", TRUE, MAKEARRAY(COLUMNS(TEXTSPLIT(G781, ",",, TRUE)), COLUMNS(TEXTSPLIT(H781, ",",, TRUE)), LAMBDA(_xlpm.ri,_xlpm.gi, TRIM(INDEX(TEXTSPLIT(G781, ",",, TRUE), 1, _xlpm.ri)) &amp; "_" &amp; TRIM(INDEX(TEXTSPLIT(H781, ",",, TRUE), 1, _xlpm.gi))))), "")</f>
        <v/>
      </c>
    </row>
    <row r="782" ht="15.75" customHeight="1">
      <c r="B782" s="18"/>
      <c r="I782" s="8" t="str">
        <f t="array" ref="I782">IFERROR(TEXTJOIN(", ", TRUE, MAKEARRAY(COLUMNS(TEXTSPLIT(G782, ",",, TRUE)), COLUMNS(TEXTSPLIT(H782, ",",, TRUE)), LAMBDA(_xlpm.ri,_xlpm.gi, TRIM(INDEX(TEXTSPLIT(G782, ",",, TRUE), 1, _xlpm.ri)) &amp; "_" &amp; TRIM(INDEX(TEXTSPLIT(H782, ",",, TRUE), 1, _xlpm.gi))))), "")</f>
        <v/>
      </c>
    </row>
    <row r="783" ht="15.75" customHeight="1">
      <c r="B783" s="18"/>
      <c r="I783" s="8" t="str">
        <f t="array" ref="I783">IFERROR(TEXTJOIN(", ", TRUE, MAKEARRAY(COLUMNS(TEXTSPLIT(G783, ",",, TRUE)), COLUMNS(TEXTSPLIT(H783, ",",, TRUE)), LAMBDA(_xlpm.ri,_xlpm.gi, TRIM(INDEX(TEXTSPLIT(G783, ",",, TRUE), 1, _xlpm.ri)) &amp; "_" &amp; TRIM(INDEX(TEXTSPLIT(H783, ",",, TRUE), 1, _xlpm.gi))))), "")</f>
        <v/>
      </c>
    </row>
    <row r="784" ht="15.75" customHeight="1">
      <c r="B784" s="18"/>
      <c r="I784" s="8" t="str">
        <f t="array" ref="I784">IFERROR(TEXTJOIN(", ", TRUE, MAKEARRAY(COLUMNS(TEXTSPLIT(G784, ",",, TRUE)), COLUMNS(TEXTSPLIT(H784, ",",, TRUE)), LAMBDA(_xlpm.ri,_xlpm.gi, TRIM(INDEX(TEXTSPLIT(G784, ",",, TRUE), 1, _xlpm.ri)) &amp; "_" &amp; TRIM(INDEX(TEXTSPLIT(H784, ",",, TRUE), 1, _xlpm.gi))))), "")</f>
        <v/>
      </c>
    </row>
    <row r="785" ht="15.75" customHeight="1">
      <c r="B785" s="18"/>
      <c r="I785" s="8" t="str">
        <f t="array" ref="I785">IFERROR(TEXTJOIN(", ", TRUE, MAKEARRAY(COLUMNS(TEXTSPLIT(G785, ",",, TRUE)), COLUMNS(TEXTSPLIT(H785, ",",, TRUE)), LAMBDA(_xlpm.ri,_xlpm.gi, TRIM(INDEX(TEXTSPLIT(G785, ",",, TRUE), 1, _xlpm.ri)) &amp; "_" &amp; TRIM(INDEX(TEXTSPLIT(H785, ",",, TRUE), 1, _xlpm.gi))))), "")</f>
        <v/>
      </c>
    </row>
    <row r="786" ht="15.75" customHeight="1">
      <c r="B786" s="18"/>
      <c r="I786" s="8" t="str">
        <f t="array" ref="I786">IFERROR(TEXTJOIN(", ", TRUE, MAKEARRAY(COLUMNS(TEXTSPLIT(G786, ",",, TRUE)), COLUMNS(TEXTSPLIT(H786, ",",, TRUE)), LAMBDA(_xlpm.ri,_xlpm.gi, TRIM(INDEX(TEXTSPLIT(G786, ",",, TRUE), 1, _xlpm.ri)) &amp; "_" &amp; TRIM(INDEX(TEXTSPLIT(H786, ",",, TRUE), 1, _xlpm.gi))))), "")</f>
        <v/>
      </c>
    </row>
    <row r="787" ht="15.75" customHeight="1">
      <c r="B787" s="18"/>
      <c r="I787" s="8" t="str">
        <f t="array" ref="I787">IFERROR(TEXTJOIN(", ", TRUE, MAKEARRAY(COLUMNS(TEXTSPLIT(G787, ",",, TRUE)), COLUMNS(TEXTSPLIT(H787, ",",, TRUE)), LAMBDA(_xlpm.ri,_xlpm.gi, TRIM(INDEX(TEXTSPLIT(G787, ",",, TRUE), 1, _xlpm.ri)) &amp; "_" &amp; TRIM(INDEX(TEXTSPLIT(H787, ",",, TRUE), 1, _xlpm.gi))))), "")</f>
        <v/>
      </c>
    </row>
    <row r="788" ht="15.75" customHeight="1">
      <c r="B788" s="18"/>
      <c r="I788" s="8" t="str">
        <f t="array" ref="I788">IFERROR(TEXTJOIN(", ", TRUE, MAKEARRAY(COLUMNS(TEXTSPLIT(G788, ",",, TRUE)), COLUMNS(TEXTSPLIT(H788, ",",, TRUE)), LAMBDA(_xlpm.ri,_xlpm.gi, TRIM(INDEX(TEXTSPLIT(G788, ",",, TRUE), 1, _xlpm.ri)) &amp; "_" &amp; TRIM(INDEX(TEXTSPLIT(H788, ",",, TRUE), 1, _xlpm.gi))))), "")</f>
        <v/>
      </c>
    </row>
    <row r="789" ht="15.75" customHeight="1">
      <c r="B789" s="18"/>
      <c r="I789" s="8" t="str">
        <f t="array" ref="I789">IFERROR(TEXTJOIN(", ", TRUE, MAKEARRAY(COLUMNS(TEXTSPLIT(G789, ",",, TRUE)), COLUMNS(TEXTSPLIT(H789, ",",, TRUE)), LAMBDA(_xlpm.ri,_xlpm.gi, TRIM(INDEX(TEXTSPLIT(G789, ",",, TRUE), 1, _xlpm.ri)) &amp; "_" &amp; TRIM(INDEX(TEXTSPLIT(H789, ",",, TRUE), 1, _xlpm.gi))))), "")</f>
        <v/>
      </c>
    </row>
    <row r="790" ht="15.75" customHeight="1">
      <c r="B790" s="18"/>
      <c r="I790" s="8" t="str">
        <f t="array" ref="I790">IFERROR(TEXTJOIN(", ", TRUE, MAKEARRAY(COLUMNS(TEXTSPLIT(G790, ",",, TRUE)), COLUMNS(TEXTSPLIT(H790, ",",, TRUE)), LAMBDA(_xlpm.ri,_xlpm.gi, TRIM(INDEX(TEXTSPLIT(G790, ",",, TRUE), 1, _xlpm.ri)) &amp; "_" &amp; TRIM(INDEX(TEXTSPLIT(H790, ",",, TRUE), 1, _xlpm.gi))))), "")</f>
        <v/>
      </c>
    </row>
    <row r="791" ht="15.75" customHeight="1">
      <c r="B791" s="18"/>
      <c r="I791" s="8" t="str">
        <f t="array" ref="I791">IFERROR(TEXTJOIN(", ", TRUE, MAKEARRAY(COLUMNS(TEXTSPLIT(G791, ",",, TRUE)), COLUMNS(TEXTSPLIT(H791, ",",, TRUE)), LAMBDA(_xlpm.ri,_xlpm.gi, TRIM(INDEX(TEXTSPLIT(G791, ",",, TRUE), 1, _xlpm.ri)) &amp; "_" &amp; TRIM(INDEX(TEXTSPLIT(H791, ",",, TRUE), 1, _xlpm.gi))))), "")</f>
        <v/>
      </c>
    </row>
    <row r="792" ht="15.75" customHeight="1">
      <c r="B792" s="18"/>
      <c r="I792" s="8" t="str">
        <f t="array" ref="I792">IFERROR(TEXTJOIN(", ", TRUE, MAKEARRAY(COLUMNS(TEXTSPLIT(G792, ",",, TRUE)), COLUMNS(TEXTSPLIT(H792, ",",, TRUE)), LAMBDA(_xlpm.ri,_xlpm.gi, TRIM(INDEX(TEXTSPLIT(G792, ",",, TRUE), 1, _xlpm.ri)) &amp; "_" &amp; TRIM(INDEX(TEXTSPLIT(H792, ",",, TRUE), 1, _xlpm.gi))))), "")</f>
        <v/>
      </c>
    </row>
    <row r="793" ht="15.75" customHeight="1">
      <c r="B793" s="18"/>
      <c r="I793" s="8" t="str">
        <f t="array" ref="I793">IFERROR(TEXTJOIN(", ", TRUE, MAKEARRAY(COLUMNS(TEXTSPLIT(G793, ",",, TRUE)), COLUMNS(TEXTSPLIT(H793, ",",, TRUE)), LAMBDA(_xlpm.ri,_xlpm.gi, TRIM(INDEX(TEXTSPLIT(G793, ",",, TRUE), 1, _xlpm.ri)) &amp; "_" &amp; TRIM(INDEX(TEXTSPLIT(H793, ",",, TRUE), 1, _xlpm.gi))))), "")</f>
        <v/>
      </c>
    </row>
    <row r="794" ht="15.75" customHeight="1">
      <c r="B794" s="18"/>
      <c r="I794" s="8" t="str">
        <f t="array" ref="I794">IFERROR(TEXTJOIN(", ", TRUE, MAKEARRAY(COLUMNS(TEXTSPLIT(G794, ",",, TRUE)), COLUMNS(TEXTSPLIT(H794, ",",, TRUE)), LAMBDA(_xlpm.ri,_xlpm.gi, TRIM(INDEX(TEXTSPLIT(G794, ",",, TRUE), 1, _xlpm.ri)) &amp; "_" &amp; TRIM(INDEX(TEXTSPLIT(H794, ",",, TRUE), 1, _xlpm.gi))))), "")</f>
        <v/>
      </c>
    </row>
    <row r="795" ht="15.75" customHeight="1">
      <c r="B795" s="18"/>
      <c r="I795" s="8" t="str">
        <f t="array" ref="I795">IFERROR(TEXTJOIN(", ", TRUE, MAKEARRAY(COLUMNS(TEXTSPLIT(G795, ",",, TRUE)), COLUMNS(TEXTSPLIT(H795, ",",, TRUE)), LAMBDA(_xlpm.ri,_xlpm.gi, TRIM(INDEX(TEXTSPLIT(G795, ",",, TRUE), 1, _xlpm.ri)) &amp; "_" &amp; TRIM(INDEX(TEXTSPLIT(H795, ",",, TRUE), 1, _xlpm.gi))))), "")</f>
        <v/>
      </c>
    </row>
    <row r="796" ht="15.75" customHeight="1">
      <c r="B796" s="18"/>
      <c r="I796" s="8" t="str">
        <f t="array" ref="I796">IFERROR(TEXTJOIN(", ", TRUE, MAKEARRAY(COLUMNS(TEXTSPLIT(G796, ",",, TRUE)), COLUMNS(TEXTSPLIT(H796, ",",, TRUE)), LAMBDA(_xlpm.ri,_xlpm.gi, TRIM(INDEX(TEXTSPLIT(G796, ",",, TRUE), 1, _xlpm.ri)) &amp; "_" &amp; TRIM(INDEX(TEXTSPLIT(H796, ",",, TRUE), 1, _xlpm.gi))))), "")</f>
        <v/>
      </c>
    </row>
    <row r="797" ht="15.75" customHeight="1">
      <c r="B797" s="18"/>
      <c r="I797" s="8" t="str">
        <f t="array" ref="I797">IFERROR(TEXTJOIN(", ", TRUE, MAKEARRAY(COLUMNS(TEXTSPLIT(G797, ",",, TRUE)), COLUMNS(TEXTSPLIT(H797, ",",, TRUE)), LAMBDA(_xlpm.ri,_xlpm.gi, TRIM(INDEX(TEXTSPLIT(G797, ",",, TRUE), 1, _xlpm.ri)) &amp; "_" &amp; TRIM(INDEX(TEXTSPLIT(H797, ",",, TRUE), 1, _xlpm.gi))))), "")</f>
        <v/>
      </c>
    </row>
    <row r="798" ht="15.75" customHeight="1">
      <c r="B798" s="18"/>
      <c r="I798" s="8" t="str">
        <f t="array" ref="I798">IFERROR(TEXTJOIN(", ", TRUE, MAKEARRAY(COLUMNS(TEXTSPLIT(G798, ",",, TRUE)), COLUMNS(TEXTSPLIT(H798, ",",, TRUE)), LAMBDA(_xlpm.ri,_xlpm.gi, TRIM(INDEX(TEXTSPLIT(G798, ",",, TRUE), 1, _xlpm.ri)) &amp; "_" &amp; TRIM(INDEX(TEXTSPLIT(H798, ",",, TRUE), 1, _xlpm.gi))))), "")</f>
        <v/>
      </c>
    </row>
    <row r="799" ht="15.75" customHeight="1">
      <c r="B799" s="18"/>
      <c r="I799" s="8" t="str">
        <f t="array" ref="I799">IFERROR(TEXTJOIN(", ", TRUE, MAKEARRAY(COLUMNS(TEXTSPLIT(G799, ",",, TRUE)), COLUMNS(TEXTSPLIT(H799, ",",, TRUE)), LAMBDA(_xlpm.ri,_xlpm.gi, TRIM(INDEX(TEXTSPLIT(G799, ",",, TRUE), 1, _xlpm.ri)) &amp; "_" &amp; TRIM(INDEX(TEXTSPLIT(H799, ",",, TRUE), 1, _xlpm.gi))))), "")</f>
        <v/>
      </c>
    </row>
    <row r="800" ht="15.75" customHeight="1">
      <c r="B800" s="18"/>
      <c r="I800" s="8" t="str">
        <f t="array" ref="I800">IFERROR(TEXTJOIN(", ", TRUE, MAKEARRAY(COLUMNS(TEXTSPLIT(G800, ",",, TRUE)), COLUMNS(TEXTSPLIT(H800, ",",, TRUE)), LAMBDA(_xlpm.ri,_xlpm.gi, TRIM(INDEX(TEXTSPLIT(G800, ",",, TRUE), 1, _xlpm.ri)) &amp; "_" &amp; TRIM(INDEX(TEXTSPLIT(H800, ",",, TRUE), 1, _xlpm.gi))))), "")</f>
        <v/>
      </c>
    </row>
    <row r="801" ht="15.75" customHeight="1">
      <c r="B801" s="18"/>
      <c r="I801" s="8" t="str">
        <f t="array" ref="I801">IFERROR(TEXTJOIN(", ", TRUE, MAKEARRAY(COLUMNS(TEXTSPLIT(G801, ",",, TRUE)), COLUMNS(TEXTSPLIT(H801, ",",, TRUE)), LAMBDA(_xlpm.ri,_xlpm.gi, TRIM(INDEX(TEXTSPLIT(G801, ",",, TRUE), 1, _xlpm.ri)) &amp; "_" &amp; TRIM(INDEX(TEXTSPLIT(H801, ",",, TRUE), 1, _xlpm.gi))))), "")</f>
        <v/>
      </c>
    </row>
    <row r="802" ht="15.75" customHeight="1">
      <c r="B802" s="18"/>
      <c r="I802" s="8" t="str">
        <f t="array" ref="I802">IFERROR(TEXTJOIN(", ", TRUE, MAKEARRAY(COLUMNS(TEXTSPLIT(G802, ",",, TRUE)), COLUMNS(TEXTSPLIT(H802, ",",, TRUE)), LAMBDA(_xlpm.ri,_xlpm.gi, TRIM(INDEX(TEXTSPLIT(G802, ",",, TRUE), 1, _xlpm.ri)) &amp; "_" &amp; TRIM(INDEX(TEXTSPLIT(H802, ",",, TRUE), 1, _xlpm.gi))))), "")</f>
        <v/>
      </c>
    </row>
    <row r="803" ht="15.75" customHeight="1">
      <c r="B803" s="18"/>
      <c r="I803" s="8" t="str">
        <f t="array" ref="I803">IFERROR(TEXTJOIN(", ", TRUE, MAKEARRAY(COLUMNS(TEXTSPLIT(G803, ",",, TRUE)), COLUMNS(TEXTSPLIT(H803, ",",, TRUE)), LAMBDA(_xlpm.ri,_xlpm.gi, TRIM(INDEX(TEXTSPLIT(G803, ",",, TRUE), 1, _xlpm.ri)) &amp; "_" &amp; TRIM(INDEX(TEXTSPLIT(H803, ",",, TRUE), 1, _xlpm.gi))))), "")</f>
        <v/>
      </c>
    </row>
    <row r="804" ht="15.75" customHeight="1">
      <c r="B804" s="18"/>
      <c r="I804" s="8" t="str">
        <f t="array" ref="I804">IFERROR(TEXTJOIN(", ", TRUE, MAKEARRAY(COLUMNS(TEXTSPLIT(G804, ",",, TRUE)), COLUMNS(TEXTSPLIT(H804, ",",, TRUE)), LAMBDA(_xlpm.ri,_xlpm.gi, TRIM(INDEX(TEXTSPLIT(G804, ",",, TRUE), 1, _xlpm.ri)) &amp; "_" &amp; TRIM(INDEX(TEXTSPLIT(H804, ",",, TRUE), 1, _xlpm.gi))))), "")</f>
        <v/>
      </c>
    </row>
    <row r="805" ht="15.75" customHeight="1">
      <c r="B805" s="18"/>
      <c r="I805" s="8" t="str">
        <f t="array" ref="I805">IFERROR(TEXTJOIN(", ", TRUE, MAKEARRAY(COLUMNS(TEXTSPLIT(G805, ",",, TRUE)), COLUMNS(TEXTSPLIT(H805, ",",, TRUE)), LAMBDA(_xlpm.ri,_xlpm.gi, TRIM(INDEX(TEXTSPLIT(G805, ",",, TRUE), 1, _xlpm.ri)) &amp; "_" &amp; TRIM(INDEX(TEXTSPLIT(H805, ",",, TRUE), 1, _xlpm.gi))))), "")</f>
        <v/>
      </c>
    </row>
    <row r="806" ht="15.75" customHeight="1">
      <c r="B806" s="18"/>
      <c r="I806" s="8" t="str">
        <f t="array" ref="I806">IFERROR(TEXTJOIN(", ", TRUE, MAKEARRAY(COLUMNS(TEXTSPLIT(G806, ",",, TRUE)), COLUMNS(TEXTSPLIT(H806, ",",, TRUE)), LAMBDA(_xlpm.ri,_xlpm.gi, TRIM(INDEX(TEXTSPLIT(G806, ",",, TRUE), 1, _xlpm.ri)) &amp; "_" &amp; TRIM(INDEX(TEXTSPLIT(H806, ",",, TRUE), 1, _xlpm.gi))))), "")</f>
        <v/>
      </c>
    </row>
    <row r="807" ht="15.75" customHeight="1">
      <c r="B807" s="18"/>
      <c r="I807" s="8" t="str">
        <f t="array" ref="I807">IFERROR(TEXTJOIN(", ", TRUE, MAKEARRAY(COLUMNS(TEXTSPLIT(G807, ",",, TRUE)), COLUMNS(TEXTSPLIT(H807, ",",, TRUE)), LAMBDA(_xlpm.ri,_xlpm.gi, TRIM(INDEX(TEXTSPLIT(G807, ",",, TRUE), 1, _xlpm.ri)) &amp; "_" &amp; TRIM(INDEX(TEXTSPLIT(H807, ",",, TRUE), 1, _xlpm.gi))))), "")</f>
        <v/>
      </c>
    </row>
    <row r="808" ht="15.75" customHeight="1">
      <c r="B808" s="18"/>
      <c r="I808" s="8" t="str">
        <f t="array" ref="I808">IFERROR(TEXTJOIN(", ", TRUE, MAKEARRAY(COLUMNS(TEXTSPLIT(G808, ",",, TRUE)), COLUMNS(TEXTSPLIT(H808, ",",, TRUE)), LAMBDA(_xlpm.ri,_xlpm.gi, TRIM(INDEX(TEXTSPLIT(G808, ",",, TRUE), 1, _xlpm.ri)) &amp; "_" &amp; TRIM(INDEX(TEXTSPLIT(H808, ",",, TRUE), 1, _xlpm.gi))))), "")</f>
        <v/>
      </c>
    </row>
    <row r="809" ht="15.75" customHeight="1">
      <c r="B809" s="18"/>
      <c r="I809" s="8" t="str">
        <f t="array" ref="I809">IFERROR(TEXTJOIN(", ", TRUE, MAKEARRAY(COLUMNS(TEXTSPLIT(G809, ",",, TRUE)), COLUMNS(TEXTSPLIT(H809, ",",, TRUE)), LAMBDA(_xlpm.ri,_xlpm.gi, TRIM(INDEX(TEXTSPLIT(G809, ",",, TRUE), 1, _xlpm.ri)) &amp; "_" &amp; TRIM(INDEX(TEXTSPLIT(H809, ",",, TRUE), 1, _xlpm.gi))))), "")</f>
        <v/>
      </c>
    </row>
    <row r="810" ht="15.75" customHeight="1">
      <c r="B810" s="18"/>
      <c r="I810" s="8" t="str">
        <f t="array" ref="I810">IFERROR(TEXTJOIN(", ", TRUE, MAKEARRAY(COLUMNS(TEXTSPLIT(G810, ",",, TRUE)), COLUMNS(TEXTSPLIT(H810, ",",, TRUE)), LAMBDA(_xlpm.ri,_xlpm.gi, TRIM(INDEX(TEXTSPLIT(G810, ",",, TRUE), 1, _xlpm.ri)) &amp; "_" &amp; TRIM(INDEX(TEXTSPLIT(H810, ",",, TRUE), 1, _xlpm.gi))))), "")</f>
        <v/>
      </c>
    </row>
    <row r="811" ht="15.75" customHeight="1">
      <c r="B811" s="18"/>
      <c r="I811" s="8" t="str">
        <f t="array" ref="I811">IFERROR(TEXTJOIN(", ", TRUE, MAKEARRAY(COLUMNS(TEXTSPLIT(G811, ",",, TRUE)), COLUMNS(TEXTSPLIT(H811, ",",, TRUE)), LAMBDA(_xlpm.ri,_xlpm.gi, TRIM(INDEX(TEXTSPLIT(G811, ",",, TRUE), 1, _xlpm.ri)) &amp; "_" &amp; TRIM(INDEX(TEXTSPLIT(H811, ",",, TRUE), 1, _xlpm.gi))))), "")</f>
        <v/>
      </c>
    </row>
    <row r="812" ht="15.75" customHeight="1">
      <c r="B812" s="18"/>
      <c r="I812" s="8" t="str">
        <f t="array" ref="I812">IFERROR(TEXTJOIN(", ", TRUE, MAKEARRAY(COLUMNS(TEXTSPLIT(G812, ",",, TRUE)), COLUMNS(TEXTSPLIT(H812, ",",, TRUE)), LAMBDA(_xlpm.ri,_xlpm.gi, TRIM(INDEX(TEXTSPLIT(G812, ",",, TRUE), 1, _xlpm.ri)) &amp; "_" &amp; TRIM(INDEX(TEXTSPLIT(H812, ",",, TRUE), 1, _xlpm.gi))))), "")</f>
        <v/>
      </c>
    </row>
    <row r="813" ht="15.75" customHeight="1">
      <c r="B813" s="18"/>
      <c r="I813" s="8" t="str">
        <f t="array" ref="I813">IFERROR(TEXTJOIN(", ", TRUE, MAKEARRAY(COLUMNS(TEXTSPLIT(G813, ",",, TRUE)), COLUMNS(TEXTSPLIT(H813, ",",, TRUE)), LAMBDA(_xlpm.ri,_xlpm.gi, TRIM(INDEX(TEXTSPLIT(G813, ",",, TRUE), 1, _xlpm.ri)) &amp; "_" &amp; TRIM(INDEX(TEXTSPLIT(H813, ",",, TRUE), 1, _xlpm.gi))))), "")</f>
        <v/>
      </c>
    </row>
    <row r="814" ht="15.75" customHeight="1">
      <c r="B814" s="18"/>
      <c r="I814" s="8" t="str">
        <f t="array" ref="I814">IFERROR(TEXTJOIN(", ", TRUE, MAKEARRAY(COLUMNS(TEXTSPLIT(G814, ",",, TRUE)), COLUMNS(TEXTSPLIT(H814, ",",, TRUE)), LAMBDA(_xlpm.ri,_xlpm.gi, TRIM(INDEX(TEXTSPLIT(G814, ",",, TRUE), 1, _xlpm.ri)) &amp; "_" &amp; TRIM(INDEX(TEXTSPLIT(H814, ",",, TRUE), 1, _xlpm.gi))))), "")</f>
        <v/>
      </c>
    </row>
    <row r="815" ht="15.75" customHeight="1">
      <c r="B815" s="18"/>
      <c r="I815" s="8" t="str">
        <f t="array" ref="I815">IFERROR(TEXTJOIN(", ", TRUE, MAKEARRAY(COLUMNS(TEXTSPLIT(G815, ",",, TRUE)), COLUMNS(TEXTSPLIT(H815, ",",, TRUE)), LAMBDA(_xlpm.ri,_xlpm.gi, TRIM(INDEX(TEXTSPLIT(G815, ",",, TRUE), 1, _xlpm.ri)) &amp; "_" &amp; TRIM(INDEX(TEXTSPLIT(H815, ",",, TRUE), 1, _xlpm.gi))))), "")</f>
        <v/>
      </c>
    </row>
    <row r="816" ht="15.75" customHeight="1">
      <c r="B816" s="18"/>
      <c r="I816" s="8" t="str">
        <f t="array" ref="I816">IFERROR(TEXTJOIN(", ", TRUE, MAKEARRAY(COLUMNS(TEXTSPLIT(G816, ",",, TRUE)), COLUMNS(TEXTSPLIT(H816, ",",, TRUE)), LAMBDA(_xlpm.ri,_xlpm.gi, TRIM(INDEX(TEXTSPLIT(G816, ",",, TRUE), 1, _xlpm.ri)) &amp; "_" &amp; TRIM(INDEX(TEXTSPLIT(H816, ",",, TRUE), 1, _xlpm.gi))))), "")</f>
        <v/>
      </c>
    </row>
    <row r="817" ht="15.75" customHeight="1">
      <c r="B817" s="18"/>
      <c r="I817" s="8" t="str">
        <f t="array" ref="I817">IFERROR(TEXTJOIN(", ", TRUE, MAKEARRAY(COLUMNS(TEXTSPLIT(G817, ",",, TRUE)), COLUMNS(TEXTSPLIT(H817, ",",, TRUE)), LAMBDA(_xlpm.ri,_xlpm.gi, TRIM(INDEX(TEXTSPLIT(G817, ",",, TRUE), 1, _xlpm.ri)) &amp; "_" &amp; TRIM(INDEX(TEXTSPLIT(H817, ",",, TRUE), 1, _xlpm.gi))))), "")</f>
        <v/>
      </c>
    </row>
    <row r="818" ht="15.75" customHeight="1">
      <c r="B818" s="18"/>
      <c r="I818" s="8" t="str">
        <f t="array" ref="I818">IFERROR(TEXTJOIN(", ", TRUE, MAKEARRAY(COLUMNS(TEXTSPLIT(G818, ",",, TRUE)), COLUMNS(TEXTSPLIT(H818, ",",, TRUE)), LAMBDA(_xlpm.ri,_xlpm.gi, TRIM(INDEX(TEXTSPLIT(G818, ",",, TRUE), 1, _xlpm.ri)) &amp; "_" &amp; TRIM(INDEX(TEXTSPLIT(H818, ",",, TRUE), 1, _xlpm.gi))))), "")</f>
        <v/>
      </c>
    </row>
    <row r="819" ht="15.75" customHeight="1">
      <c r="B819" s="18"/>
      <c r="I819" s="8" t="str">
        <f t="array" ref="I819">IFERROR(TEXTJOIN(", ", TRUE, MAKEARRAY(COLUMNS(TEXTSPLIT(G819, ",",, TRUE)), COLUMNS(TEXTSPLIT(H819, ",",, TRUE)), LAMBDA(_xlpm.ri,_xlpm.gi, TRIM(INDEX(TEXTSPLIT(G819, ",",, TRUE), 1, _xlpm.ri)) &amp; "_" &amp; TRIM(INDEX(TEXTSPLIT(H819, ",",, TRUE), 1, _xlpm.gi))))), "")</f>
        <v/>
      </c>
    </row>
    <row r="820" ht="15.75" customHeight="1">
      <c r="B820" s="18"/>
      <c r="I820" s="8" t="str">
        <f t="array" ref="I820">IFERROR(TEXTJOIN(", ", TRUE, MAKEARRAY(COLUMNS(TEXTSPLIT(G820, ",",, TRUE)), COLUMNS(TEXTSPLIT(H820, ",",, TRUE)), LAMBDA(_xlpm.ri,_xlpm.gi, TRIM(INDEX(TEXTSPLIT(G820, ",",, TRUE), 1, _xlpm.ri)) &amp; "_" &amp; TRIM(INDEX(TEXTSPLIT(H820, ",",, TRUE), 1, _xlpm.gi))))), "")</f>
        <v/>
      </c>
    </row>
    <row r="821" ht="15.75" customHeight="1">
      <c r="B821" s="18"/>
      <c r="I821" s="8" t="str">
        <f t="array" ref="I821">IFERROR(TEXTJOIN(", ", TRUE, MAKEARRAY(COLUMNS(TEXTSPLIT(G821, ",",, TRUE)), COLUMNS(TEXTSPLIT(H821, ",",, TRUE)), LAMBDA(_xlpm.ri,_xlpm.gi, TRIM(INDEX(TEXTSPLIT(G821, ",",, TRUE), 1, _xlpm.ri)) &amp; "_" &amp; TRIM(INDEX(TEXTSPLIT(H821, ",",, TRUE), 1, _xlpm.gi))))), "")</f>
        <v/>
      </c>
    </row>
    <row r="822" ht="15.75" customHeight="1">
      <c r="B822" s="18"/>
      <c r="I822" s="8" t="str">
        <f t="array" ref="I822">IFERROR(TEXTJOIN(", ", TRUE, MAKEARRAY(COLUMNS(TEXTSPLIT(G822, ",",, TRUE)), COLUMNS(TEXTSPLIT(H822, ",",, TRUE)), LAMBDA(_xlpm.ri,_xlpm.gi, TRIM(INDEX(TEXTSPLIT(G822, ",",, TRUE), 1, _xlpm.ri)) &amp; "_" &amp; TRIM(INDEX(TEXTSPLIT(H822, ",",, TRUE), 1, _xlpm.gi))))), "")</f>
        <v/>
      </c>
    </row>
    <row r="823" ht="15.75" customHeight="1">
      <c r="B823" s="18"/>
      <c r="I823" s="8" t="str">
        <f t="array" ref="I823">IFERROR(TEXTJOIN(", ", TRUE, MAKEARRAY(COLUMNS(TEXTSPLIT(G823, ",",, TRUE)), COLUMNS(TEXTSPLIT(H823, ",",, TRUE)), LAMBDA(_xlpm.ri,_xlpm.gi, TRIM(INDEX(TEXTSPLIT(G823, ",",, TRUE), 1, _xlpm.ri)) &amp; "_" &amp; TRIM(INDEX(TEXTSPLIT(H823, ",",, TRUE), 1, _xlpm.gi))))), "")</f>
        <v/>
      </c>
    </row>
    <row r="824" ht="15.75" customHeight="1">
      <c r="B824" s="18"/>
      <c r="I824" s="8" t="str">
        <f t="array" ref="I824">IFERROR(TEXTJOIN(", ", TRUE, MAKEARRAY(COLUMNS(TEXTSPLIT(G824, ",",, TRUE)), COLUMNS(TEXTSPLIT(H824, ",",, TRUE)), LAMBDA(_xlpm.ri,_xlpm.gi, TRIM(INDEX(TEXTSPLIT(G824, ",",, TRUE), 1, _xlpm.ri)) &amp; "_" &amp; TRIM(INDEX(TEXTSPLIT(H824, ",",, TRUE), 1, _xlpm.gi))))), "")</f>
        <v/>
      </c>
    </row>
    <row r="825" ht="15.75" customHeight="1">
      <c r="B825" s="18"/>
      <c r="I825" s="8" t="str">
        <f t="array" ref="I825">IFERROR(TEXTJOIN(", ", TRUE, MAKEARRAY(COLUMNS(TEXTSPLIT(G825, ",",, TRUE)), COLUMNS(TEXTSPLIT(H825, ",",, TRUE)), LAMBDA(_xlpm.ri,_xlpm.gi, TRIM(INDEX(TEXTSPLIT(G825, ",",, TRUE), 1, _xlpm.ri)) &amp; "_" &amp; TRIM(INDEX(TEXTSPLIT(H825, ",",, TRUE), 1, _xlpm.gi))))), "")</f>
        <v/>
      </c>
    </row>
    <row r="826" ht="15.75" customHeight="1">
      <c r="B826" s="18"/>
      <c r="I826" s="8" t="str">
        <f t="array" ref="I826">IFERROR(TEXTJOIN(", ", TRUE, MAKEARRAY(COLUMNS(TEXTSPLIT(G826, ",",, TRUE)), COLUMNS(TEXTSPLIT(H826, ",",, TRUE)), LAMBDA(_xlpm.ri,_xlpm.gi, TRIM(INDEX(TEXTSPLIT(G826, ",",, TRUE), 1, _xlpm.ri)) &amp; "_" &amp; TRIM(INDEX(TEXTSPLIT(H826, ",",, TRUE), 1, _xlpm.gi))))), "")</f>
        <v/>
      </c>
    </row>
    <row r="827" ht="15.75" customHeight="1">
      <c r="B827" s="18"/>
      <c r="I827" s="8" t="str">
        <f t="array" ref="I827">IFERROR(TEXTJOIN(", ", TRUE, MAKEARRAY(COLUMNS(TEXTSPLIT(G827, ",",, TRUE)), COLUMNS(TEXTSPLIT(H827, ",",, TRUE)), LAMBDA(_xlpm.ri,_xlpm.gi, TRIM(INDEX(TEXTSPLIT(G827, ",",, TRUE), 1, _xlpm.ri)) &amp; "_" &amp; TRIM(INDEX(TEXTSPLIT(H827, ",",, TRUE), 1, _xlpm.gi))))), "")</f>
        <v/>
      </c>
    </row>
    <row r="828" ht="15.75" customHeight="1">
      <c r="B828" s="18"/>
      <c r="I828" s="8" t="str">
        <f t="array" ref="I828">IFERROR(TEXTJOIN(", ", TRUE, MAKEARRAY(COLUMNS(TEXTSPLIT(G828, ",",, TRUE)), COLUMNS(TEXTSPLIT(H828, ",",, TRUE)), LAMBDA(_xlpm.ri,_xlpm.gi, TRIM(INDEX(TEXTSPLIT(G828, ",",, TRUE), 1, _xlpm.ri)) &amp; "_" &amp; TRIM(INDEX(TEXTSPLIT(H828, ",",, TRUE), 1, _xlpm.gi))))), "")</f>
        <v/>
      </c>
    </row>
    <row r="829" ht="15.75" customHeight="1">
      <c r="B829" s="18"/>
      <c r="I829" s="8" t="str">
        <f t="array" ref="I829">IFERROR(TEXTJOIN(", ", TRUE, MAKEARRAY(COLUMNS(TEXTSPLIT(G829, ",",, TRUE)), COLUMNS(TEXTSPLIT(H829, ",",, TRUE)), LAMBDA(_xlpm.ri,_xlpm.gi, TRIM(INDEX(TEXTSPLIT(G829, ",",, TRUE), 1, _xlpm.ri)) &amp; "_" &amp; TRIM(INDEX(TEXTSPLIT(H829, ",",, TRUE), 1, _xlpm.gi))))), "")</f>
        <v/>
      </c>
    </row>
    <row r="830" ht="15.75" customHeight="1">
      <c r="B830" s="18"/>
      <c r="I830" s="8" t="str">
        <f t="array" ref="I830">IFERROR(TEXTJOIN(", ", TRUE, MAKEARRAY(COLUMNS(TEXTSPLIT(G830, ",",, TRUE)), COLUMNS(TEXTSPLIT(H830, ",",, TRUE)), LAMBDA(_xlpm.ri,_xlpm.gi, TRIM(INDEX(TEXTSPLIT(G830, ",",, TRUE), 1, _xlpm.ri)) &amp; "_" &amp; TRIM(INDEX(TEXTSPLIT(H830, ",",, TRUE), 1, _xlpm.gi))))), "")</f>
        <v/>
      </c>
    </row>
    <row r="831" ht="15.75" customHeight="1">
      <c r="B831" s="18"/>
      <c r="I831" s="8" t="str">
        <f t="array" ref="I831">IFERROR(TEXTJOIN(", ", TRUE, MAKEARRAY(COLUMNS(TEXTSPLIT(G831, ",",, TRUE)), COLUMNS(TEXTSPLIT(H831, ",",, TRUE)), LAMBDA(_xlpm.ri,_xlpm.gi, TRIM(INDEX(TEXTSPLIT(G831, ",",, TRUE), 1, _xlpm.ri)) &amp; "_" &amp; TRIM(INDEX(TEXTSPLIT(H831, ",",, TRUE), 1, _xlpm.gi))))), "")</f>
        <v/>
      </c>
    </row>
    <row r="832" ht="15.75" customHeight="1">
      <c r="B832" s="18"/>
      <c r="I832" s="8" t="str">
        <f t="array" ref="I832">IFERROR(TEXTJOIN(", ", TRUE, MAKEARRAY(COLUMNS(TEXTSPLIT(G832, ",",, TRUE)), COLUMNS(TEXTSPLIT(H832, ",",, TRUE)), LAMBDA(_xlpm.ri,_xlpm.gi, TRIM(INDEX(TEXTSPLIT(G832, ",",, TRUE), 1, _xlpm.ri)) &amp; "_" &amp; TRIM(INDEX(TEXTSPLIT(H832, ",",, TRUE), 1, _xlpm.gi))))), "")</f>
        <v/>
      </c>
    </row>
    <row r="833" ht="15.75" customHeight="1">
      <c r="B833" s="18"/>
      <c r="I833" s="8" t="str">
        <f t="array" ref="I833">IFERROR(TEXTJOIN(", ", TRUE, MAKEARRAY(COLUMNS(TEXTSPLIT(G833, ",",, TRUE)), COLUMNS(TEXTSPLIT(H833, ",",, TRUE)), LAMBDA(_xlpm.ri,_xlpm.gi, TRIM(INDEX(TEXTSPLIT(G833, ",",, TRUE), 1, _xlpm.ri)) &amp; "_" &amp; TRIM(INDEX(TEXTSPLIT(H833, ",",, TRUE), 1, _xlpm.gi))))), "")</f>
        <v/>
      </c>
    </row>
    <row r="834" ht="15.75" customHeight="1">
      <c r="B834" s="18"/>
      <c r="I834" s="8" t="str">
        <f t="array" ref="I834">IFERROR(TEXTJOIN(", ", TRUE, MAKEARRAY(COLUMNS(TEXTSPLIT(G834, ",",, TRUE)), COLUMNS(TEXTSPLIT(H834, ",",, TRUE)), LAMBDA(_xlpm.ri,_xlpm.gi, TRIM(INDEX(TEXTSPLIT(G834, ",",, TRUE), 1, _xlpm.ri)) &amp; "_" &amp; TRIM(INDEX(TEXTSPLIT(H834, ",",, TRUE), 1, _xlpm.gi))))), "")</f>
        <v/>
      </c>
    </row>
    <row r="835" ht="15.75" customHeight="1">
      <c r="B835" s="18"/>
      <c r="I835" s="8" t="str">
        <f t="array" ref="I835">IFERROR(TEXTJOIN(", ", TRUE, MAKEARRAY(COLUMNS(TEXTSPLIT(G835, ",",, TRUE)), COLUMNS(TEXTSPLIT(H835, ",",, TRUE)), LAMBDA(_xlpm.ri,_xlpm.gi, TRIM(INDEX(TEXTSPLIT(G835, ",",, TRUE), 1, _xlpm.ri)) &amp; "_" &amp; TRIM(INDEX(TEXTSPLIT(H835, ",",, TRUE), 1, _xlpm.gi))))), "")</f>
        <v/>
      </c>
    </row>
    <row r="836" ht="15.75" customHeight="1">
      <c r="B836" s="18"/>
      <c r="I836" s="8" t="str">
        <f t="array" ref="I836">IFERROR(TEXTJOIN(", ", TRUE, MAKEARRAY(COLUMNS(TEXTSPLIT(G836, ",",, TRUE)), COLUMNS(TEXTSPLIT(H836, ",",, TRUE)), LAMBDA(_xlpm.ri,_xlpm.gi, TRIM(INDEX(TEXTSPLIT(G836, ",",, TRUE), 1, _xlpm.ri)) &amp; "_" &amp; TRIM(INDEX(TEXTSPLIT(H836, ",",, TRUE), 1, _xlpm.gi))))), "")</f>
        <v/>
      </c>
    </row>
    <row r="837" ht="15.75" customHeight="1">
      <c r="B837" s="18"/>
      <c r="I837" s="8" t="str">
        <f t="array" ref="I837">IFERROR(TEXTJOIN(", ", TRUE, MAKEARRAY(COLUMNS(TEXTSPLIT(G837, ",",, TRUE)), COLUMNS(TEXTSPLIT(H837, ",",, TRUE)), LAMBDA(_xlpm.ri,_xlpm.gi, TRIM(INDEX(TEXTSPLIT(G837, ",",, TRUE), 1, _xlpm.ri)) &amp; "_" &amp; TRIM(INDEX(TEXTSPLIT(H837, ",",, TRUE), 1, _xlpm.gi))))), "")</f>
        <v/>
      </c>
    </row>
    <row r="838" ht="15.75" customHeight="1">
      <c r="B838" s="18"/>
      <c r="I838" s="8" t="str">
        <f t="array" ref="I838">IFERROR(TEXTJOIN(", ", TRUE, MAKEARRAY(COLUMNS(TEXTSPLIT(G838, ",",, TRUE)), COLUMNS(TEXTSPLIT(H838, ",",, TRUE)), LAMBDA(_xlpm.ri,_xlpm.gi, TRIM(INDEX(TEXTSPLIT(G838, ",",, TRUE), 1, _xlpm.ri)) &amp; "_" &amp; TRIM(INDEX(TEXTSPLIT(H838, ",",, TRUE), 1, _xlpm.gi))))), "")</f>
        <v/>
      </c>
    </row>
    <row r="839" ht="15.75" customHeight="1">
      <c r="B839" s="18"/>
      <c r="I839" s="8" t="str">
        <f t="array" ref="I839">IFERROR(TEXTJOIN(", ", TRUE, MAKEARRAY(COLUMNS(TEXTSPLIT(G839, ",",, TRUE)), COLUMNS(TEXTSPLIT(H839, ",",, TRUE)), LAMBDA(_xlpm.ri,_xlpm.gi, TRIM(INDEX(TEXTSPLIT(G839, ",",, TRUE), 1, _xlpm.ri)) &amp; "_" &amp; TRIM(INDEX(TEXTSPLIT(H839, ",",, TRUE), 1, _xlpm.gi))))), "")</f>
        <v/>
      </c>
    </row>
    <row r="840" ht="15.75" customHeight="1">
      <c r="B840" s="18"/>
      <c r="I840" s="8" t="str">
        <f t="array" ref="I840">IFERROR(TEXTJOIN(", ", TRUE, MAKEARRAY(COLUMNS(TEXTSPLIT(G840, ",",, TRUE)), COLUMNS(TEXTSPLIT(H840, ",",, TRUE)), LAMBDA(_xlpm.ri,_xlpm.gi, TRIM(INDEX(TEXTSPLIT(G840, ",",, TRUE), 1, _xlpm.ri)) &amp; "_" &amp; TRIM(INDEX(TEXTSPLIT(H840, ",",, TRUE), 1, _xlpm.gi))))), "")</f>
        <v/>
      </c>
    </row>
    <row r="841" ht="15.75" customHeight="1">
      <c r="B841" s="18"/>
      <c r="I841" s="8" t="str">
        <f t="array" ref="I841">IFERROR(TEXTJOIN(", ", TRUE, MAKEARRAY(COLUMNS(TEXTSPLIT(G841, ",",, TRUE)), COLUMNS(TEXTSPLIT(H841, ",",, TRUE)), LAMBDA(_xlpm.ri,_xlpm.gi, TRIM(INDEX(TEXTSPLIT(G841, ",",, TRUE), 1, _xlpm.ri)) &amp; "_" &amp; TRIM(INDEX(TEXTSPLIT(H841, ",",, TRUE), 1, _xlpm.gi))))), "")</f>
        <v/>
      </c>
    </row>
    <row r="842" ht="15.75" customHeight="1">
      <c r="B842" s="18"/>
      <c r="I842" s="8" t="str">
        <f t="array" ref="I842">IFERROR(TEXTJOIN(", ", TRUE, MAKEARRAY(COLUMNS(TEXTSPLIT(G842, ",",, TRUE)), COLUMNS(TEXTSPLIT(H842, ",",, TRUE)), LAMBDA(_xlpm.ri,_xlpm.gi, TRIM(INDEX(TEXTSPLIT(G842, ",",, TRUE), 1, _xlpm.ri)) &amp; "_" &amp; TRIM(INDEX(TEXTSPLIT(H842, ",",, TRUE), 1, _xlpm.gi))))), "")</f>
        <v/>
      </c>
    </row>
    <row r="843" ht="15.75" customHeight="1">
      <c r="B843" s="18"/>
      <c r="I843" s="8" t="str">
        <f t="array" ref="I843">IFERROR(TEXTJOIN(", ", TRUE, MAKEARRAY(COLUMNS(TEXTSPLIT(G843, ",",, TRUE)), COLUMNS(TEXTSPLIT(H843, ",",, TRUE)), LAMBDA(_xlpm.ri,_xlpm.gi, TRIM(INDEX(TEXTSPLIT(G843, ",",, TRUE), 1, _xlpm.ri)) &amp; "_" &amp; TRIM(INDEX(TEXTSPLIT(H843, ",",, TRUE), 1, _xlpm.gi))))), "")</f>
        <v/>
      </c>
    </row>
    <row r="844" ht="15.75" customHeight="1">
      <c r="B844" s="18"/>
      <c r="I844" s="8" t="str">
        <f t="array" ref="I844">IFERROR(TEXTJOIN(", ", TRUE, MAKEARRAY(COLUMNS(TEXTSPLIT(G844, ",",, TRUE)), COLUMNS(TEXTSPLIT(H844, ",",, TRUE)), LAMBDA(_xlpm.ri,_xlpm.gi, TRIM(INDEX(TEXTSPLIT(G844, ",",, TRUE), 1, _xlpm.ri)) &amp; "_" &amp; TRIM(INDEX(TEXTSPLIT(H844, ",",, TRUE), 1, _xlpm.gi))))), "")</f>
        <v/>
      </c>
    </row>
    <row r="845" ht="15.75" customHeight="1">
      <c r="B845" s="18"/>
      <c r="I845" s="8" t="str">
        <f t="array" ref="I845">IFERROR(TEXTJOIN(", ", TRUE, MAKEARRAY(COLUMNS(TEXTSPLIT(G845, ",",, TRUE)), COLUMNS(TEXTSPLIT(H845, ",",, TRUE)), LAMBDA(_xlpm.ri,_xlpm.gi, TRIM(INDEX(TEXTSPLIT(G845, ",",, TRUE), 1, _xlpm.ri)) &amp; "_" &amp; TRIM(INDEX(TEXTSPLIT(H845, ",",, TRUE), 1, _xlpm.gi))))), "")</f>
        <v/>
      </c>
    </row>
    <row r="846" ht="15.75" customHeight="1">
      <c r="B846" s="18"/>
      <c r="I846" s="8" t="str">
        <f t="array" ref="I846">IFERROR(TEXTJOIN(", ", TRUE, MAKEARRAY(COLUMNS(TEXTSPLIT(G846, ",",, TRUE)), COLUMNS(TEXTSPLIT(H846, ",",, TRUE)), LAMBDA(_xlpm.ri,_xlpm.gi, TRIM(INDEX(TEXTSPLIT(G846, ",",, TRUE), 1, _xlpm.ri)) &amp; "_" &amp; TRIM(INDEX(TEXTSPLIT(H846, ",",, TRUE), 1, _xlpm.gi))))), "")</f>
        <v/>
      </c>
    </row>
    <row r="847" ht="15.75" customHeight="1">
      <c r="B847" s="18"/>
      <c r="I847" s="8" t="str">
        <f t="array" ref="I847">IFERROR(TEXTJOIN(", ", TRUE, MAKEARRAY(COLUMNS(TEXTSPLIT(G847, ",",, TRUE)), COLUMNS(TEXTSPLIT(H847, ",",, TRUE)), LAMBDA(_xlpm.ri,_xlpm.gi, TRIM(INDEX(TEXTSPLIT(G847, ",",, TRUE), 1, _xlpm.ri)) &amp; "_" &amp; TRIM(INDEX(TEXTSPLIT(H847, ",",, TRUE), 1, _xlpm.gi))))), "")</f>
        <v/>
      </c>
    </row>
    <row r="848" ht="15.75" customHeight="1">
      <c r="B848" s="18"/>
      <c r="I848" s="8" t="str">
        <f t="array" ref="I848">IFERROR(TEXTJOIN(", ", TRUE, MAKEARRAY(COLUMNS(TEXTSPLIT(G848, ",",, TRUE)), COLUMNS(TEXTSPLIT(H848, ",",, TRUE)), LAMBDA(_xlpm.ri,_xlpm.gi, TRIM(INDEX(TEXTSPLIT(G848, ",",, TRUE), 1, _xlpm.ri)) &amp; "_" &amp; TRIM(INDEX(TEXTSPLIT(H848, ",",, TRUE), 1, _xlpm.gi))))), "")</f>
        <v/>
      </c>
    </row>
    <row r="849" ht="15.75" customHeight="1">
      <c r="B849" s="18"/>
      <c r="I849" s="8" t="str">
        <f t="array" ref="I849">IFERROR(TEXTJOIN(", ", TRUE, MAKEARRAY(COLUMNS(TEXTSPLIT(G849, ",",, TRUE)), COLUMNS(TEXTSPLIT(H849, ",",, TRUE)), LAMBDA(_xlpm.ri,_xlpm.gi, TRIM(INDEX(TEXTSPLIT(G849, ",",, TRUE), 1, _xlpm.ri)) &amp; "_" &amp; TRIM(INDEX(TEXTSPLIT(H849, ",",, TRUE), 1, _xlpm.gi))))), "")</f>
        <v/>
      </c>
    </row>
    <row r="850" ht="15.75" customHeight="1">
      <c r="B850" s="18"/>
      <c r="I850" s="8" t="str">
        <f t="array" ref="I850">IFERROR(TEXTJOIN(", ", TRUE, MAKEARRAY(COLUMNS(TEXTSPLIT(G850, ",",, TRUE)), COLUMNS(TEXTSPLIT(H850, ",",, TRUE)), LAMBDA(_xlpm.ri,_xlpm.gi, TRIM(INDEX(TEXTSPLIT(G850, ",",, TRUE), 1, _xlpm.ri)) &amp; "_" &amp; TRIM(INDEX(TEXTSPLIT(H850, ",",, TRUE), 1, _xlpm.gi))))), "")</f>
        <v/>
      </c>
    </row>
    <row r="851" ht="15.75" customHeight="1">
      <c r="B851" s="18"/>
      <c r="I851" s="8" t="str">
        <f t="array" ref="I851">IFERROR(TEXTJOIN(", ", TRUE, MAKEARRAY(COLUMNS(TEXTSPLIT(G851, ",",, TRUE)), COLUMNS(TEXTSPLIT(H851, ",",, TRUE)), LAMBDA(_xlpm.ri,_xlpm.gi, TRIM(INDEX(TEXTSPLIT(G851, ",",, TRUE), 1, _xlpm.ri)) &amp; "_" &amp; TRIM(INDEX(TEXTSPLIT(H851, ",",, TRUE), 1, _xlpm.gi))))), "")</f>
        <v/>
      </c>
    </row>
    <row r="852" ht="15.75" customHeight="1">
      <c r="B852" s="18"/>
      <c r="I852" s="8" t="str">
        <f t="array" ref="I852">IFERROR(TEXTJOIN(", ", TRUE, MAKEARRAY(COLUMNS(TEXTSPLIT(G852, ",",, TRUE)), COLUMNS(TEXTSPLIT(H852, ",",, TRUE)), LAMBDA(_xlpm.ri,_xlpm.gi, TRIM(INDEX(TEXTSPLIT(G852, ",",, TRUE), 1, _xlpm.ri)) &amp; "_" &amp; TRIM(INDEX(TEXTSPLIT(H852, ",",, TRUE), 1, _xlpm.gi))))), "")</f>
        <v/>
      </c>
    </row>
    <row r="853" ht="15.75" customHeight="1">
      <c r="B853" s="18"/>
      <c r="I853" s="8" t="str">
        <f t="array" ref="I853">IFERROR(TEXTJOIN(", ", TRUE, MAKEARRAY(COLUMNS(TEXTSPLIT(G853, ",",, TRUE)), COLUMNS(TEXTSPLIT(H853, ",",, TRUE)), LAMBDA(_xlpm.ri,_xlpm.gi, TRIM(INDEX(TEXTSPLIT(G853, ",",, TRUE), 1, _xlpm.ri)) &amp; "_" &amp; TRIM(INDEX(TEXTSPLIT(H853, ",",, TRUE), 1, _xlpm.gi))))), "")</f>
        <v/>
      </c>
    </row>
    <row r="854" ht="15.75" customHeight="1">
      <c r="B854" s="18"/>
      <c r="I854" s="8" t="str">
        <f t="array" ref="I854">IFERROR(TEXTJOIN(", ", TRUE, MAKEARRAY(COLUMNS(TEXTSPLIT(G854, ",",, TRUE)), COLUMNS(TEXTSPLIT(H854, ",",, TRUE)), LAMBDA(_xlpm.ri,_xlpm.gi, TRIM(INDEX(TEXTSPLIT(G854, ",",, TRUE), 1, _xlpm.ri)) &amp; "_" &amp; TRIM(INDEX(TEXTSPLIT(H854, ",",, TRUE), 1, _xlpm.gi))))), "")</f>
        <v/>
      </c>
    </row>
    <row r="855" ht="15.75" customHeight="1">
      <c r="B855" s="18"/>
      <c r="I855" s="8" t="str">
        <f t="array" ref="I855">IFERROR(TEXTJOIN(", ", TRUE, MAKEARRAY(COLUMNS(TEXTSPLIT(G855, ",",, TRUE)), COLUMNS(TEXTSPLIT(H855, ",",, TRUE)), LAMBDA(_xlpm.ri,_xlpm.gi, TRIM(INDEX(TEXTSPLIT(G855, ",",, TRUE), 1, _xlpm.ri)) &amp; "_" &amp; TRIM(INDEX(TEXTSPLIT(H855, ",",, TRUE), 1, _xlpm.gi))))), "")</f>
        <v/>
      </c>
    </row>
    <row r="856" ht="15.75" customHeight="1">
      <c r="B856" s="18"/>
      <c r="I856" s="8" t="str">
        <f t="array" ref="I856">IFERROR(TEXTJOIN(", ", TRUE, MAKEARRAY(COLUMNS(TEXTSPLIT(G856, ",",, TRUE)), COLUMNS(TEXTSPLIT(H856, ",",, TRUE)), LAMBDA(_xlpm.ri,_xlpm.gi, TRIM(INDEX(TEXTSPLIT(G856, ",",, TRUE), 1, _xlpm.ri)) &amp; "_" &amp; TRIM(INDEX(TEXTSPLIT(H856, ",",, TRUE), 1, _xlpm.gi))))), "")</f>
        <v/>
      </c>
    </row>
    <row r="857" ht="15.75" customHeight="1">
      <c r="B857" s="18"/>
      <c r="I857" s="8" t="str">
        <f t="array" ref="I857">IFERROR(TEXTJOIN(", ", TRUE, MAKEARRAY(COLUMNS(TEXTSPLIT(G857, ",",, TRUE)), COLUMNS(TEXTSPLIT(H857, ",",, TRUE)), LAMBDA(_xlpm.ri,_xlpm.gi, TRIM(INDEX(TEXTSPLIT(G857, ",",, TRUE), 1, _xlpm.ri)) &amp; "_" &amp; TRIM(INDEX(TEXTSPLIT(H857, ",",, TRUE), 1, _xlpm.gi))))), "")</f>
        <v/>
      </c>
    </row>
    <row r="858" ht="15.75" customHeight="1">
      <c r="B858" s="18"/>
      <c r="I858" s="8" t="str">
        <f t="array" ref="I858">IFERROR(TEXTJOIN(", ", TRUE, MAKEARRAY(COLUMNS(TEXTSPLIT(G858, ",",, TRUE)), COLUMNS(TEXTSPLIT(H858, ",",, TRUE)), LAMBDA(_xlpm.ri,_xlpm.gi, TRIM(INDEX(TEXTSPLIT(G858, ",",, TRUE), 1, _xlpm.ri)) &amp; "_" &amp; TRIM(INDEX(TEXTSPLIT(H858, ",",, TRUE), 1, _xlpm.gi))))), "")</f>
        <v/>
      </c>
    </row>
    <row r="859" ht="15.75" customHeight="1">
      <c r="B859" s="18"/>
      <c r="I859" s="8" t="str">
        <f t="array" ref="I859">IFERROR(TEXTJOIN(", ", TRUE, MAKEARRAY(COLUMNS(TEXTSPLIT(G859, ",",, TRUE)), COLUMNS(TEXTSPLIT(H859, ",",, TRUE)), LAMBDA(_xlpm.ri,_xlpm.gi, TRIM(INDEX(TEXTSPLIT(G859, ",",, TRUE), 1, _xlpm.ri)) &amp; "_" &amp; TRIM(INDEX(TEXTSPLIT(H859, ",",, TRUE), 1, _xlpm.gi))))), "")</f>
        <v/>
      </c>
    </row>
    <row r="860" ht="15.75" customHeight="1">
      <c r="B860" s="18"/>
      <c r="I860" s="8" t="str">
        <f t="array" ref="I860">IFERROR(TEXTJOIN(", ", TRUE, MAKEARRAY(COLUMNS(TEXTSPLIT(G860, ",",, TRUE)), COLUMNS(TEXTSPLIT(H860, ",",, TRUE)), LAMBDA(_xlpm.ri,_xlpm.gi, TRIM(INDEX(TEXTSPLIT(G860, ",",, TRUE), 1, _xlpm.ri)) &amp; "_" &amp; TRIM(INDEX(TEXTSPLIT(H860, ",",, TRUE), 1, _xlpm.gi))))), "")</f>
        <v/>
      </c>
    </row>
    <row r="861" ht="15.75" customHeight="1">
      <c r="B861" s="18"/>
      <c r="I861" s="8" t="str">
        <f t="array" ref="I861">IFERROR(TEXTJOIN(", ", TRUE, MAKEARRAY(COLUMNS(TEXTSPLIT(G861, ",",, TRUE)), COLUMNS(TEXTSPLIT(H861, ",",, TRUE)), LAMBDA(_xlpm.ri,_xlpm.gi, TRIM(INDEX(TEXTSPLIT(G861, ",",, TRUE), 1, _xlpm.ri)) &amp; "_" &amp; TRIM(INDEX(TEXTSPLIT(H861, ",",, TRUE), 1, _xlpm.gi))))), "")</f>
        <v/>
      </c>
    </row>
    <row r="862" ht="15.75" customHeight="1">
      <c r="B862" s="18"/>
      <c r="I862" s="8" t="str">
        <f t="array" ref="I862">IFERROR(TEXTJOIN(", ", TRUE, MAKEARRAY(COLUMNS(TEXTSPLIT(G862, ",",, TRUE)), COLUMNS(TEXTSPLIT(H862, ",",, TRUE)), LAMBDA(_xlpm.ri,_xlpm.gi, TRIM(INDEX(TEXTSPLIT(G862, ",",, TRUE), 1, _xlpm.ri)) &amp; "_" &amp; TRIM(INDEX(TEXTSPLIT(H862, ",",, TRUE), 1, _xlpm.gi))))), "")</f>
        <v/>
      </c>
    </row>
    <row r="863" ht="15.75" customHeight="1">
      <c r="B863" s="18"/>
      <c r="I863" s="8" t="str">
        <f t="array" ref="I863">IFERROR(TEXTJOIN(", ", TRUE, MAKEARRAY(COLUMNS(TEXTSPLIT(G863, ",",, TRUE)), COLUMNS(TEXTSPLIT(H863, ",",, TRUE)), LAMBDA(_xlpm.ri,_xlpm.gi, TRIM(INDEX(TEXTSPLIT(G863, ",",, TRUE), 1, _xlpm.ri)) &amp; "_" &amp; TRIM(INDEX(TEXTSPLIT(H863, ",",, TRUE), 1, _xlpm.gi))))), "")</f>
        <v/>
      </c>
    </row>
    <row r="864" ht="15.75" customHeight="1">
      <c r="B864" s="18"/>
      <c r="I864" s="8" t="str">
        <f t="array" ref="I864">IFERROR(TEXTJOIN(", ", TRUE, MAKEARRAY(COLUMNS(TEXTSPLIT(G864, ",",, TRUE)), COLUMNS(TEXTSPLIT(H864, ",",, TRUE)), LAMBDA(_xlpm.ri,_xlpm.gi, TRIM(INDEX(TEXTSPLIT(G864, ",",, TRUE), 1, _xlpm.ri)) &amp; "_" &amp; TRIM(INDEX(TEXTSPLIT(H864, ",",, TRUE), 1, _xlpm.gi))))), "")</f>
        <v/>
      </c>
    </row>
    <row r="865" ht="15.75" customHeight="1">
      <c r="B865" s="18"/>
      <c r="I865" s="8" t="str">
        <f t="array" ref="I865">IFERROR(TEXTJOIN(", ", TRUE, MAKEARRAY(COLUMNS(TEXTSPLIT(G865, ",",, TRUE)), COLUMNS(TEXTSPLIT(H865, ",",, TRUE)), LAMBDA(_xlpm.ri,_xlpm.gi, TRIM(INDEX(TEXTSPLIT(G865, ",",, TRUE), 1, _xlpm.ri)) &amp; "_" &amp; TRIM(INDEX(TEXTSPLIT(H865, ",",, TRUE), 1, _xlpm.gi))))), "")</f>
        <v/>
      </c>
    </row>
    <row r="866" ht="15.75" customHeight="1">
      <c r="B866" s="18"/>
      <c r="I866" s="8" t="str">
        <f t="array" ref="I866">IFERROR(TEXTJOIN(", ", TRUE, MAKEARRAY(COLUMNS(TEXTSPLIT(G866, ",",, TRUE)), COLUMNS(TEXTSPLIT(H866, ",",, TRUE)), LAMBDA(_xlpm.ri,_xlpm.gi, TRIM(INDEX(TEXTSPLIT(G866, ",",, TRUE), 1, _xlpm.ri)) &amp; "_" &amp; TRIM(INDEX(TEXTSPLIT(H866, ",",, TRUE), 1, _xlpm.gi))))), "")</f>
        <v/>
      </c>
    </row>
    <row r="867" ht="15.75" customHeight="1">
      <c r="B867" s="18"/>
      <c r="I867" s="8" t="str">
        <f t="array" ref="I867">IFERROR(TEXTJOIN(", ", TRUE, MAKEARRAY(COLUMNS(TEXTSPLIT(G867, ",",, TRUE)), COLUMNS(TEXTSPLIT(H867, ",",, TRUE)), LAMBDA(_xlpm.ri,_xlpm.gi, TRIM(INDEX(TEXTSPLIT(G867, ",",, TRUE), 1, _xlpm.ri)) &amp; "_" &amp; TRIM(INDEX(TEXTSPLIT(H867, ",",, TRUE), 1, _xlpm.gi))))), "")</f>
        <v/>
      </c>
    </row>
    <row r="868" ht="15.75" customHeight="1">
      <c r="B868" s="18"/>
      <c r="I868" s="8" t="str">
        <f t="array" ref="I868">IFERROR(TEXTJOIN(", ", TRUE, MAKEARRAY(COLUMNS(TEXTSPLIT(G868, ",",, TRUE)), COLUMNS(TEXTSPLIT(H868, ",",, TRUE)), LAMBDA(_xlpm.ri,_xlpm.gi, TRIM(INDEX(TEXTSPLIT(G868, ",",, TRUE), 1, _xlpm.ri)) &amp; "_" &amp; TRIM(INDEX(TEXTSPLIT(H868, ",",, TRUE), 1, _xlpm.gi))))), "")</f>
        <v/>
      </c>
    </row>
    <row r="869" ht="15.75" customHeight="1">
      <c r="B869" s="18"/>
      <c r="I869" s="8" t="str">
        <f t="array" ref="I869">IFERROR(TEXTJOIN(", ", TRUE, MAKEARRAY(COLUMNS(TEXTSPLIT(G869, ",",, TRUE)), COLUMNS(TEXTSPLIT(H869, ",",, TRUE)), LAMBDA(_xlpm.ri,_xlpm.gi, TRIM(INDEX(TEXTSPLIT(G869, ",",, TRUE), 1, _xlpm.ri)) &amp; "_" &amp; TRIM(INDEX(TEXTSPLIT(H869, ",",, TRUE), 1, _xlpm.gi))))), "")</f>
        <v/>
      </c>
    </row>
    <row r="870" ht="15.75" customHeight="1">
      <c r="B870" s="18"/>
      <c r="I870" s="8" t="str">
        <f t="array" ref="I870">IFERROR(TEXTJOIN(", ", TRUE, MAKEARRAY(COLUMNS(TEXTSPLIT(G870, ",",, TRUE)), COLUMNS(TEXTSPLIT(H870, ",",, TRUE)), LAMBDA(_xlpm.ri,_xlpm.gi, TRIM(INDEX(TEXTSPLIT(G870, ",",, TRUE), 1, _xlpm.ri)) &amp; "_" &amp; TRIM(INDEX(TEXTSPLIT(H870, ",",, TRUE), 1, _xlpm.gi))))), "")</f>
        <v/>
      </c>
    </row>
    <row r="871" ht="15.75" customHeight="1">
      <c r="B871" s="18"/>
      <c r="I871" s="8" t="str">
        <f t="array" ref="I871">IFERROR(TEXTJOIN(", ", TRUE, MAKEARRAY(COLUMNS(TEXTSPLIT(G871, ",",, TRUE)), COLUMNS(TEXTSPLIT(H871, ",",, TRUE)), LAMBDA(_xlpm.ri,_xlpm.gi, TRIM(INDEX(TEXTSPLIT(G871, ",",, TRUE), 1, _xlpm.ri)) &amp; "_" &amp; TRIM(INDEX(TEXTSPLIT(H871, ",",, TRUE), 1, _xlpm.gi))))), "")</f>
        <v/>
      </c>
    </row>
    <row r="872" ht="15.75" customHeight="1">
      <c r="B872" s="18"/>
      <c r="I872" s="8" t="str">
        <f t="array" ref="I872">IFERROR(TEXTJOIN(", ", TRUE, MAKEARRAY(COLUMNS(TEXTSPLIT(G872, ",",, TRUE)), COLUMNS(TEXTSPLIT(H872, ",",, TRUE)), LAMBDA(_xlpm.ri,_xlpm.gi, TRIM(INDEX(TEXTSPLIT(G872, ",",, TRUE), 1, _xlpm.ri)) &amp; "_" &amp; TRIM(INDEX(TEXTSPLIT(H872, ",",, TRUE), 1, _xlpm.gi))))), "")</f>
        <v/>
      </c>
    </row>
    <row r="873" ht="15.75" customHeight="1">
      <c r="B873" s="18"/>
      <c r="I873" s="8" t="str">
        <f t="array" ref="I873">IFERROR(TEXTJOIN(", ", TRUE, MAKEARRAY(COLUMNS(TEXTSPLIT(G873, ",",, TRUE)), COLUMNS(TEXTSPLIT(H873, ",",, TRUE)), LAMBDA(_xlpm.ri,_xlpm.gi, TRIM(INDEX(TEXTSPLIT(G873, ",",, TRUE), 1, _xlpm.ri)) &amp; "_" &amp; TRIM(INDEX(TEXTSPLIT(H873, ",",, TRUE), 1, _xlpm.gi))))), "")</f>
        <v/>
      </c>
    </row>
    <row r="874" ht="15.75" customHeight="1">
      <c r="B874" s="18"/>
      <c r="I874" s="8" t="str">
        <f t="array" ref="I874">IFERROR(TEXTJOIN(", ", TRUE, MAKEARRAY(COLUMNS(TEXTSPLIT(G874, ",",, TRUE)), COLUMNS(TEXTSPLIT(H874, ",",, TRUE)), LAMBDA(_xlpm.ri,_xlpm.gi, TRIM(INDEX(TEXTSPLIT(G874, ",",, TRUE), 1, _xlpm.ri)) &amp; "_" &amp; TRIM(INDEX(TEXTSPLIT(H874, ",",, TRUE), 1, _xlpm.gi))))), "")</f>
        <v/>
      </c>
    </row>
    <row r="875" ht="15.75" customHeight="1">
      <c r="B875" s="18"/>
      <c r="I875" s="8" t="str">
        <f t="array" ref="I875">IFERROR(TEXTJOIN(", ", TRUE, MAKEARRAY(COLUMNS(TEXTSPLIT(G875, ",",, TRUE)), COLUMNS(TEXTSPLIT(H875, ",",, TRUE)), LAMBDA(_xlpm.ri,_xlpm.gi, TRIM(INDEX(TEXTSPLIT(G875, ",",, TRUE), 1, _xlpm.ri)) &amp; "_" &amp; TRIM(INDEX(TEXTSPLIT(H875, ",",, TRUE), 1, _xlpm.gi))))), "")</f>
        <v/>
      </c>
    </row>
    <row r="876" ht="15.75" customHeight="1">
      <c r="B876" s="18"/>
      <c r="I876" s="8" t="str">
        <f t="array" ref="I876">IFERROR(TEXTJOIN(", ", TRUE, MAKEARRAY(COLUMNS(TEXTSPLIT(G876, ",",, TRUE)), COLUMNS(TEXTSPLIT(H876, ",",, TRUE)), LAMBDA(_xlpm.ri,_xlpm.gi, TRIM(INDEX(TEXTSPLIT(G876, ",",, TRUE), 1, _xlpm.ri)) &amp; "_" &amp; TRIM(INDEX(TEXTSPLIT(H876, ",",, TRUE), 1, _xlpm.gi))))), "")</f>
        <v/>
      </c>
    </row>
    <row r="877" ht="15.75" customHeight="1">
      <c r="B877" s="18"/>
      <c r="I877" s="8" t="str">
        <f t="array" ref="I877">IFERROR(TEXTJOIN(", ", TRUE, MAKEARRAY(COLUMNS(TEXTSPLIT(G877, ",",, TRUE)), COLUMNS(TEXTSPLIT(H877, ",",, TRUE)), LAMBDA(_xlpm.ri,_xlpm.gi, TRIM(INDEX(TEXTSPLIT(G877, ",",, TRUE), 1, _xlpm.ri)) &amp; "_" &amp; TRIM(INDEX(TEXTSPLIT(H877, ",",, TRUE), 1, _xlpm.gi))))), "")</f>
        <v/>
      </c>
    </row>
    <row r="878" ht="15.75" customHeight="1">
      <c r="B878" s="18"/>
      <c r="I878" s="8" t="str">
        <f t="array" ref="I878">IFERROR(TEXTJOIN(", ", TRUE, MAKEARRAY(COLUMNS(TEXTSPLIT(G878, ",",, TRUE)), COLUMNS(TEXTSPLIT(H878, ",",, TRUE)), LAMBDA(_xlpm.ri,_xlpm.gi, TRIM(INDEX(TEXTSPLIT(G878, ",",, TRUE), 1, _xlpm.ri)) &amp; "_" &amp; TRIM(INDEX(TEXTSPLIT(H878, ",",, TRUE), 1, _xlpm.gi))))), "")</f>
        <v/>
      </c>
    </row>
    <row r="879" ht="15.75" customHeight="1">
      <c r="B879" s="18"/>
      <c r="I879" s="8" t="str">
        <f t="array" ref="I879">IFERROR(TEXTJOIN(", ", TRUE, MAKEARRAY(COLUMNS(TEXTSPLIT(G879, ",",, TRUE)), COLUMNS(TEXTSPLIT(H879, ",",, TRUE)), LAMBDA(_xlpm.ri,_xlpm.gi, TRIM(INDEX(TEXTSPLIT(G879, ",",, TRUE), 1, _xlpm.ri)) &amp; "_" &amp; TRIM(INDEX(TEXTSPLIT(H879, ",",, TRUE), 1, _xlpm.gi))))), "")</f>
        <v/>
      </c>
    </row>
    <row r="880" ht="15.75" customHeight="1">
      <c r="B880" s="18"/>
      <c r="I880" s="8" t="str">
        <f t="array" ref="I880">IFERROR(TEXTJOIN(", ", TRUE, MAKEARRAY(COLUMNS(TEXTSPLIT(G880, ",",, TRUE)), COLUMNS(TEXTSPLIT(H880, ",",, TRUE)), LAMBDA(_xlpm.ri,_xlpm.gi, TRIM(INDEX(TEXTSPLIT(G880, ",",, TRUE), 1, _xlpm.ri)) &amp; "_" &amp; TRIM(INDEX(TEXTSPLIT(H880, ",",, TRUE), 1, _xlpm.gi))))), "")</f>
        <v/>
      </c>
    </row>
    <row r="881" ht="15.75" customHeight="1">
      <c r="B881" s="18"/>
      <c r="I881" s="8" t="str">
        <f t="array" ref="I881">IFERROR(TEXTJOIN(", ", TRUE, MAKEARRAY(COLUMNS(TEXTSPLIT(G881, ",",, TRUE)), COLUMNS(TEXTSPLIT(H881, ",",, TRUE)), LAMBDA(_xlpm.ri,_xlpm.gi, TRIM(INDEX(TEXTSPLIT(G881, ",",, TRUE), 1, _xlpm.ri)) &amp; "_" &amp; TRIM(INDEX(TEXTSPLIT(H881, ",",, TRUE), 1, _xlpm.gi))))), "")</f>
        <v/>
      </c>
    </row>
    <row r="882" ht="15.75" customHeight="1">
      <c r="B882" s="18"/>
      <c r="I882" s="8" t="str">
        <f t="array" ref="I882">IFERROR(TEXTJOIN(", ", TRUE, MAKEARRAY(COLUMNS(TEXTSPLIT(G882, ",",, TRUE)), COLUMNS(TEXTSPLIT(H882, ",",, TRUE)), LAMBDA(_xlpm.ri,_xlpm.gi, TRIM(INDEX(TEXTSPLIT(G882, ",",, TRUE), 1, _xlpm.ri)) &amp; "_" &amp; TRIM(INDEX(TEXTSPLIT(H882, ",",, TRUE), 1, _xlpm.gi))))), "")</f>
        <v/>
      </c>
    </row>
    <row r="883" ht="15.75" customHeight="1">
      <c r="B883" s="18"/>
      <c r="I883" s="8" t="str">
        <f t="array" ref="I883">IFERROR(TEXTJOIN(", ", TRUE, MAKEARRAY(COLUMNS(TEXTSPLIT(G883, ",",, TRUE)), COLUMNS(TEXTSPLIT(H883, ",",, TRUE)), LAMBDA(_xlpm.ri,_xlpm.gi, TRIM(INDEX(TEXTSPLIT(G883, ",",, TRUE), 1, _xlpm.ri)) &amp; "_" &amp; TRIM(INDEX(TEXTSPLIT(H883, ",",, TRUE), 1, _xlpm.gi))))), "")</f>
        <v/>
      </c>
    </row>
    <row r="884" ht="15.75" customHeight="1">
      <c r="B884" s="18"/>
      <c r="I884" s="8" t="str">
        <f t="array" ref="I884">IFERROR(TEXTJOIN(", ", TRUE, MAKEARRAY(COLUMNS(TEXTSPLIT(G884, ",",, TRUE)), COLUMNS(TEXTSPLIT(H884, ",",, TRUE)), LAMBDA(_xlpm.ri,_xlpm.gi, TRIM(INDEX(TEXTSPLIT(G884, ",",, TRUE), 1, _xlpm.ri)) &amp; "_" &amp; TRIM(INDEX(TEXTSPLIT(H884, ",",, TRUE), 1, _xlpm.gi))))), "")</f>
        <v/>
      </c>
    </row>
    <row r="885" ht="15.75" customHeight="1">
      <c r="B885" s="18"/>
      <c r="I885" s="8" t="str">
        <f t="array" ref="I885">IFERROR(TEXTJOIN(", ", TRUE, MAKEARRAY(COLUMNS(TEXTSPLIT(G885, ",",, TRUE)), COLUMNS(TEXTSPLIT(H885, ",",, TRUE)), LAMBDA(_xlpm.ri,_xlpm.gi, TRIM(INDEX(TEXTSPLIT(G885, ",",, TRUE), 1, _xlpm.ri)) &amp; "_" &amp; TRIM(INDEX(TEXTSPLIT(H885, ",",, TRUE), 1, _xlpm.gi))))), "")</f>
        <v/>
      </c>
    </row>
    <row r="886" ht="15.75" customHeight="1">
      <c r="B886" s="18"/>
      <c r="I886" s="8" t="str">
        <f t="array" ref="I886">IFERROR(TEXTJOIN(", ", TRUE, MAKEARRAY(COLUMNS(TEXTSPLIT(G886, ",",, TRUE)), COLUMNS(TEXTSPLIT(H886, ",",, TRUE)), LAMBDA(_xlpm.ri,_xlpm.gi, TRIM(INDEX(TEXTSPLIT(G886, ",",, TRUE), 1, _xlpm.ri)) &amp; "_" &amp; TRIM(INDEX(TEXTSPLIT(H886, ",",, TRUE), 1, _xlpm.gi))))), "")</f>
        <v/>
      </c>
    </row>
    <row r="887" ht="15.75" customHeight="1">
      <c r="B887" s="18"/>
      <c r="I887" s="8" t="str">
        <f t="array" ref="I887">IFERROR(TEXTJOIN(", ", TRUE, MAKEARRAY(COLUMNS(TEXTSPLIT(G887, ",",, TRUE)), COLUMNS(TEXTSPLIT(H887, ",",, TRUE)), LAMBDA(_xlpm.ri,_xlpm.gi, TRIM(INDEX(TEXTSPLIT(G887, ",",, TRUE), 1, _xlpm.ri)) &amp; "_" &amp; TRIM(INDEX(TEXTSPLIT(H887, ",",, TRUE), 1, _xlpm.gi))))), "")</f>
        <v/>
      </c>
    </row>
    <row r="888" ht="15.75" customHeight="1">
      <c r="B888" s="18"/>
      <c r="I888" s="8" t="str">
        <f t="array" ref="I888">IFERROR(TEXTJOIN(", ", TRUE, MAKEARRAY(COLUMNS(TEXTSPLIT(G888, ",",, TRUE)), COLUMNS(TEXTSPLIT(H888, ",",, TRUE)), LAMBDA(_xlpm.ri,_xlpm.gi, TRIM(INDEX(TEXTSPLIT(G888, ",",, TRUE), 1, _xlpm.ri)) &amp; "_" &amp; TRIM(INDEX(TEXTSPLIT(H888, ",",, TRUE), 1, _xlpm.gi))))), "")</f>
        <v/>
      </c>
    </row>
    <row r="889" ht="15.75" customHeight="1">
      <c r="B889" s="18"/>
      <c r="I889" s="8" t="str">
        <f t="array" ref="I889">IFERROR(TEXTJOIN(", ", TRUE, MAKEARRAY(COLUMNS(TEXTSPLIT(G889, ",",, TRUE)), COLUMNS(TEXTSPLIT(H889, ",",, TRUE)), LAMBDA(_xlpm.ri,_xlpm.gi, TRIM(INDEX(TEXTSPLIT(G889, ",",, TRUE), 1, _xlpm.ri)) &amp; "_" &amp; TRIM(INDEX(TEXTSPLIT(H889, ",",, TRUE), 1, _xlpm.gi))))), "")</f>
        <v/>
      </c>
    </row>
    <row r="890" ht="15.75" customHeight="1">
      <c r="B890" s="18"/>
      <c r="I890" s="8" t="str">
        <f t="array" ref="I890">IFERROR(TEXTJOIN(", ", TRUE, MAKEARRAY(COLUMNS(TEXTSPLIT(G890, ",",, TRUE)), COLUMNS(TEXTSPLIT(H890, ",",, TRUE)), LAMBDA(_xlpm.ri,_xlpm.gi, TRIM(INDEX(TEXTSPLIT(G890, ",",, TRUE), 1, _xlpm.ri)) &amp; "_" &amp; TRIM(INDEX(TEXTSPLIT(H890, ",",, TRUE), 1, _xlpm.gi))))), "")</f>
        <v/>
      </c>
    </row>
    <row r="891" ht="15.75" customHeight="1">
      <c r="B891" s="18"/>
      <c r="I891" s="8" t="str">
        <f t="array" ref="I891">IFERROR(TEXTJOIN(", ", TRUE, MAKEARRAY(COLUMNS(TEXTSPLIT(G891, ",",, TRUE)), COLUMNS(TEXTSPLIT(H891, ",",, TRUE)), LAMBDA(_xlpm.ri,_xlpm.gi, TRIM(INDEX(TEXTSPLIT(G891, ",",, TRUE), 1, _xlpm.ri)) &amp; "_" &amp; TRIM(INDEX(TEXTSPLIT(H891, ",",, TRUE), 1, _xlpm.gi))))), "")</f>
        <v/>
      </c>
    </row>
    <row r="892" ht="15.75" customHeight="1">
      <c r="B892" s="18"/>
      <c r="I892" s="8" t="str">
        <f t="array" ref="I892">IFERROR(TEXTJOIN(", ", TRUE, MAKEARRAY(COLUMNS(TEXTSPLIT(G892, ",",, TRUE)), COLUMNS(TEXTSPLIT(H892, ",",, TRUE)), LAMBDA(_xlpm.ri,_xlpm.gi, TRIM(INDEX(TEXTSPLIT(G892, ",",, TRUE), 1, _xlpm.ri)) &amp; "_" &amp; TRIM(INDEX(TEXTSPLIT(H892, ",",, TRUE), 1, _xlpm.gi))))), "")</f>
        <v/>
      </c>
    </row>
    <row r="893" ht="15.75" customHeight="1">
      <c r="B893" s="18"/>
      <c r="I893" s="8" t="str">
        <f t="array" ref="I893">IFERROR(TEXTJOIN(", ", TRUE, MAKEARRAY(COLUMNS(TEXTSPLIT(G893, ",",, TRUE)), COLUMNS(TEXTSPLIT(H893, ",",, TRUE)), LAMBDA(_xlpm.ri,_xlpm.gi, TRIM(INDEX(TEXTSPLIT(G893, ",",, TRUE), 1, _xlpm.ri)) &amp; "_" &amp; TRIM(INDEX(TEXTSPLIT(H893, ",",, TRUE), 1, _xlpm.gi))))), "")</f>
        <v/>
      </c>
    </row>
    <row r="894" ht="15.75" customHeight="1">
      <c r="B894" s="18"/>
      <c r="I894" s="8" t="str">
        <f t="array" ref="I894">IFERROR(TEXTJOIN(", ", TRUE, MAKEARRAY(COLUMNS(TEXTSPLIT(G894, ",",, TRUE)), COLUMNS(TEXTSPLIT(H894, ",",, TRUE)), LAMBDA(_xlpm.ri,_xlpm.gi, TRIM(INDEX(TEXTSPLIT(G894, ",",, TRUE), 1, _xlpm.ri)) &amp; "_" &amp; TRIM(INDEX(TEXTSPLIT(H894, ",",, TRUE), 1, _xlpm.gi))))), "")</f>
        <v/>
      </c>
    </row>
    <row r="895" ht="15.75" customHeight="1">
      <c r="B895" s="18"/>
      <c r="I895" s="8" t="str">
        <f t="array" ref="I895">IFERROR(TEXTJOIN(", ", TRUE, MAKEARRAY(COLUMNS(TEXTSPLIT(G895, ",",, TRUE)), COLUMNS(TEXTSPLIT(H895, ",",, TRUE)), LAMBDA(_xlpm.ri,_xlpm.gi, TRIM(INDEX(TEXTSPLIT(G895, ",",, TRUE), 1, _xlpm.ri)) &amp; "_" &amp; TRIM(INDEX(TEXTSPLIT(H895, ",",, TRUE), 1, _xlpm.gi))))), "")</f>
        <v/>
      </c>
    </row>
    <row r="896" ht="15.75" customHeight="1">
      <c r="B896" s="18"/>
      <c r="I896" s="8" t="str">
        <f t="array" ref="I896">IFERROR(TEXTJOIN(", ", TRUE, MAKEARRAY(COLUMNS(TEXTSPLIT(G896, ",",, TRUE)), COLUMNS(TEXTSPLIT(H896, ",",, TRUE)), LAMBDA(_xlpm.ri,_xlpm.gi, TRIM(INDEX(TEXTSPLIT(G896, ",",, TRUE), 1, _xlpm.ri)) &amp; "_" &amp; TRIM(INDEX(TEXTSPLIT(H896, ",",, TRUE), 1, _xlpm.gi))))), "")</f>
        <v/>
      </c>
    </row>
    <row r="897" ht="15.75" customHeight="1">
      <c r="B897" s="18"/>
      <c r="I897" s="8" t="str">
        <f t="array" ref="I897">IFERROR(TEXTJOIN(", ", TRUE, MAKEARRAY(COLUMNS(TEXTSPLIT(G897, ",",, TRUE)), COLUMNS(TEXTSPLIT(H897, ",",, TRUE)), LAMBDA(_xlpm.ri,_xlpm.gi, TRIM(INDEX(TEXTSPLIT(G897, ",",, TRUE), 1, _xlpm.ri)) &amp; "_" &amp; TRIM(INDEX(TEXTSPLIT(H897, ",",, TRUE), 1, _xlpm.gi))))), "")</f>
        <v/>
      </c>
    </row>
    <row r="898" ht="15.75" customHeight="1">
      <c r="B898" s="18"/>
      <c r="I898" s="8" t="str">
        <f t="array" ref="I898">IFERROR(TEXTJOIN(", ", TRUE, MAKEARRAY(COLUMNS(TEXTSPLIT(G898, ",",, TRUE)), COLUMNS(TEXTSPLIT(H898, ",",, TRUE)), LAMBDA(_xlpm.ri,_xlpm.gi, TRIM(INDEX(TEXTSPLIT(G898, ",",, TRUE), 1, _xlpm.ri)) &amp; "_" &amp; TRIM(INDEX(TEXTSPLIT(H898, ",",, TRUE), 1, _xlpm.gi))))), "")</f>
        <v/>
      </c>
    </row>
    <row r="899" ht="15.75" customHeight="1">
      <c r="B899" s="18"/>
      <c r="I899" s="8" t="str">
        <f t="array" ref="I899">IFERROR(TEXTJOIN(", ", TRUE, MAKEARRAY(COLUMNS(TEXTSPLIT(G899, ",",, TRUE)), COLUMNS(TEXTSPLIT(H899, ",",, TRUE)), LAMBDA(_xlpm.ri,_xlpm.gi, TRIM(INDEX(TEXTSPLIT(G899, ",",, TRUE), 1, _xlpm.ri)) &amp; "_" &amp; TRIM(INDEX(TEXTSPLIT(H899, ",",, TRUE), 1, _xlpm.gi))))), "")</f>
        <v/>
      </c>
    </row>
    <row r="900" ht="15.75" customHeight="1">
      <c r="B900" s="18"/>
      <c r="I900" s="8" t="str">
        <f t="array" ref="I900">IFERROR(TEXTJOIN(", ", TRUE, MAKEARRAY(COLUMNS(TEXTSPLIT(G900, ",",, TRUE)), COLUMNS(TEXTSPLIT(H900, ",",, TRUE)), LAMBDA(_xlpm.ri,_xlpm.gi, TRIM(INDEX(TEXTSPLIT(G900, ",",, TRUE), 1, _xlpm.ri)) &amp; "_" &amp; TRIM(INDEX(TEXTSPLIT(H900, ",",, TRUE), 1, _xlpm.gi))))), "")</f>
        <v/>
      </c>
    </row>
    <row r="901" ht="15.75" customHeight="1">
      <c r="B901" s="18"/>
      <c r="I901" s="8" t="str">
        <f t="array" ref="I901">IFERROR(TEXTJOIN(", ", TRUE, MAKEARRAY(COLUMNS(TEXTSPLIT(G901, ",",, TRUE)), COLUMNS(TEXTSPLIT(H901, ",",, TRUE)), LAMBDA(_xlpm.ri,_xlpm.gi, TRIM(INDEX(TEXTSPLIT(G901, ",",, TRUE), 1, _xlpm.ri)) &amp; "_" &amp; TRIM(INDEX(TEXTSPLIT(H901, ",",, TRUE), 1, _xlpm.gi))))), "")</f>
        <v/>
      </c>
    </row>
    <row r="902" ht="15.75" customHeight="1">
      <c r="B902" s="18"/>
      <c r="I902" s="8" t="str">
        <f t="array" ref="I902">IFERROR(TEXTJOIN(", ", TRUE, MAKEARRAY(COLUMNS(TEXTSPLIT(G902, ",",, TRUE)), COLUMNS(TEXTSPLIT(H902, ",",, TRUE)), LAMBDA(_xlpm.ri,_xlpm.gi, TRIM(INDEX(TEXTSPLIT(G902, ",",, TRUE), 1, _xlpm.ri)) &amp; "_" &amp; TRIM(INDEX(TEXTSPLIT(H902, ",",, TRUE), 1, _xlpm.gi))))), "")</f>
        <v/>
      </c>
    </row>
    <row r="903" ht="15.75" customHeight="1">
      <c r="B903" s="18"/>
      <c r="I903" s="8" t="str">
        <f t="array" ref="I903">IFERROR(TEXTJOIN(", ", TRUE, MAKEARRAY(COLUMNS(TEXTSPLIT(G903, ",",, TRUE)), COLUMNS(TEXTSPLIT(H903, ",",, TRUE)), LAMBDA(_xlpm.ri,_xlpm.gi, TRIM(INDEX(TEXTSPLIT(G903, ",",, TRUE), 1, _xlpm.ri)) &amp; "_" &amp; TRIM(INDEX(TEXTSPLIT(H903, ",",, TRUE), 1, _xlpm.gi))))), "")</f>
        <v/>
      </c>
    </row>
    <row r="904" ht="15.75" customHeight="1">
      <c r="B904" s="18"/>
      <c r="I904" s="8" t="str">
        <f t="array" ref="I904">IFERROR(TEXTJOIN(", ", TRUE, MAKEARRAY(COLUMNS(TEXTSPLIT(G904, ",",, TRUE)), COLUMNS(TEXTSPLIT(H904, ",",, TRUE)), LAMBDA(_xlpm.ri,_xlpm.gi, TRIM(INDEX(TEXTSPLIT(G904, ",",, TRUE), 1, _xlpm.ri)) &amp; "_" &amp; TRIM(INDEX(TEXTSPLIT(H904, ",",, TRUE), 1, _xlpm.gi))))), "")</f>
        <v/>
      </c>
    </row>
    <row r="905" ht="15.75" customHeight="1">
      <c r="B905" s="18"/>
      <c r="I905" s="8" t="str">
        <f t="array" ref="I905">IFERROR(TEXTJOIN(", ", TRUE, MAKEARRAY(COLUMNS(TEXTSPLIT(G905, ",",, TRUE)), COLUMNS(TEXTSPLIT(H905, ",",, TRUE)), LAMBDA(_xlpm.ri,_xlpm.gi, TRIM(INDEX(TEXTSPLIT(G905, ",",, TRUE), 1, _xlpm.ri)) &amp; "_" &amp; TRIM(INDEX(TEXTSPLIT(H905, ",",, TRUE), 1, _xlpm.gi))))), "")</f>
        <v/>
      </c>
    </row>
    <row r="906" ht="15.75" customHeight="1">
      <c r="B906" s="18"/>
      <c r="I906" s="8" t="str">
        <f t="array" ref="I906">IFERROR(TEXTJOIN(", ", TRUE, MAKEARRAY(COLUMNS(TEXTSPLIT(G906, ",",, TRUE)), COLUMNS(TEXTSPLIT(H906, ",",, TRUE)), LAMBDA(_xlpm.ri,_xlpm.gi, TRIM(INDEX(TEXTSPLIT(G906, ",",, TRUE), 1, _xlpm.ri)) &amp; "_" &amp; TRIM(INDEX(TEXTSPLIT(H906, ",",, TRUE), 1, _xlpm.gi))))), "")</f>
        <v/>
      </c>
    </row>
    <row r="907" ht="15.75" customHeight="1">
      <c r="B907" s="18"/>
      <c r="I907" s="8" t="str">
        <f t="array" ref="I907">IFERROR(TEXTJOIN(", ", TRUE, MAKEARRAY(COLUMNS(TEXTSPLIT(G907, ",",, TRUE)), COLUMNS(TEXTSPLIT(H907, ",",, TRUE)), LAMBDA(_xlpm.ri,_xlpm.gi, TRIM(INDEX(TEXTSPLIT(G907, ",",, TRUE), 1, _xlpm.ri)) &amp; "_" &amp; TRIM(INDEX(TEXTSPLIT(H907, ",",, TRUE), 1, _xlpm.gi))))), "")</f>
        <v/>
      </c>
    </row>
    <row r="908" ht="15.75" customHeight="1">
      <c r="B908" s="18"/>
      <c r="I908" s="8" t="str">
        <f t="array" ref="I908">IFERROR(TEXTJOIN(", ", TRUE, MAKEARRAY(COLUMNS(TEXTSPLIT(G908, ",",, TRUE)), COLUMNS(TEXTSPLIT(H908, ",",, TRUE)), LAMBDA(_xlpm.ri,_xlpm.gi, TRIM(INDEX(TEXTSPLIT(G908, ",",, TRUE), 1, _xlpm.ri)) &amp; "_" &amp; TRIM(INDEX(TEXTSPLIT(H908, ",",, TRUE), 1, _xlpm.gi))))), "")</f>
        <v/>
      </c>
    </row>
    <row r="909" ht="15.75" customHeight="1">
      <c r="B909" s="18"/>
      <c r="I909" s="8" t="str">
        <f t="array" ref="I909">IFERROR(TEXTJOIN(", ", TRUE, MAKEARRAY(COLUMNS(TEXTSPLIT(G909, ",",, TRUE)), COLUMNS(TEXTSPLIT(H909, ",",, TRUE)), LAMBDA(_xlpm.ri,_xlpm.gi, TRIM(INDEX(TEXTSPLIT(G909, ",",, TRUE), 1, _xlpm.ri)) &amp; "_" &amp; TRIM(INDEX(TEXTSPLIT(H909, ",",, TRUE), 1, _xlpm.gi))))), "")</f>
        <v/>
      </c>
    </row>
    <row r="910" ht="15.75" customHeight="1">
      <c r="B910" s="18"/>
      <c r="I910" s="8" t="str">
        <f t="array" ref="I910">IFERROR(TEXTJOIN(", ", TRUE, MAKEARRAY(COLUMNS(TEXTSPLIT(G910, ",",, TRUE)), COLUMNS(TEXTSPLIT(H910, ",",, TRUE)), LAMBDA(_xlpm.ri,_xlpm.gi, TRIM(INDEX(TEXTSPLIT(G910, ",",, TRUE), 1, _xlpm.ri)) &amp; "_" &amp; TRIM(INDEX(TEXTSPLIT(H910, ",",, TRUE), 1, _xlpm.gi))))), "")</f>
        <v/>
      </c>
    </row>
    <row r="911" ht="15.75" customHeight="1">
      <c r="B911" s="18"/>
      <c r="I911" s="8" t="str">
        <f t="array" ref="I911">IFERROR(TEXTJOIN(", ", TRUE, MAKEARRAY(COLUMNS(TEXTSPLIT(G911, ",",, TRUE)), COLUMNS(TEXTSPLIT(H911, ",",, TRUE)), LAMBDA(_xlpm.ri,_xlpm.gi, TRIM(INDEX(TEXTSPLIT(G911, ",",, TRUE), 1, _xlpm.ri)) &amp; "_" &amp; TRIM(INDEX(TEXTSPLIT(H911, ",",, TRUE), 1, _xlpm.gi))))), "")</f>
        <v/>
      </c>
    </row>
    <row r="912" ht="15.75" customHeight="1">
      <c r="B912" s="18"/>
      <c r="I912" s="8" t="str">
        <f t="array" ref="I912">IFERROR(TEXTJOIN(", ", TRUE, MAKEARRAY(COLUMNS(TEXTSPLIT(G912, ",",, TRUE)), COLUMNS(TEXTSPLIT(H912, ",",, TRUE)), LAMBDA(_xlpm.ri,_xlpm.gi, TRIM(INDEX(TEXTSPLIT(G912, ",",, TRUE), 1, _xlpm.ri)) &amp; "_" &amp; TRIM(INDEX(TEXTSPLIT(H912, ",",, TRUE), 1, _xlpm.gi))))), "")</f>
        <v/>
      </c>
    </row>
    <row r="913" ht="15.75" customHeight="1">
      <c r="B913" s="18"/>
      <c r="I913" s="8" t="str">
        <f t="array" ref="I913">IFERROR(TEXTJOIN(", ", TRUE, MAKEARRAY(COLUMNS(TEXTSPLIT(G913, ",",, TRUE)), COLUMNS(TEXTSPLIT(H913, ",",, TRUE)), LAMBDA(_xlpm.ri,_xlpm.gi, TRIM(INDEX(TEXTSPLIT(G913, ",",, TRUE), 1, _xlpm.ri)) &amp; "_" &amp; TRIM(INDEX(TEXTSPLIT(H913, ",",, TRUE), 1, _xlpm.gi))))), "")</f>
        <v/>
      </c>
    </row>
    <row r="914" ht="15.75" customHeight="1">
      <c r="B914" s="18"/>
      <c r="I914" s="8" t="str">
        <f t="array" ref="I914">IFERROR(TEXTJOIN(", ", TRUE, MAKEARRAY(COLUMNS(TEXTSPLIT(G914, ",",, TRUE)), COLUMNS(TEXTSPLIT(H914, ",",, TRUE)), LAMBDA(_xlpm.ri,_xlpm.gi, TRIM(INDEX(TEXTSPLIT(G914, ",",, TRUE), 1, _xlpm.ri)) &amp; "_" &amp; TRIM(INDEX(TEXTSPLIT(H914, ",",, TRUE), 1, _xlpm.gi))))), "")</f>
        <v/>
      </c>
    </row>
    <row r="915" ht="15.75" customHeight="1">
      <c r="B915" s="18"/>
      <c r="I915" s="8" t="str">
        <f t="array" ref="I915">IFERROR(TEXTJOIN(", ", TRUE, MAKEARRAY(COLUMNS(TEXTSPLIT(G915, ",",, TRUE)), COLUMNS(TEXTSPLIT(H915, ",",, TRUE)), LAMBDA(_xlpm.ri,_xlpm.gi, TRIM(INDEX(TEXTSPLIT(G915, ",",, TRUE), 1, _xlpm.ri)) &amp; "_" &amp; TRIM(INDEX(TEXTSPLIT(H915, ",",, TRUE), 1, _xlpm.gi))))), "")</f>
        <v/>
      </c>
    </row>
    <row r="916" ht="15.75" customHeight="1">
      <c r="B916" s="18"/>
      <c r="I916" s="8" t="str">
        <f t="array" ref="I916">IFERROR(TEXTJOIN(", ", TRUE, MAKEARRAY(COLUMNS(TEXTSPLIT(G916, ",",, TRUE)), COLUMNS(TEXTSPLIT(H916, ",",, TRUE)), LAMBDA(_xlpm.ri,_xlpm.gi, TRIM(INDEX(TEXTSPLIT(G916, ",",, TRUE), 1, _xlpm.ri)) &amp; "_" &amp; TRIM(INDEX(TEXTSPLIT(H916, ",",, TRUE), 1, _xlpm.gi))))), "")</f>
        <v/>
      </c>
    </row>
    <row r="917" ht="15.75" customHeight="1">
      <c r="B917" s="18"/>
      <c r="I917" s="8" t="str">
        <f t="array" ref="I917">IFERROR(TEXTJOIN(", ", TRUE, MAKEARRAY(COLUMNS(TEXTSPLIT(G917, ",",, TRUE)), COLUMNS(TEXTSPLIT(H917, ",",, TRUE)), LAMBDA(_xlpm.ri,_xlpm.gi, TRIM(INDEX(TEXTSPLIT(G917, ",",, TRUE), 1, _xlpm.ri)) &amp; "_" &amp; TRIM(INDEX(TEXTSPLIT(H917, ",",, TRUE), 1, _xlpm.gi))))), "")</f>
        <v/>
      </c>
    </row>
    <row r="918" ht="15.75" customHeight="1">
      <c r="B918" s="18"/>
      <c r="I918" s="8" t="str">
        <f t="array" ref="I918">IFERROR(TEXTJOIN(", ", TRUE, MAKEARRAY(COLUMNS(TEXTSPLIT(G918, ",",, TRUE)), COLUMNS(TEXTSPLIT(H918, ",",, TRUE)), LAMBDA(_xlpm.ri,_xlpm.gi, TRIM(INDEX(TEXTSPLIT(G918, ",",, TRUE), 1, _xlpm.ri)) &amp; "_" &amp; TRIM(INDEX(TEXTSPLIT(H918, ",",, TRUE), 1, _xlpm.gi))))), "")</f>
        <v/>
      </c>
    </row>
    <row r="919" ht="15.75" customHeight="1">
      <c r="B919" s="18"/>
      <c r="I919" s="8" t="str">
        <f t="array" ref="I919">IFERROR(TEXTJOIN(", ", TRUE, MAKEARRAY(COLUMNS(TEXTSPLIT(G919, ",",, TRUE)), COLUMNS(TEXTSPLIT(H919, ",",, TRUE)), LAMBDA(_xlpm.ri,_xlpm.gi, TRIM(INDEX(TEXTSPLIT(G919, ",",, TRUE), 1, _xlpm.ri)) &amp; "_" &amp; TRIM(INDEX(TEXTSPLIT(H919, ",",, TRUE), 1, _xlpm.gi))))), "")</f>
        <v/>
      </c>
    </row>
    <row r="920" ht="15.75" customHeight="1">
      <c r="B920" s="18"/>
      <c r="I920" s="8" t="str">
        <f t="array" ref="I920">IFERROR(TEXTJOIN(", ", TRUE, MAKEARRAY(COLUMNS(TEXTSPLIT(G920, ",",, TRUE)), COLUMNS(TEXTSPLIT(H920, ",",, TRUE)), LAMBDA(_xlpm.ri,_xlpm.gi, TRIM(INDEX(TEXTSPLIT(G920, ",",, TRUE), 1, _xlpm.ri)) &amp; "_" &amp; TRIM(INDEX(TEXTSPLIT(H920, ",",, TRUE), 1, _xlpm.gi))))), "")</f>
        <v/>
      </c>
    </row>
    <row r="921" ht="15.75" customHeight="1">
      <c r="B921" s="18"/>
      <c r="I921" s="8" t="str">
        <f t="array" ref="I921">IFERROR(TEXTJOIN(", ", TRUE, MAKEARRAY(COLUMNS(TEXTSPLIT(G921, ",",, TRUE)), COLUMNS(TEXTSPLIT(H921, ",",, TRUE)), LAMBDA(_xlpm.ri,_xlpm.gi, TRIM(INDEX(TEXTSPLIT(G921, ",",, TRUE), 1, _xlpm.ri)) &amp; "_" &amp; TRIM(INDEX(TEXTSPLIT(H921, ",",, TRUE), 1, _xlpm.gi))))), "")</f>
        <v/>
      </c>
    </row>
    <row r="922" ht="15.75" customHeight="1">
      <c r="B922" s="18"/>
      <c r="I922" s="8" t="str">
        <f t="array" ref="I922">IFERROR(TEXTJOIN(", ", TRUE, MAKEARRAY(COLUMNS(TEXTSPLIT(G922, ",",, TRUE)), COLUMNS(TEXTSPLIT(H922, ",",, TRUE)), LAMBDA(_xlpm.ri,_xlpm.gi, TRIM(INDEX(TEXTSPLIT(G922, ",",, TRUE), 1, _xlpm.ri)) &amp; "_" &amp; TRIM(INDEX(TEXTSPLIT(H922, ",",, TRUE), 1, _xlpm.gi))))), "")</f>
        <v/>
      </c>
    </row>
    <row r="923" ht="15.75" customHeight="1">
      <c r="B923" s="18"/>
      <c r="I923" s="8" t="str">
        <f t="array" ref="I923">IFERROR(TEXTJOIN(", ", TRUE, MAKEARRAY(COLUMNS(TEXTSPLIT(G923, ",",, TRUE)), COLUMNS(TEXTSPLIT(H923, ",",, TRUE)), LAMBDA(_xlpm.ri,_xlpm.gi, TRIM(INDEX(TEXTSPLIT(G923, ",",, TRUE), 1, _xlpm.ri)) &amp; "_" &amp; TRIM(INDEX(TEXTSPLIT(H923, ",",, TRUE), 1, _xlpm.gi))))), "")</f>
        <v/>
      </c>
    </row>
    <row r="924" ht="15.75" customHeight="1">
      <c r="B924" s="18"/>
      <c r="I924" s="8" t="str">
        <f t="array" ref="I924">IFERROR(TEXTJOIN(", ", TRUE, MAKEARRAY(COLUMNS(TEXTSPLIT(G924, ",",, TRUE)), COLUMNS(TEXTSPLIT(H924, ",",, TRUE)), LAMBDA(_xlpm.ri,_xlpm.gi, TRIM(INDEX(TEXTSPLIT(G924, ",",, TRUE), 1, _xlpm.ri)) &amp; "_" &amp; TRIM(INDEX(TEXTSPLIT(H924, ",",, TRUE), 1, _xlpm.gi))))), "")</f>
        <v/>
      </c>
    </row>
    <row r="925" ht="15.75" customHeight="1">
      <c r="B925" s="18"/>
      <c r="I925" s="8" t="str">
        <f t="array" ref="I925">IFERROR(TEXTJOIN(", ", TRUE, MAKEARRAY(COLUMNS(TEXTSPLIT(G925, ",",, TRUE)), COLUMNS(TEXTSPLIT(H925, ",",, TRUE)), LAMBDA(_xlpm.ri,_xlpm.gi, TRIM(INDEX(TEXTSPLIT(G925, ",",, TRUE), 1, _xlpm.ri)) &amp; "_" &amp; TRIM(INDEX(TEXTSPLIT(H925, ",",, TRUE), 1, _xlpm.gi))))), "")</f>
        <v/>
      </c>
    </row>
    <row r="926" ht="15.75" customHeight="1">
      <c r="B926" s="18"/>
      <c r="I926" s="8" t="str">
        <f t="array" ref="I926">IFERROR(TEXTJOIN(", ", TRUE, MAKEARRAY(COLUMNS(TEXTSPLIT(G926, ",",, TRUE)), COLUMNS(TEXTSPLIT(H926, ",",, TRUE)), LAMBDA(_xlpm.ri,_xlpm.gi, TRIM(INDEX(TEXTSPLIT(G926, ",",, TRUE), 1, _xlpm.ri)) &amp; "_" &amp; TRIM(INDEX(TEXTSPLIT(H926, ",",, TRUE), 1, _xlpm.gi))))), "")</f>
        <v/>
      </c>
    </row>
    <row r="927" ht="15.75" customHeight="1">
      <c r="B927" s="18"/>
      <c r="I927" s="8" t="str">
        <f t="array" ref="I927">IFERROR(TEXTJOIN(", ", TRUE, MAKEARRAY(COLUMNS(TEXTSPLIT(G927, ",",, TRUE)), COLUMNS(TEXTSPLIT(H927, ",",, TRUE)), LAMBDA(_xlpm.ri,_xlpm.gi, TRIM(INDEX(TEXTSPLIT(G927, ",",, TRUE), 1, _xlpm.ri)) &amp; "_" &amp; TRIM(INDEX(TEXTSPLIT(H927, ",",, TRUE), 1, _xlpm.gi))))), "")</f>
        <v/>
      </c>
    </row>
    <row r="928" ht="15.75" customHeight="1">
      <c r="B928" s="18"/>
      <c r="I928" s="8" t="str">
        <f t="array" ref="I928">IFERROR(TEXTJOIN(", ", TRUE, MAKEARRAY(COLUMNS(TEXTSPLIT(G928, ",",, TRUE)), COLUMNS(TEXTSPLIT(H928, ",",, TRUE)), LAMBDA(_xlpm.ri,_xlpm.gi, TRIM(INDEX(TEXTSPLIT(G928, ",",, TRUE), 1, _xlpm.ri)) &amp; "_" &amp; TRIM(INDEX(TEXTSPLIT(H928, ",",, TRUE), 1, _xlpm.gi))))), "")</f>
        <v/>
      </c>
    </row>
    <row r="929" ht="15.75" customHeight="1">
      <c r="B929" s="18"/>
      <c r="I929" s="8" t="str">
        <f t="array" ref="I929">IFERROR(TEXTJOIN(", ", TRUE, MAKEARRAY(COLUMNS(TEXTSPLIT(G929, ",",, TRUE)), COLUMNS(TEXTSPLIT(H929, ",",, TRUE)), LAMBDA(_xlpm.ri,_xlpm.gi, TRIM(INDEX(TEXTSPLIT(G929, ",",, TRUE), 1, _xlpm.ri)) &amp; "_" &amp; TRIM(INDEX(TEXTSPLIT(H929, ",",, TRUE), 1, _xlpm.gi))))), "")</f>
        <v/>
      </c>
    </row>
    <row r="930" ht="15.75" customHeight="1">
      <c r="B930" s="18"/>
      <c r="I930" s="8" t="str">
        <f t="array" ref="I930">IFERROR(TEXTJOIN(", ", TRUE, MAKEARRAY(COLUMNS(TEXTSPLIT(G930, ",",, TRUE)), COLUMNS(TEXTSPLIT(H930, ",",, TRUE)), LAMBDA(_xlpm.ri,_xlpm.gi, TRIM(INDEX(TEXTSPLIT(G930, ",",, TRUE), 1, _xlpm.ri)) &amp; "_" &amp; TRIM(INDEX(TEXTSPLIT(H930, ",",, TRUE), 1, _xlpm.gi))))), "")</f>
        <v/>
      </c>
    </row>
    <row r="931" ht="15.75" customHeight="1">
      <c r="B931" s="18"/>
      <c r="I931" s="8" t="str">
        <f t="array" ref="I931">IFERROR(TEXTJOIN(", ", TRUE, MAKEARRAY(COLUMNS(TEXTSPLIT(G931, ",",, TRUE)), COLUMNS(TEXTSPLIT(H931, ",",, TRUE)), LAMBDA(_xlpm.ri,_xlpm.gi, TRIM(INDEX(TEXTSPLIT(G931, ",",, TRUE), 1, _xlpm.ri)) &amp; "_" &amp; TRIM(INDEX(TEXTSPLIT(H931, ",",, TRUE), 1, _xlpm.gi))))), "")</f>
        <v/>
      </c>
    </row>
    <row r="932" ht="15.75" customHeight="1">
      <c r="B932" s="18"/>
      <c r="I932" s="8" t="str">
        <f t="array" ref="I932">IFERROR(TEXTJOIN(", ", TRUE, MAKEARRAY(COLUMNS(TEXTSPLIT(G932, ",",, TRUE)), COLUMNS(TEXTSPLIT(H932, ",",, TRUE)), LAMBDA(_xlpm.ri,_xlpm.gi, TRIM(INDEX(TEXTSPLIT(G932, ",",, TRUE), 1, _xlpm.ri)) &amp; "_" &amp; TRIM(INDEX(TEXTSPLIT(H932, ",",, TRUE), 1, _xlpm.gi))))), "")</f>
        <v/>
      </c>
    </row>
    <row r="933" ht="15.75" customHeight="1">
      <c r="B933" s="18"/>
      <c r="I933" s="8" t="str">
        <f t="array" ref="I933">IFERROR(TEXTJOIN(", ", TRUE, MAKEARRAY(COLUMNS(TEXTSPLIT(G933, ",",, TRUE)), COLUMNS(TEXTSPLIT(H933, ",",, TRUE)), LAMBDA(_xlpm.ri,_xlpm.gi, TRIM(INDEX(TEXTSPLIT(G933, ",",, TRUE), 1, _xlpm.ri)) &amp; "_" &amp; TRIM(INDEX(TEXTSPLIT(H933, ",",, TRUE), 1, _xlpm.gi))))), "")</f>
        <v/>
      </c>
    </row>
    <row r="934" ht="15.75" customHeight="1">
      <c r="B934" s="18"/>
      <c r="I934" s="8" t="str">
        <f t="array" ref="I934">IFERROR(TEXTJOIN(", ", TRUE, MAKEARRAY(COLUMNS(TEXTSPLIT(G934, ",",, TRUE)), COLUMNS(TEXTSPLIT(H934, ",",, TRUE)), LAMBDA(_xlpm.ri,_xlpm.gi, TRIM(INDEX(TEXTSPLIT(G934, ",",, TRUE), 1, _xlpm.ri)) &amp; "_" &amp; TRIM(INDEX(TEXTSPLIT(H934, ",",, TRUE), 1, _xlpm.gi))))), "")</f>
        <v/>
      </c>
    </row>
    <row r="935" ht="15.75" customHeight="1">
      <c r="B935" s="18"/>
      <c r="I935" s="8" t="str">
        <f t="array" ref="I935">IFERROR(TEXTJOIN(", ", TRUE, MAKEARRAY(COLUMNS(TEXTSPLIT(G935, ",",, TRUE)), COLUMNS(TEXTSPLIT(H935, ",",, TRUE)), LAMBDA(_xlpm.ri,_xlpm.gi, TRIM(INDEX(TEXTSPLIT(G935, ",",, TRUE), 1, _xlpm.ri)) &amp; "_" &amp; TRIM(INDEX(TEXTSPLIT(H935, ",",, TRUE), 1, _xlpm.gi))))), "")</f>
        <v/>
      </c>
    </row>
    <row r="936" ht="15.75" customHeight="1">
      <c r="B936" s="18"/>
      <c r="I936" s="8" t="str">
        <f t="array" ref="I936">IFERROR(TEXTJOIN(", ", TRUE, MAKEARRAY(COLUMNS(TEXTSPLIT(G936, ",",, TRUE)), COLUMNS(TEXTSPLIT(H936, ",",, TRUE)), LAMBDA(_xlpm.ri,_xlpm.gi, TRIM(INDEX(TEXTSPLIT(G936, ",",, TRUE), 1, _xlpm.ri)) &amp; "_" &amp; TRIM(INDEX(TEXTSPLIT(H936, ",",, TRUE), 1, _xlpm.gi))))), "")</f>
        <v/>
      </c>
    </row>
    <row r="937" ht="15.75" customHeight="1">
      <c r="B937" s="18"/>
      <c r="I937" s="8" t="str">
        <f t="array" ref="I937">IFERROR(TEXTJOIN(", ", TRUE, MAKEARRAY(COLUMNS(TEXTSPLIT(G937, ",",, TRUE)), COLUMNS(TEXTSPLIT(H937, ",",, TRUE)), LAMBDA(_xlpm.ri,_xlpm.gi, TRIM(INDEX(TEXTSPLIT(G937, ",",, TRUE), 1, _xlpm.ri)) &amp; "_" &amp; TRIM(INDEX(TEXTSPLIT(H937, ",",, TRUE), 1, _xlpm.gi))))), "")</f>
        <v/>
      </c>
    </row>
    <row r="938" ht="15.75" customHeight="1">
      <c r="B938" s="18"/>
      <c r="I938" s="8" t="str">
        <f t="array" ref="I938">IFERROR(TEXTJOIN(", ", TRUE, MAKEARRAY(COLUMNS(TEXTSPLIT(G938, ",",, TRUE)), COLUMNS(TEXTSPLIT(H938, ",",, TRUE)), LAMBDA(_xlpm.ri,_xlpm.gi, TRIM(INDEX(TEXTSPLIT(G938, ",",, TRUE), 1, _xlpm.ri)) &amp; "_" &amp; TRIM(INDEX(TEXTSPLIT(H938, ",",, TRUE), 1, _xlpm.gi))))), "")</f>
        <v/>
      </c>
    </row>
    <row r="939" ht="15.75" customHeight="1">
      <c r="B939" s="18"/>
      <c r="I939" s="8" t="str">
        <f t="array" ref="I939">IFERROR(TEXTJOIN(", ", TRUE, MAKEARRAY(COLUMNS(TEXTSPLIT(G939, ",",, TRUE)), COLUMNS(TEXTSPLIT(H939, ",",, TRUE)), LAMBDA(_xlpm.ri,_xlpm.gi, TRIM(INDEX(TEXTSPLIT(G939, ",",, TRUE), 1, _xlpm.ri)) &amp; "_" &amp; TRIM(INDEX(TEXTSPLIT(H939, ",",, TRUE), 1, _xlpm.gi))))), "")</f>
        <v/>
      </c>
    </row>
    <row r="940" ht="15.75" customHeight="1">
      <c r="B940" s="18"/>
      <c r="I940" s="8" t="str">
        <f t="array" ref="I940">IFERROR(TEXTJOIN(", ", TRUE, MAKEARRAY(COLUMNS(TEXTSPLIT(G940, ",",, TRUE)), COLUMNS(TEXTSPLIT(H940, ",",, TRUE)), LAMBDA(_xlpm.ri,_xlpm.gi, TRIM(INDEX(TEXTSPLIT(G940, ",",, TRUE), 1, _xlpm.ri)) &amp; "_" &amp; TRIM(INDEX(TEXTSPLIT(H940, ",",, TRUE), 1, _xlpm.gi))))), "")</f>
        <v/>
      </c>
    </row>
    <row r="941" ht="15.75" customHeight="1">
      <c r="B941" s="18"/>
      <c r="I941" s="8" t="str">
        <f t="array" ref="I941">IFERROR(TEXTJOIN(", ", TRUE, MAKEARRAY(COLUMNS(TEXTSPLIT(G941, ",",, TRUE)), COLUMNS(TEXTSPLIT(H941, ",",, TRUE)), LAMBDA(_xlpm.ri,_xlpm.gi, TRIM(INDEX(TEXTSPLIT(G941, ",",, TRUE), 1, _xlpm.ri)) &amp; "_" &amp; TRIM(INDEX(TEXTSPLIT(H941, ",",, TRUE), 1, _xlpm.gi))))), "")</f>
        <v/>
      </c>
    </row>
    <row r="942" ht="15.75" customHeight="1">
      <c r="B942" s="18"/>
      <c r="I942" s="8" t="str">
        <f t="array" ref="I942">IFERROR(TEXTJOIN(", ", TRUE, MAKEARRAY(COLUMNS(TEXTSPLIT(G942, ",",, TRUE)), COLUMNS(TEXTSPLIT(H942, ",",, TRUE)), LAMBDA(_xlpm.ri,_xlpm.gi, TRIM(INDEX(TEXTSPLIT(G942, ",",, TRUE), 1, _xlpm.ri)) &amp; "_" &amp; TRIM(INDEX(TEXTSPLIT(H942, ",",, TRUE), 1, _xlpm.gi))))), "")</f>
        <v/>
      </c>
    </row>
    <row r="943" ht="15.75" customHeight="1">
      <c r="B943" s="18"/>
      <c r="I943" s="8" t="str">
        <f t="array" ref="I943">IFERROR(TEXTJOIN(", ", TRUE, MAKEARRAY(COLUMNS(TEXTSPLIT(G943, ",",, TRUE)), COLUMNS(TEXTSPLIT(H943, ",",, TRUE)), LAMBDA(_xlpm.ri,_xlpm.gi, TRIM(INDEX(TEXTSPLIT(G943, ",",, TRUE), 1, _xlpm.ri)) &amp; "_" &amp; TRIM(INDEX(TEXTSPLIT(H943, ",",, TRUE), 1, _xlpm.gi))))), "")</f>
        <v/>
      </c>
    </row>
    <row r="944" ht="15.75" customHeight="1">
      <c r="B944" s="18"/>
      <c r="I944" s="8" t="str">
        <f t="array" ref="I944">IFERROR(TEXTJOIN(", ", TRUE, MAKEARRAY(COLUMNS(TEXTSPLIT(G944, ",",, TRUE)), COLUMNS(TEXTSPLIT(H944, ",",, TRUE)), LAMBDA(_xlpm.ri,_xlpm.gi, TRIM(INDEX(TEXTSPLIT(G944, ",",, TRUE), 1, _xlpm.ri)) &amp; "_" &amp; TRIM(INDEX(TEXTSPLIT(H944, ",",, TRUE), 1, _xlpm.gi))))), "")</f>
        <v/>
      </c>
    </row>
    <row r="945" ht="15.75" customHeight="1">
      <c r="B945" s="18"/>
      <c r="I945" s="8" t="str">
        <f t="array" ref="I945">IFERROR(TEXTJOIN(", ", TRUE, MAKEARRAY(COLUMNS(TEXTSPLIT(G945, ",",, TRUE)), COLUMNS(TEXTSPLIT(H945, ",",, TRUE)), LAMBDA(_xlpm.ri,_xlpm.gi, TRIM(INDEX(TEXTSPLIT(G945, ",",, TRUE), 1, _xlpm.ri)) &amp; "_" &amp; TRIM(INDEX(TEXTSPLIT(H945, ",",, TRUE), 1, _xlpm.gi))))), "")</f>
        <v/>
      </c>
    </row>
    <row r="946" ht="15.75" customHeight="1">
      <c r="B946" s="18"/>
      <c r="I946" s="8" t="str">
        <f t="array" ref="I946">IFERROR(TEXTJOIN(", ", TRUE, MAKEARRAY(COLUMNS(TEXTSPLIT(G946, ",",, TRUE)), COLUMNS(TEXTSPLIT(H946, ",",, TRUE)), LAMBDA(_xlpm.ri,_xlpm.gi, TRIM(INDEX(TEXTSPLIT(G946, ",",, TRUE), 1, _xlpm.ri)) &amp; "_" &amp; TRIM(INDEX(TEXTSPLIT(H946, ",",, TRUE), 1, _xlpm.gi))))), "")</f>
        <v/>
      </c>
    </row>
    <row r="947" ht="15.75" customHeight="1">
      <c r="B947" s="18"/>
      <c r="I947" s="8" t="str">
        <f t="array" ref="I947">IFERROR(TEXTJOIN(", ", TRUE, MAKEARRAY(COLUMNS(TEXTSPLIT(G947, ",",, TRUE)), COLUMNS(TEXTSPLIT(H947, ",",, TRUE)), LAMBDA(_xlpm.ri,_xlpm.gi, TRIM(INDEX(TEXTSPLIT(G947, ",",, TRUE), 1, _xlpm.ri)) &amp; "_" &amp; TRIM(INDEX(TEXTSPLIT(H947, ",",, TRUE), 1, _xlpm.gi))))), "")</f>
        <v/>
      </c>
    </row>
    <row r="948" ht="15.75" customHeight="1">
      <c r="B948" s="18"/>
      <c r="I948" s="8" t="str">
        <f t="array" ref="I948">IFERROR(TEXTJOIN(", ", TRUE, MAKEARRAY(COLUMNS(TEXTSPLIT(G948, ",",, TRUE)), COLUMNS(TEXTSPLIT(H948, ",",, TRUE)), LAMBDA(_xlpm.ri,_xlpm.gi, TRIM(INDEX(TEXTSPLIT(G948, ",",, TRUE), 1, _xlpm.ri)) &amp; "_" &amp; TRIM(INDEX(TEXTSPLIT(H948, ",",, TRUE), 1, _xlpm.gi))))), "")</f>
        <v/>
      </c>
    </row>
    <row r="949" ht="15.75" customHeight="1">
      <c r="B949" s="18"/>
      <c r="I949" s="8" t="str">
        <f t="array" ref="I949">IFERROR(TEXTJOIN(", ", TRUE, MAKEARRAY(COLUMNS(TEXTSPLIT(G949, ",",, TRUE)), COLUMNS(TEXTSPLIT(H949, ",",, TRUE)), LAMBDA(_xlpm.ri,_xlpm.gi, TRIM(INDEX(TEXTSPLIT(G949, ",",, TRUE), 1, _xlpm.ri)) &amp; "_" &amp; TRIM(INDEX(TEXTSPLIT(H949, ",",, TRUE), 1, _xlpm.gi))))), "")</f>
        <v/>
      </c>
    </row>
    <row r="950" ht="15.75" customHeight="1">
      <c r="B950" s="18"/>
      <c r="I950" s="8" t="str">
        <f t="array" ref="I950">IFERROR(TEXTJOIN(", ", TRUE, MAKEARRAY(COLUMNS(TEXTSPLIT(G950, ",",, TRUE)), COLUMNS(TEXTSPLIT(H950, ",",, TRUE)), LAMBDA(_xlpm.ri,_xlpm.gi, TRIM(INDEX(TEXTSPLIT(G950, ",",, TRUE), 1, _xlpm.ri)) &amp; "_" &amp; TRIM(INDEX(TEXTSPLIT(H950, ",",, TRUE), 1, _xlpm.gi))))), "")</f>
        <v/>
      </c>
    </row>
    <row r="951" ht="15.75" customHeight="1">
      <c r="B951" s="18"/>
      <c r="I951" s="8" t="str">
        <f t="array" ref="I951">IFERROR(TEXTJOIN(", ", TRUE, MAKEARRAY(COLUMNS(TEXTSPLIT(G951, ",",, TRUE)), COLUMNS(TEXTSPLIT(H951, ",",, TRUE)), LAMBDA(_xlpm.ri,_xlpm.gi, TRIM(INDEX(TEXTSPLIT(G951, ",",, TRUE), 1, _xlpm.ri)) &amp; "_" &amp; TRIM(INDEX(TEXTSPLIT(H951, ",",, TRUE), 1, _xlpm.gi))))), "")</f>
        <v/>
      </c>
    </row>
    <row r="952" ht="15.75" customHeight="1">
      <c r="B952" s="18"/>
      <c r="I952" s="8" t="str">
        <f t="array" ref="I952">IFERROR(TEXTJOIN(", ", TRUE, MAKEARRAY(COLUMNS(TEXTSPLIT(G952, ",",, TRUE)), COLUMNS(TEXTSPLIT(H952, ",",, TRUE)), LAMBDA(_xlpm.ri,_xlpm.gi, TRIM(INDEX(TEXTSPLIT(G952, ",",, TRUE), 1, _xlpm.ri)) &amp; "_" &amp; TRIM(INDEX(TEXTSPLIT(H952, ",",, TRUE), 1, _xlpm.gi))))), "")</f>
        <v/>
      </c>
    </row>
    <row r="953" ht="15.75" customHeight="1">
      <c r="B953" s="18"/>
      <c r="I953" s="8" t="str">
        <f t="array" ref="I953">IFERROR(TEXTJOIN(", ", TRUE, MAKEARRAY(COLUMNS(TEXTSPLIT(G953, ",",, TRUE)), COLUMNS(TEXTSPLIT(H953, ",",, TRUE)), LAMBDA(_xlpm.ri,_xlpm.gi, TRIM(INDEX(TEXTSPLIT(G953, ",",, TRUE), 1, _xlpm.ri)) &amp; "_" &amp; TRIM(INDEX(TEXTSPLIT(H953, ",",, TRUE), 1, _xlpm.gi))))), "")</f>
        <v/>
      </c>
    </row>
    <row r="954" ht="15.75" customHeight="1">
      <c r="B954" s="18"/>
      <c r="I954" s="8" t="str">
        <f t="array" ref="I954">IFERROR(TEXTJOIN(", ", TRUE, MAKEARRAY(COLUMNS(TEXTSPLIT(G954, ",",, TRUE)), COLUMNS(TEXTSPLIT(H954, ",",, TRUE)), LAMBDA(_xlpm.ri,_xlpm.gi, TRIM(INDEX(TEXTSPLIT(G954, ",",, TRUE), 1, _xlpm.ri)) &amp; "_" &amp; TRIM(INDEX(TEXTSPLIT(H954, ",",, TRUE), 1, _xlpm.gi))))), "")</f>
        <v/>
      </c>
    </row>
    <row r="955" ht="15.75" customHeight="1">
      <c r="B955" s="18"/>
      <c r="I955" s="8" t="str">
        <f t="array" ref="I955">IFERROR(TEXTJOIN(", ", TRUE, MAKEARRAY(COLUMNS(TEXTSPLIT(G955, ",",, TRUE)), COLUMNS(TEXTSPLIT(H955, ",",, TRUE)), LAMBDA(_xlpm.ri,_xlpm.gi, TRIM(INDEX(TEXTSPLIT(G955, ",",, TRUE), 1, _xlpm.ri)) &amp; "_" &amp; TRIM(INDEX(TEXTSPLIT(H955, ",",, TRUE), 1, _xlpm.gi))))), "")</f>
        <v/>
      </c>
    </row>
    <row r="956" ht="15.75" customHeight="1">
      <c r="B956" s="18"/>
      <c r="I956" s="8" t="str">
        <f t="array" ref="I956">IFERROR(TEXTJOIN(", ", TRUE, MAKEARRAY(COLUMNS(TEXTSPLIT(G956, ",",, TRUE)), COLUMNS(TEXTSPLIT(H956, ",",, TRUE)), LAMBDA(_xlpm.ri,_xlpm.gi, TRIM(INDEX(TEXTSPLIT(G956, ",",, TRUE), 1, _xlpm.ri)) &amp; "_" &amp; TRIM(INDEX(TEXTSPLIT(H956, ",",, TRUE), 1, _xlpm.gi))))), "")</f>
        <v/>
      </c>
    </row>
    <row r="957" ht="15.75" customHeight="1">
      <c r="B957" s="18"/>
      <c r="I957" s="8" t="str">
        <f t="array" ref="I957">IFERROR(TEXTJOIN(", ", TRUE, MAKEARRAY(COLUMNS(TEXTSPLIT(G957, ",",, TRUE)), COLUMNS(TEXTSPLIT(H957, ",",, TRUE)), LAMBDA(_xlpm.ri,_xlpm.gi, TRIM(INDEX(TEXTSPLIT(G957, ",",, TRUE), 1, _xlpm.ri)) &amp; "_" &amp; TRIM(INDEX(TEXTSPLIT(H957, ",",, TRUE), 1, _xlpm.gi))))), "")</f>
        <v/>
      </c>
    </row>
    <row r="958" ht="15.75" customHeight="1">
      <c r="B958" s="18"/>
      <c r="I958" s="8" t="str">
        <f t="array" ref="I958">IFERROR(TEXTJOIN(", ", TRUE, MAKEARRAY(COLUMNS(TEXTSPLIT(G958, ",",, TRUE)), COLUMNS(TEXTSPLIT(H958, ",",, TRUE)), LAMBDA(_xlpm.ri,_xlpm.gi, TRIM(INDEX(TEXTSPLIT(G958, ",",, TRUE), 1, _xlpm.ri)) &amp; "_" &amp; TRIM(INDEX(TEXTSPLIT(H958, ",",, TRUE), 1, _xlpm.gi))))), "")</f>
        <v/>
      </c>
    </row>
    <row r="959" ht="15.75" customHeight="1">
      <c r="B959" s="18"/>
      <c r="I959" s="8" t="str">
        <f t="array" ref="I959">IFERROR(TEXTJOIN(", ", TRUE, MAKEARRAY(COLUMNS(TEXTSPLIT(G959, ",",, TRUE)), COLUMNS(TEXTSPLIT(H959, ",",, TRUE)), LAMBDA(_xlpm.ri,_xlpm.gi, TRIM(INDEX(TEXTSPLIT(G959, ",",, TRUE), 1, _xlpm.ri)) &amp; "_" &amp; TRIM(INDEX(TEXTSPLIT(H959, ",",, TRUE), 1, _xlpm.gi))))), "")</f>
        <v/>
      </c>
    </row>
    <row r="960" ht="15.75" customHeight="1">
      <c r="B960" s="18"/>
      <c r="I960" s="8" t="str">
        <f t="array" ref="I960">IFERROR(TEXTJOIN(", ", TRUE, MAKEARRAY(COLUMNS(TEXTSPLIT(G960, ",",, TRUE)), COLUMNS(TEXTSPLIT(H960, ",",, TRUE)), LAMBDA(_xlpm.ri,_xlpm.gi, TRIM(INDEX(TEXTSPLIT(G960, ",",, TRUE), 1, _xlpm.ri)) &amp; "_" &amp; TRIM(INDEX(TEXTSPLIT(H960, ",",, TRUE), 1, _xlpm.gi))))), "")</f>
        <v/>
      </c>
    </row>
    <row r="961" ht="15.75" customHeight="1">
      <c r="B961" s="18"/>
      <c r="I961" s="8" t="str">
        <f t="array" ref="I961">IFERROR(TEXTJOIN(", ", TRUE, MAKEARRAY(COLUMNS(TEXTSPLIT(G961, ",",, TRUE)), COLUMNS(TEXTSPLIT(H961, ",",, TRUE)), LAMBDA(_xlpm.ri,_xlpm.gi, TRIM(INDEX(TEXTSPLIT(G961, ",",, TRUE), 1, _xlpm.ri)) &amp; "_" &amp; TRIM(INDEX(TEXTSPLIT(H961, ",",, TRUE), 1, _xlpm.gi))))), "")</f>
        <v/>
      </c>
    </row>
    <row r="962" ht="15.75" customHeight="1">
      <c r="B962" s="18"/>
      <c r="I962" s="8" t="str">
        <f t="array" ref="I962">IFERROR(TEXTJOIN(", ", TRUE, MAKEARRAY(COLUMNS(TEXTSPLIT(G962, ",",, TRUE)), COLUMNS(TEXTSPLIT(H962, ",",, TRUE)), LAMBDA(_xlpm.ri,_xlpm.gi, TRIM(INDEX(TEXTSPLIT(G962, ",",, TRUE), 1, _xlpm.ri)) &amp; "_" &amp; TRIM(INDEX(TEXTSPLIT(H962, ",",, TRUE), 1, _xlpm.gi))))), "")</f>
        <v/>
      </c>
    </row>
    <row r="963" ht="15.75" customHeight="1">
      <c r="B963" s="18"/>
      <c r="I963" s="8" t="str">
        <f t="array" ref="I963">IFERROR(TEXTJOIN(", ", TRUE, MAKEARRAY(COLUMNS(TEXTSPLIT(G963, ",",, TRUE)), COLUMNS(TEXTSPLIT(H963, ",",, TRUE)), LAMBDA(_xlpm.ri,_xlpm.gi, TRIM(INDEX(TEXTSPLIT(G963, ",",, TRUE), 1, _xlpm.ri)) &amp; "_" &amp; TRIM(INDEX(TEXTSPLIT(H963, ",",, TRUE), 1, _xlpm.gi))))), "")</f>
        <v/>
      </c>
    </row>
    <row r="964" ht="15.75" customHeight="1">
      <c r="B964" s="18"/>
      <c r="I964" s="8" t="str">
        <f t="array" ref="I964">IFERROR(TEXTJOIN(", ", TRUE, MAKEARRAY(COLUMNS(TEXTSPLIT(G964, ",",, TRUE)), COLUMNS(TEXTSPLIT(H964, ",",, TRUE)), LAMBDA(_xlpm.ri,_xlpm.gi, TRIM(INDEX(TEXTSPLIT(G964, ",",, TRUE), 1, _xlpm.ri)) &amp; "_" &amp; TRIM(INDEX(TEXTSPLIT(H964, ",",, TRUE), 1, _xlpm.gi))))), "")</f>
        <v/>
      </c>
    </row>
    <row r="965" ht="15.75" customHeight="1">
      <c r="B965" s="18"/>
      <c r="I965" s="8" t="str">
        <f t="array" ref="I965">IFERROR(TEXTJOIN(", ", TRUE, MAKEARRAY(COLUMNS(TEXTSPLIT(G965, ",",, TRUE)), COLUMNS(TEXTSPLIT(H965, ",",, TRUE)), LAMBDA(_xlpm.ri,_xlpm.gi, TRIM(INDEX(TEXTSPLIT(G965, ",",, TRUE), 1, _xlpm.ri)) &amp; "_" &amp; TRIM(INDEX(TEXTSPLIT(H965, ",",, TRUE), 1, _xlpm.gi))))), "")</f>
        <v/>
      </c>
    </row>
    <row r="966" ht="15.75" customHeight="1">
      <c r="B966" s="18"/>
      <c r="I966" s="8" t="str">
        <f t="array" ref="I966">IFERROR(TEXTJOIN(", ", TRUE, MAKEARRAY(COLUMNS(TEXTSPLIT(G966, ",",, TRUE)), COLUMNS(TEXTSPLIT(H966, ",",, TRUE)), LAMBDA(_xlpm.ri,_xlpm.gi, TRIM(INDEX(TEXTSPLIT(G966, ",",, TRUE), 1, _xlpm.ri)) &amp; "_" &amp; TRIM(INDEX(TEXTSPLIT(H966, ",",, TRUE), 1, _xlpm.gi))))), "")</f>
        <v/>
      </c>
    </row>
    <row r="967" ht="15.75" customHeight="1">
      <c r="B967" s="18"/>
      <c r="I967" s="8" t="str">
        <f t="array" ref="I967">IFERROR(TEXTJOIN(", ", TRUE, MAKEARRAY(COLUMNS(TEXTSPLIT(G967, ",",, TRUE)), COLUMNS(TEXTSPLIT(H967, ",",, TRUE)), LAMBDA(_xlpm.ri,_xlpm.gi, TRIM(INDEX(TEXTSPLIT(G967, ",",, TRUE), 1, _xlpm.ri)) &amp; "_" &amp; TRIM(INDEX(TEXTSPLIT(H967, ",",, TRUE), 1, _xlpm.gi))))), "")</f>
        <v/>
      </c>
    </row>
    <row r="968" ht="15.75" customHeight="1">
      <c r="B968" s="18"/>
      <c r="I968" s="8" t="str">
        <f t="array" ref="I968">IFERROR(TEXTJOIN(", ", TRUE, MAKEARRAY(COLUMNS(TEXTSPLIT(G968, ",",, TRUE)), COLUMNS(TEXTSPLIT(H968, ",",, TRUE)), LAMBDA(_xlpm.ri,_xlpm.gi, TRIM(INDEX(TEXTSPLIT(G968, ",",, TRUE), 1, _xlpm.ri)) &amp; "_" &amp; TRIM(INDEX(TEXTSPLIT(H968, ",",, TRUE), 1, _xlpm.gi))))), "")</f>
        <v/>
      </c>
    </row>
    <row r="969" ht="15.75" customHeight="1">
      <c r="B969" s="18"/>
      <c r="I969" s="8" t="str">
        <f t="array" ref="I969">IFERROR(TEXTJOIN(", ", TRUE, MAKEARRAY(COLUMNS(TEXTSPLIT(G969, ",",, TRUE)), COLUMNS(TEXTSPLIT(H969, ",",, TRUE)), LAMBDA(_xlpm.ri,_xlpm.gi, TRIM(INDEX(TEXTSPLIT(G969, ",",, TRUE), 1, _xlpm.ri)) &amp; "_" &amp; TRIM(INDEX(TEXTSPLIT(H969, ",",, TRUE), 1, _xlpm.gi))))), "")</f>
        <v/>
      </c>
    </row>
    <row r="970" ht="15.75" customHeight="1">
      <c r="B970" s="18"/>
      <c r="I970" s="8" t="str">
        <f t="array" ref="I970">IFERROR(TEXTJOIN(", ", TRUE, MAKEARRAY(COLUMNS(TEXTSPLIT(G970, ",",, TRUE)), COLUMNS(TEXTSPLIT(H970, ",",, TRUE)), LAMBDA(_xlpm.ri,_xlpm.gi, TRIM(INDEX(TEXTSPLIT(G970, ",",, TRUE), 1, _xlpm.ri)) &amp; "_" &amp; TRIM(INDEX(TEXTSPLIT(H970, ",",, TRUE), 1, _xlpm.gi))))), "")</f>
        <v/>
      </c>
    </row>
    <row r="971" ht="15.75" customHeight="1">
      <c r="B971" s="18"/>
      <c r="I971" s="8" t="str">
        <f t="array" ref="I971">IFERROR(TEXTJOIN(", ", TRUE, MAKEARRAY(COLUMNS(TEXTSPLIT(G971, ",",, TRUE)), COLUMNS(TEXTSPLIT(H971, ",",, TRUE)), LAMBDA(_xlpm.ri,_xlpm.gi, TRIM(INDEX(TEXTSPLIT(G971, ",",, TRUE), 1, _xlpm.ri)) &amp; "_" &amp; TRIM(INDEX(TEXTSPLIT(H971, ",",, TRUE), 1, _xlpm.gi))))), "")</f>
        <v/>
      </c>
    </row>
    <row r="972" ht="15.75" customHeight="1">
      <c r="B972" s="18"/>
      <c r="I972" s="8" t="str">
        <f t="array" ref="I972">IFERROR(TEXTJOIN(", ", TRUE, MAKEARRAY(COLUMNS(TEXTSPLIT(G972, ",",, TRUE)), COLUMNS(TEXTSPLIT(H972, ",",, TRUE)), LAMBDA(_xlpm.ri,_xlpm.gi, TRIM(INDEX(TEXTSPLIT(G972, ",",, TRUE), 1, _xlpm.ri)) &amp; "_" &amp; TRIM(INDEX(TEXTSPLIT(H972, ",",, TRUE), 1, _xlpm.gi))))), "")</f>
        <v/>
      </c>
    </row>
    <row r="973" ht="15.75" customHeight="1">
      <c r="B973" s="18"/>
      <c r="I973" s="8" t="str">
        <f t="array" ref="I973">IFERROR(TEXTJOIN(", ", TRUE, MAKEARRAY(COLUMNS(TEXTSPLIT(G973, ",",, TRUE)), COLUMNS(TEXTSPLIT(H973, ",",, TRUE)), LAMBDA(_xlpm.ri,_xlpm.gi, TRIM(INDEX(TEXTSPLIT(G973, ",",, TRUE), 1, _xlpm.ri)) &amp; "_" &amp; TRIM(INDEX(TEXTSPLIT(H973, ",",, TRUE), 1, _xlpm.gi))))), "")</f>
        <v/>
      </c>
    </row>
    <row r="974" ht="15.75" customHeight="1">
      <c r="B974" s="18"/>
      <c r="I974" s="8" t="str">
        <f t="array" ref="I974">IFERROR(TEXTJOIN(", ", TRUE, MAKEARRAY(COLUMNS(TEXTSPLIT(G974, ",",, TRUE)), COLUMNS(TEXTSPLIT(H974, ",",, TRUE)), LAMBDA(_xlpm.ri,_xlpm.gi, TRIM(INDEX(TEXTSPLIT(G974, ",",, TRUE), 1, _xlpm.ri)) &amp; "_" &amp; TRIM(INDEX(TEXTSPLIT(H974, ",",, TRUE), 1, _xlpm.gi))))), "")</f>
        <v/>
      </c>
    </row>
    <row r="975" ht="15.75" customHeight="1">
      <c r="B975" s="18"/>
      <c r="I975" s="8" t="str">
        <f t="array" ref="I975">IFERROR(TEXTJOIN(", ", TRUE, MAKEARRAY(COLUMNS(TEXTSPLIT(G975, ",",, TRUE)), COLUMNS(TEXTSPLIT(H975, ",",, TRUE)), LAMBDA(_xlpm.ri,_xlpm.gi, TRIM(INDEX(TEXTSPLIT(G975, ",",, TRUE), 1, _xlpm.ri)) &amp; "_" &amp; TRIM(INDEX(TEXTSPLIT(H975, ",",, TRUE), 1, _xlpm.gi))))), "")</f>
        <v/>
      </c>
    </row>
    <row r="976" ht="15.75" customHeight="1">
      <c r="B976" s="18"/>
    </row>
    <row r="977" ht="15.75" customHeight="1">
      <c r="B977" s="18"/>
    </row>
    <row r="978" ht="15.75" customHeight="1">
      <c r="B978" s="18"/>
    </row>
    <row r="979" ht="15.75" customHeight="1">
      <c r="B979" s="18"/>
    </row>
    <row r="980" ht="15.75" customHeight="1">
      <c r="B980" s="18"/>
    </row>
    <row r="981" ht="15.75" customHeight="1">
      <c r="B981" s="18"/>
    </row>
    <row r="982" ht="15.75" customHeight="1">
      <c r="B982" s="18"/>
    </row>
    <row r="983" ht="15.75" customHeight="1">
      <c r="B983" s="18"/>
    </row>
    <row r="984" ht="15.75" customHeight="1">
      <c r="B984" s="18"/>
    </row>
    <row r="985" ht="15.75" customHeight="1">
      <c r="B985" s="18"/>
    </row>
    <row r="986" ht="15.75" customHeight="1">
      <c r="B986" s="18"/>
    </row>
    <row r="987" ht="15.75" customHeight="1">
      <c r="B987" s="18"/>
    </row>
    <row r="988" ht="15.75" customHeight="1">
      <c r="B988" s="18"/>
    </row>
    <row r="989" ht="15.75" customHeight="1">
      <c r="B989" s="18"/>
    </row>
    <row r="990" ht="15.75" customHeight="1">
      <c r="B990" s="18"/>
    </row>
    <row r="991" ht="15.75" customHeight="1">
      <c r="B991" s="18"/>
    </row>
    <row r="992" ht="15.75" customHeight="1">
      <c r="B992" s="18"/>
    </row>
    <row r="993" ht="15.75" customHeight="1">
      <c r="B993" s="18"/>
    </row>
    <row r="994" ht="15.75" customHeight="1">
      <c r="B994" s="18"/>
    </row>
    <row r="995" ht="15.75" customHeight="1">
      <c r="B995" s="18"/>
    </row>
    <row r="996" ht="15.75" customHeight="1">
      <c r="B996" s="18"/>
    </row>
    <row r="997" ht="15.75" customHeight="1">
      <c r="B997" s="18"/>
    </row>
    <row r="998" ht="15.75" customHeight="1">
      <c r="B998" s="18"/>
    </row>
    <row r="999" ht="15.75" customHeight="1">
      <c r="B999" s="18"/>
    </row>
    <row r="1000" ht="15.75" customHeight="1">
      <c r="B1000" s="18"/>
    </row>
    <row r="1001" ht="15.75" customHeight="1">
      <c r="B1001" s="18"/>
    </row>
  </sheetData>
  <conditionalFormatting sqref="F1 F110 F393:F395 F402:F505 F512:F521 F655:F975">
    <cfRule type="beginsWith" dxfId="0" priority="1" operator="beginsWith" text="(">
      <formula>LEFT((F1),LEN("("))=("(")</formula>
    </cfRule>
  </conditionalFormatting>
  <conditionalFormatting sqref="F110 F393:F395 F402:F505 F512:F521 F655:F975">
    <cfRule type="containsText" dxfId="1" priority="2" operator="containsText" text="Child">
      <formula>NOT(ISERROR(SEARCH(("Child"),(F110))))</formula>
    </cfRule>
  </conditionalFormatting>
  <conditionalFormatting sqref="F110 F393:F395 F402:F505 F512:F521 F655:F975">
    <cfRule type="beginsWith" dxfId="2" priority="3" operator="beginsWith" text="actor">
      <formula>LEFT((F110),LEN("actor"))=("actor")</formula>
    </cfRule>
  </conditionalFormatting>
  <conditionalFormatting sqref="F110 F393:F395 F402:F505 F512:F521 F655:F975">
    <cfRule type="beginsWith" dxfId="3" priority="4" operator="beginsWith" text="Untested">
      <formula>LEFT((F110),LEN("Untested"))=("Untested")</formula>
    </cfRule>
  </conditionalFormatting>
  <conditionalFormatting sqref="F110 F393:F395 F402:F505 F512:F521 F655:F975">
    <cfRule type="beginsWith" dxfId="0" priority="5" operator="beginsWith" text="Not Done">
      <formula>LEFT((F110),LEN("Not Done"))=("Not Done")</formula>
    </cfRule>
  </conditionalFormatting>
  <printOptions/>
  <pageMargins bottom="0.0" footer="0.0" header="0.0" left="0.0" right="0.0" top="0.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38"/>
    <col customWidth="1" min="2" max="2" width="46.63"/>
    <col customWidth="1" min="3" max="3" width="33.88"/>
  </cols>
  <sheetData>
    <row r="1">
      <c r="A1" s="1" t="s">
        <v>0</v>
      </c>
      <c r="B1" s="1" t="s">
        <v>2</v>
      </c>
      <c r="C1" s="1" t="s">
        <v>3</v>
      </c>
    </row>
    <row r="2">
      <c r="A2" s="3" t="s">
        <v>4</v>
      </c>
      <c r="B2" s="5" t="s">
        <v>8</v>
      </c>
      <c r="C2" s="11" t="s">
        <v>11</v>
      </c>
    </row>
    <row r="3">
      <c r="A3" s="3" t="s">
        <v>60</v>
      </c>
      <c r="B3" s="5" t="s">
        <v>63</v>
      </c>
      <c r="C3" s="11" t="s">
        <v>64</v>
      </c>
    </row>
    <row r="4">
      <c r="A4" s="5" t="s">
        <v>100</v>
      </c>
      <c r="B4" s="5" t="s">
        <v>102</v>
      </c>
      <c r="C4" s="11" t="s">
        <v>105</v>
      </c>
    </row>
    <row r="5">
      <c r="A5" s="5" t="s">
        <v>141</v>
      </c>
      <c r="B5" s="5" t="s">
        <v>143</v>
      </c>
      <c r="C5" s="11" t="s">
        <v>145</v>
      </c>
    </row>
    <row r="6">
      <c r="A6" s="5" t="s">
        <v>181</v>
      </c>
      <c r="B6" s="5" t="s">
        <v>183</v>
      </c>
      <c r="C6" s="11" t="s">
        <v>187</v>
      </c>
    </row>
    <row r="7">
      <c r="A7" s="5" t="s">
        <v>212</v>
      </c>
      <c r="B7" s="5" t="s">
        <v>213</v>
      </c>
      <c r="C7" s="11" t="s">
        <v>216</v>
      </c>
    </row>
    <row r="8">
      <c r="A8" s="5" t="s">
        <v>243</v>
      </c>
      <c r="B8" s="5" t="s">
        <v>247</v>
      </c>
      <c r="C8" s="11" t="s">
        <v>249</v>
      </c>
    </row>
    <row r="9">
      <c r="A9" s="5" t="s">
        <v>276</v>
      </c>
      <c r="B9" s="5" t="s">
        <v>277</v>
      </c>
      <c r="C9" s="11" t="s">
        <v>279</v>
      </c>
    </row>
    <row r="10">
      <c r="A10" s="5" t="s">
        <v>307</v>
      </c>
      <c r="B10" s="5" t="s">
        <v>308</v>
      </c>
      <c r="C10" s="11" t="s">
        <v>310</v>
      </c>
    </row>
    <row r="11">
      <c r="A11" s="5" t="s">
        <v>342</v>
      </c>
      <c r="B11" s="12" t="s">
        <v>344</v>
      </c>
      <c r="C11" s="11" t="s">
        <v>347</v>
      </c>
    </row>
    <row r="12">
      <c r="A12" s="5" t="s">
        <v>384</v>
      </c>
      <c r="B12" s="12" t="s">
        <v>385</v>
      </c>
      <c r="C12" s="11" t="s">
        <v>387</v>
      </c>
    </row>
    <row r="13">
      <c r="A13" s="5" t="s">
        <v>416</v>
      </c>
      <c r="B13" s="12" t="s">
        <v>418</v>
      </c>
      <c r="C13" s="11" t="s">
        <v>420</v>
      </c>
    </row>
    <row r="14">
      <c r="A14" s="5" t="s">
        <v>441</v>
      </c>
      <c r="B14" s="5" t="s">
        <v>443</v>
      </c>
      <c r="C14" s="11" t="s">
        <v>444</v>
      </c>
    </row>
    <row r="15">
      <c r="A15" s="5" t="s">
        <v>461</v>
      </c>
      <c r="B15" s="12" t="s">
        <v>462</v>
      </c>
      <c r="C15" s="11" t="s">
        <v>464</v>
      </c>
    </row>
    <row r="16">
      <c r="A16" s="5" t="s">
        <v>478</v>
      </c>
      <c r="B16" s="12" t="s">
        <v>479</v>
      </c>
      <c r="C16" s="11" t="s">
        <v>480</v>
      </c>
    </row>
    <row r="17">
      <c r="A17" s="5" t="s">
        <v>486</v>
      </c>
      <c r="B17" s="12" t="s">
        <v>487</v>
      </c>
      <c r="C17" s="13" t="s">
        <v>488</v>
      </c>
    </row>
    <row r="18">
      <c r="A18" s="5" t="s">
        <v>502</v>
      </c>
      <c r="B18" s="12" t="s">
        <v>503</v>
      </c>
      <c r="C18" s="11" t="s">
        <v>505</v>
      </c>
    </row>
    <row r="19">
      <c r="A19" s="5" t="s">
        <v>519</v>
      </c>
      <c r="B19" s="12" t="s">
        <v>520</v>
      </c>
      <c r="C19" s="11" t="s">
        <v>521</v>
      </c>
    </row>
    <row r="20">
      <c r="A20" s="5" t="s">
        <v>538</v>
      </c>
      <c r="B20" s="12" t="s">
        <v>540</v>
      </c>
      <c r="C20" s="11" t="s">
        <v>541</v>
      </c>
    </row>
    <row r="21">
      <c r="A21" s="5" t="s">
        <v>559</v>
      </c>
      <c r="B21" s="12" t="s">
        <v>560</v>
      </c>
      <c r="C21" s="11" t="s">
        <v>562</v>
      </c>
    </row>
    <row r="22">
      <c r="A22" s="5" t="s">
        <v>582</v>
      </c>
      <c r="B22" s="12" t="s">
        <v>584</v>
      </c>
      <c r="C22" s="11" t="s">
        <v>585</v>
      </c>
    </row>
    <row r="23">
      <c r="A23" s="5" t="s">
        <v>603</v>
      </c>
      <c r="B23" s="12" t="s">
        <v>604</v>
      </c>
      <c r="C23" s="11" t="s">
        <v>606</v>
      </c>
    </row>
    <row r="24">
      <c r="A24" s="5" t="s">
        <v>628</v>
      </c>
      <c r="B24" s="5" t="s">
        <v>629</v>
      </c>
      <c r="C24" s="11" t="s">
        <v>631</v>
      </c>
    </row>
    <row r="25">
      <c r="A25" s="5" t="s">
        <v>647</v>
      </c>
      <c r="B25" s="5" t="s">
        <v>649</v>
      </c>
      <c r="C25" s="11" t="s">
        <v>650</v>
      </c>
    </row>
    <row r="26">
      <c r="A26" s="5" t="s">
        <v>667</v>
      </c>
      <c r="B26" s="5" t="s">
        <v>668</v>
      </c>
      <c r="C26" s="11" t="s">
        <v>669</v>
      </c>
    </row>
    <row r="27">
      <c r="A27" s="5" t="s">
        <v>688</v>
      </c>
      <c r="B27" s="5" t="s">
        <v>690</v>
      </c>
      <c r="C27" s="11" t="s">
        <v>692</v>
      </c>
    </row>
    <row r="28">
      <c r="A28" s="5" t="s">
        <v>705</v>
      </c>
      <c r="B28" s="5" t="s">
        <v>707</v>
      </c>
      <c r="C28" s="11" t="s">
        <v>709</v>
      </c>
    </row>
    <row r="29">
      <c r="A29" s="5" t="s">
        <v>723</v>
      </c>
      <c r="B29" s="5" t="s">
        <v>724</v>
      </c>
      <c r="C29" s="11" t="s">
        <v>725</v>
      </c>
    </row>
    <row r="30">
      <c r="A30" s="5" t="s">
        <v>739</v>
      </c>
      <c r="B30" s="5" t="s">
        <v>740</v>
      </c>
      <c r="C30" s="11" t="s">
        <v>742</v>
      </c>
    </row>
    <row r="31">
      <c r="A31" s="5" t="s">
        <v>754</v>
      </c>
      <c r="B31" s="5" t="s">
        <v>755</v>
      </c>
      <c r="C31" s="11" t="s">
        <v>757</v>
      </c>
    </row>
    <row r="32">
      <c r="A32" s="5" t="s">
        <v>769</v>
      </c>
      <c r="B32" s="5" t="s">
        <v>770</v>
      </c>
      <c r="C32" s="11" t="s">
        <v>771</v>
      </c>
    </row>
    <row r="33">
      <c r="A33" s="5" t="s">
        <v>789</v>
      </c>
      <c r="B33" s="5" t="s">
        <v>791</v>
      </c>
      <c r="C33" s="11" t="s">
        <v>794</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s>
  <drawing r:id="rId3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3" width="24.5"/>
    <col customWidth="1" min="4" max="4" width="10.13"/>
  </cols>
  <sheetData>
    <row r="1">
      <c r="A1" s="2" t="s">
        <v>1</v>
      </c>
      <c r="B1" s="4" t="s">
        <v>5</v>
      </c>
      <c r="C1" s="4" t="s">
        <v>6</v>
      </c>
      <c r="D1" s="4" t="s">
        <v>7</v>
      </c>
    </row>
    <row r="2">
      <c r="A2" s="6" t="s">
        <v>9</v>
      </c>
      <c r="B2" s="7" t="s">
        <v>12</v>
      </c>
      <c r="C2" s="7" t="s">
        <v>14</v>
      </c>
      <c r="D2" s="7" t="s">
        <v>14</v>
      </c>
      <c r="E2" s="8"/>
    </row>
    <row r="3">
      <c r="A3" s="6" t="s">
        <v>9</v>
      </c>
      <c r="B3" s="7" t="s">
        <v>22</v>
      </c>
      <c r="C3" s="7" t="s">
        <v>24</v>
      </c>
      <c r="D3" s="7" t="s">
        <v>26</v>
      </c>
      <c r="E3" s="8"/>
    </row>
    <row r="4">
      <c r="A4" s="6" t="s">
        <v>9</v>
      </c>
      <c r="B4" s="7" t="s">
        <v>30</v>
      </c>
      <c r="C4" s="7" t="s">
        <v>32</v>
      </c>
      <c r="D4" s="7" t="s">
        <v>33</v>
      </c>
      <c r="E4" s="8"/>
    </row>
    <row r="5">
      <c r="A5" s="6" t="s">
        <v>9</v>
      </c>
      <c r="B5" s="7" t="s">
        <v>38</v>
      </c>
      <c r="C5" s="7" t="s">
        <v>40</v>
      </c>
      <c r="D5" s="7" t="s">
        <v>26</v>
      </c>
      <c r="E5" s="8"/>
    </row>
    <row r="6">
      <c r="A6" s="6" t="s">
        <v>9</v>
      </c>
      <c r="B6" s="7" t="s">
        <v>46</v>
      </c>
      <c r="C6" s="7" t="s">
        <v>47</v>
      </c>
      <c r="D6" s="7" t="s">
        <v>33</v>
      </c>
      <c r="E6" s="8"/>
    </row>
    <row r="7">
      <c r="A7" s="6" t="s">
        <v>9</v>
      </c>
      <c r="B7" s="7" t="s">
        <v>50</v>
      </c>
      <c r="C7" s="7" t="s">
        <v>51</v>
      </c>
      <c r="D7" s="7" t="s">
        <v>26</v>
      </c>
      <c r="E7" s="8"/>
    </row>
    <row r="8">
      <c r="A8" s="6" t="s">
        <v>9</v>
      </c>
      <c r="B8" s="7" t="s">
        <v>55</v>
      </c>
      <c r="C8" s="7" t="s">
        <v>57</v>
      </c>
      <c r="D8" s="7" t="s">
        <v>57</v>
      </c>
      <c r="E8" s="8"/>
    </row>
    <row r="9">
      <c r="A9" s="6" t="s">
        <v>9</v>
      </c>
      <c r="B9" s="7" t="s">
        <v>34</v>
      </c>
      <c r="C9" s="7" t="s">
        <v>61</v>
      </c>
      <c r="D9" s="7" t="s">
        <v>26</v>
      </c>
      <c r="E9" s="8"/>
    </row>
    <row r="10">
      <c r="A10" s="6" t="s">
        <v>9</v>
      </c>
      <c r="B10" s="7" t="s">
        <v>67</v>
      </c>
      <c r="C10" s="7" t="s">
        <v>69</v>
      </c>
      <c r="D10" s="7" t="s">
        <v>69</v>
      </c>
      <c r="E10" s="8"/>
    </row>
    <row r="11">
      <c r="A11" s="6" t="s">
        <v>9</v>
      </c>
      <c r="B11" s="7" t="s">
        <v>74</v>
      </c>
      <c r="C11" s="7" t="s">
        <v>76</v>
      </c>
      <c r="D11" s="7" t="s">
        <v>26</v>
      </c>
      <c r="E11" s="8"/>
    </row>
    <row r="12">
      <c r="A12" s="6" t="s">
        <v>9</v>
      </c>
      <c r="B12" s="7" t="s">
        <v>80</v>
      </c>
      <c r="C12" s="7" t="s">
        <v>82</v>
      </c>
      <c r="D12" s="7" t="s">
        <v>33</v>
      </c>
      <c r="E12" s="8"/>
    </row>
    <row r="13">
      <c r="A13" s="6" t="s">
        <v>85</v>
      </c>
      <c r="B13" s="7" t="s">
        <v>88</v>
      </c>
      <c r="C13" s="7" t="s">
        <v>89</v>
      </c>
      <c r="D13" s="7" t="s">
        <v>14</v>
      </c>
      <c r="E13" s="8"/>
    </row>
    <row r="14">
      <c r="A14" s="6" t="s">
        <v>85</v>
      </c>
      <c r="B14" s="7" t="s">
        <v>94</v>
      </c>
      <c r="C14" s="7" t="s">
        <v>95</v>
      </c>
      <c r="D14" s="7" t="s">
        <v>26</v>
      </c>
      <c r="E14" s="8"/>
    </row>
    <row r="15">
      <c r="A15" s="6" t="s">
        <v>85</v>
      </c>
      <c r="B15" s="7" t="s">
        <v>101</v>
      </c>
      <c r="C15" s="7" t="s">
        <v>103</v>
      </c>
      <c r="D15" s="7" t="s">
        <v>33</v>
      </c>
      <c r="E15" s="8"/>
    </row>
    <row r="16">
      <c r="A16" s="6" t="s">
        <v>85</v>
      </c>
      <c r="B16" s="7" t="s">
        <v>108</v>
      </c>
      <c r="C16" s="7" t="s">
        <v>109</v>
      </c>
      <c r="D16" s="7" t="s">
        <v>26</v>
      </c>
      <c r="E16" s="8"/>
    </row>
    <row r="17">
      <c r="A17" s="6" t="s">
        <v>85</v>
      </c>
      <c r="B17" s="7" t="s">
        <v>116</v>
      </c>
      <c r="C17" s="7" t="s">
        <v>117</v>
      </c>
      <c r="D17" s="7" t="s">
        <v>33</v>
      </c>
      <c r="E17" s="8"/>
    </row>
    <row r="18">
      <c r="A18" s="6" t="s">
        <v>85</v>
      </c>
      <c r="B18" s="7" t="s">
        <v>122</v>
      </c>
      <c r="C18" s="7" t="s">
        <v>123</v>
      </c>
      <c r="D18" s="7" t="s">
        <v>26</v>
      </c>
      <c r="E18" s="8"/>
    </row>
    <row r="19">
      <c r="A19" s="6" t="s">
        <v>85</v>
      </c>
      <c r="B19" s="7" t="s">
        <v>127</v>
      </c>
      <c r="C19" s="7" t="s">
        <v>129</v>
      </c>
      <c r="D19" s="7" t="s">
        <v>57</v>
      </c>
      <c r="E19" s="8"/>
    </row>
    <row r="20">
      <c r="A20" s="6" t="s">
        <v>85</v>
      </c>
      <c r="B20" s="7" t="s">
        <v>132</v>
      </c>
      <c r="C20" s="7" t="s">
        <v>133</v>
      </c>
      <c r="D20" s="7" t="s">
        <v>26</v>
      </c>
      <c r="E20" s="8"/>
    </row>
    <row r="21">
      <c r="A21" s="6" t="s">
        <v>85</v>
      </c>
      <c r="B21" s="7" t="s">
        <v>137</v>
      </c>
      <c r="C21" s="7" t="s">
        <v>138</v>
      </c>
      <c r="D21" s="7" t="s">
        <v>69</v>
      </c>
      <c r="E21" s="8"/>
    </row>
    <row r="22">
      <c r="A22" s="6" t="s">
        <v>85</v>
      </c>
      <c r="B22" s="7" t="s">
        <v>142</v>
      </c>
      <c r="C22" s="7" t="s">
        <v>144</v>
      </c>
      <c r="D22" s="7" t="s">
        <v>26</v>
      </c>
      <c r="E22" s="8"/>
    </row>
    <row r="23">
      <c r="A23" s="6" t="s">
        <v>85</v>
      </c>
      <c r="B23" s="7" t="s">
        <v>150</v>
      </c>
      <c r="C23" s="7" t="s">
        <v>151</v>
      </c>
      <c r="D23" s="7" t="s">
        <v>33</v>
      </c>
      <c r="E23" s="8"/>
    </row>
    <row r="24">
      <c r="A24" s="6" t="s">
        <v>154</v>
      </c>
      <c r="B24" s="7" t="s">
        <v>155</v>
      </c>
      <c r="C24" s="7" t="s">
        <v>156</v>
      </c>
      <c r="D24" s="7" t="s">
        <v>158</v>
      </c>
      <c r="E24" s="8"/>
    </row>
    <row r="25">
      <c r="A25" s="6" t="s">
        <v>154</v>
      </c>
      <c r="B25" s="7" t="s">
        <v>161</v>
      </c>
      <c r="C25" s="7" t="s">
        <v>163</v>
      </c>
      <c r="D25" s="7" t="s">
        <v>158</v>
      </c>
      <c r="E25" s="8"/>
    </row>
    <row r="26">
      <c r="A26" s="6" t="s">
        <v>154</v>
      </c>
      <c r="B26" s="7" t="s">
        <v>168</v>
      </c>
      <c r="C26" s="7" t="s">
        <v>170</v>
      </c>
      <c r="D26" s="7" t="s">
        <v>158</v>
      </c>
      <c r="E26" s="8"/>
    </row>
    <row r="27">
      <c r="A27" s="6" t="s">
        <v>154</v>
      </c>
      <c r="B27" s="7" t="s">
        <v>124</v>
      </c>
      <c r="C27" s="7" t="s">
        <v>174</v>
      </c>
      <c r="D27" s="7" t="s">
        <v>158</v>
      </c>
      <c r="E27" s="8"/>
    </row>
    <row r="28">
      <c r="A28" s="6" t="s">
        <v>154</v>
      </c>
      <c r="B28" s="7" t="s">
        <v>48</v>
      </c>
      <c r="C28" s="7" t="s">
        <v>178</v>
      </c>
      <c r="D28" s="7" t="s">
        <v>158</v>
      </c>
      <c r="E28" s="8"/>
    </row>
    <row r="29">
      <c r="A29" s="6" t="s">
        <v>182</v>
      </c>
      <c r="B29" s="7" t="s">
        <v>185</v>
      </c>
      <c r="C29" s="7" t="s">
        <v>188</v>
      </c>
      <c r="D29" s="7" t="s">
        <v>26</v>
      </c>
      <c r="E29" s="8"/>
    </row>
    <row r="30">
      <c r="A30" s="6" t="s">
        <v>182</v>
      </c>
      <c r="B30" s="7" t="s">
        <v>191</v>
      </c>
      <c r="C30" s="7" t="s">
        <v>193</v>
      </c>
      <c r="D30" s="7" t="s">
        <v>26</v>
      </c>
      <c r="E30" s="8"/>
    </row>
    <row r="31">
      <c r="A31" s="6" t="s">
        <v>182</v>
      </c>
      <c r="B31" s="7" t="s">
        <v>195</v>
      </c>
      <c r="C31" s="7" t="s">
        <v>197</v>
      </c>
      <c r="D31" s="7" t="s">
        <v>26</v>
      </c>
      <c r="E31" s="8"/>
    </row>
    <row r="32">
      <c r="A32" s="6" t="s">
        <v>9</v>
      </c>
      <c r="B32" s="7" t="s">
        <v>201</v>
      </c>
      <c r="C32" s="7" t="s">
        <v>203</v>
      </c>
      <c r="D32" s="7" t="s">
        <v>33</v>
      </c>
      <c r="E32" s="8"/>
    </row>
    <row r="33">
      <c r="A33" s="6" t="s">
        <v>204</v>
      </c>
      <c r="B33" s="7" t="s">
        <v>206</v>
      </c>
      <c r="C33" s="6" t="s">
        <v>209</v>
      </c>
      <c r="D33" s="7" t="s">
        <v>210</v>
      </c>
    </row>
    <row r="34">
      <c r="A34" s="6" t="s">
        <v>204</v>
      </c>
      <c r="B34" s="7" t="s">
        <v>215</v>
      </c>
      <c r="C34" s="6" t="s">
        <v>218</v>
      </c>
      <c r="D34" s="7" t="s">
        <v>210</v>
      </c>
    </row>
    <row r="35">
      <c r="A35" s="6" t="s">
        <v>204</v>
      </c>
      <c r="B35" s="7" t="s">
        <v>221</v>
      </c>
      <c r="C35" s="6" t="s">
        <v>223</v>
      </c>
      <c r="D35" s="7" t="s">
        <v>210</v>
      </c>
    </row>
    <row r="36">
      <c r="A36" s="6" t="s">
        <v>204</v>
      </c>
      <c r="B36" s="7" t="s">
        <v>225</v>
      </c>
      <c r="C36" s="6" t="s">
        <v>227</v>
      </c>
      <c r="D36" s="7" t="s">
        <v>210</v>
      </c>
    </row>
    <row r="37">
      <c r="A37" s="6" t="s">
        <v>204</v>
      </c>
      <c r="B37" s="7" t="s">
        <v>230</v>
      </c>
      <c r="C37" s="6" t="s">
        <v>232</v>
      </c>
      <c r="D37" s="7" t="s">
        <v>210</v>
      </c>
    </row>
    <row r="38">
      <c r="A38" s="6" t="s">
        <v>204</v>
      </c>
      <c r="B38" s="7" t="s">
        <v>237</v>
      </c>
      <c r="C38" s="6" t="s">
        <v>239</v>
      </c>
      <c r="D38" s="7" t="s">
        <v>210</v>
      </c>
    </row>
    <row r="39">
      <c r="A39" s="6" t="s">
        <v>204</v>
      </c>
      <c r="B39" s="7" t="s">
        <v>242</v>
      </c>
      <c r="C39" s="6" t="s">
        <v>245</v>
      </c>
      <c r="D39" s="7" t="s">
        <v>210</v>
      </c>
    </row>
    <row r="40">
      <c r="A40" s="6" t="s">
        <v>204</v>
      </c>
      <c r="B40" s="7" t="s">
        <v>250</v>
      </c>
      <c r="C40" s="6" t="s">
        <v>252</v>
      </c>
      <c r="D40" s="7" t="s">
        <v>210</v>
      </c>
    </row>
    <row r="41">
      <c r="A41" s="6" t="s">
        <v>204</v>
      </c>
      <c r="B41" s="7" t="s">
        <v>255</v>
      </c>
      <c r="C41" s="6" t="s">
        <v>258</v>
      </c>
      <c r="D41" s="7" t="s">
        <v>210</v>
      </c>
    </row>
    <row r="42">
      <c r="A42" s="6" t="s">
        <v>204</v>
      </c>
      <c r="B42" s="7" t="s">
        <v>261</v>
      </c>
      <c r="C42" s="6" t="s">
        <v>262</v>
      </c>
      <c r="D42" s="7" t="s">
        <v>210</v>
      </c>
    </row>
    <row r="43">
      <c r="A43" s="6" t="s">
        <v>204</v>
      </c>
      <c r="B43" s="7" t="s">
        <v>266</v>
      </c>
      <c r="C43" s="6" t="s">
        <v>268</v>
      </c>
      <c r="D43" s="7" t="s">
        <v>210</v>
      </c>
    </row>
    <row r="44">
      <c r="A44" s="6" t="s">
        <v>204</v>
      </c>
      <c r="B44" s="7" t="s">
        <v>272</v>
      </c>
      <c r="C44" s="6" t="s">
        <v>273</v>
      </c>
      <c r="D44" s="7" t="s">
        <v>210</v>
      </c>
    </row>
    <row r="45">
      <c r="A45" s="6" t="s">
        <v>204</v>
      </c>
      <c r="B45" s="7" t="s">
        <v>280</v>
      </c>
      <c r="C45" s="6" t="s">
        <v>282</v>
      </c>
      <c r="D45" s="7" t="s">
        <v>210</v>
      </c>
    </row>
    <row r="46">
      <c r="A46" s="6" t="s">
        <v>204</v>
      </c>
      <c r="B46" s="7" t="s">
        <v>285</v>
      </c>
      <c r="C46" s="6" t="s">
        <v>286</v>
      </c>
      <c r="D46" s="7" t="s">
        <v>210</v>
      </c>
    </row>
    <row r="47">
      <c r="A47" s="6" t="s">
        <v>204</v>
      </c>
      <c r="B47" s="7" t="s">
        <v>287</v>
      </c>
      <c r="C47" s="6" t="s">
        <v>288</v>
      </c>
      <c r="D47" s="7" t="s">
        <v>210</v>
      </c>
    </row>
    <row r="48">
      <c r="A48" s="6" t="s">
        <v>204</v>
      </c>
      <c r="B48" s="7" t="s">
        <v>291</v>
      </c>
      <c r="C48" s="6" t="s">
        <v>293</v>
      </c>
      <c r="D48" s="7" t="s">
        <v>210</v>
      </c>
    </row>
    <row r="49">
      <c r="A49" s="6" t="s">
        <v>204</v>
      </c>
      <c r="B49" s="7" t="s">
        <v>296</v>
      </c>
      <c r="C49" s="6" t="s">
        <v>298</v>
      </c>
      <c r="D49" s="7" t="s">
        <v>299</v>
      </c>
    </row>
    <row r="50">
      <c r="A50" s="6" t="s">
        <v>204</v>
      </c>
      <c r="B50" s="7" t="s">
        <v>303</v>
      </c>
      <c r="C50" s="6" t="s">
        <v>305</v>
      </c>
      <c r="D50" s="7" t="s">
        <v>299</v>
      </c>
    </row>
    <row r="51">
      <c r="A51" s="6" t="s">
        <v>204</v>
      </c>
      <c r="B51" s="7" t="s">
        <v>312</v>
      </c>
      <c r="C51" s="6" t="s">
        <v>314</v>
      </c>
      <c r="D51" s="7" t="s">
        <v>299</v>
      </c>
    </row>
    <row r="52">
      <c r="A52" s="6" t="s">
        <v>204</v>
      </c>
      <c r="B52" s="7" t="s">
        <v>318</v>
      </c>
      <c r="C52" s="6" t="s">
        <v>319</v>
      </c>
      <c r="D52" s="7" t="s">
        <v>299</v>
      </c>
    </row>
    <row r="53">
      <c r="A53" s="6" t="s">
        <v>204</v>
      </c>
      <c r="B53" s="7" t="s">
        <v>323</v>
      </c>
      <c r="C53" s="6" t="s">
        <v>325</v>
      </c>
      <c r="D53" s="7" t="s">
        <v>299</v>
      </c>
    </row>
    <row r="54">
      <c r="A54" s="6" t="s">
        <v>204</v>
      </c>
      <c r="B54" s="7" t="s">
        <v>329</v>
      </c>
      <c r="C54" s="6" t="s">
        <v>330</v>
      </c>
      <c r="D54" s="7" t="s">
        <v>299</v>
      </c>
    </row>
    <row r="55">
      <c r="A55" s="6" t="s">
        <v>204</v>
      </c>
      <c r="B55" s="7" t="s">
        <v>335</v>
      </c>
      <c r="C55" s="6" t="s">
        <v>337</v>
      </c>
      <c r="D55" s="7" t="s">
        <v>299</v>
      </c>
    </row>
    <row r="56">
      <c r="A56" s="6" t="s">
        <v>204</v>
      </c>
      <c r="B56" s="7" t="s">
        <v>341</v>
      </c>
      <c r="C56" s="6" t="s">
        <v>343</v>
      </c>
      <c r="D56" s="7" t="s">
        <v>299</v>
      </c>
    </row>
    <row r="57">
      <c r="A57" s="6" t="s">
        <v>204</v>
      </c>
      <c r="B57" s="7" t="s">
        <v>346</v>
      </c>
      <c r="C57" s="6" t="s">
        <v>348</v>
      </c>
      <c r="D57" s="7" t="s">
        <v>299</v>
      </c>
    </row>
    <row r="58">
      <c r="A58" s="6" t="s">
        <v>204</v>
      </c>
      <c r="B58" s="7" t="s">
        <v>352</v>
      </c>
      <c r="C58" s="6" t="s">
        <v>353</v>
      </c>
      <c r="D58" s="7" t="s">
        <v>299</v>
      </c>
    </row>
    <row r="59">
      <c r="A59" s="6" t="s">
        <v>204</v>
      </c>
      <c r="B59" s="7" t="s">
        <v>357</v>
      </c>
      <c r="C59" s="6" t="s">
        <v>359</v>
      </c>
      <c r="D59" s="7" t="s">
        <v>299</v>
      </c>
    </row>
    <row r="60">
      <c r="A60" s="6" t="s">
        <v>204</v>
      </c>
      <c r="B60" s="7" t="s">
        <v>363</v>
      </c>
      <c r="C60" s="6" t="s">
        <v>365</v>
      </c>
      <c r="D60" s="7" t="s">
        <v>299</v>
      </c>
    </row>
    <row r="61">
      <c r="A61" s="6" t="s">
        <v>204</v>
      </c>
      <c r="B61" s="7" t="s">
        <v>369</v>
      </c>
      <c r="C61" s="6" t="s">
        <v>370</v>
      </c>
      <c r="D61" s="7" t="s">
        <v>299</v>
      </c>
    </row>
    <row r="62">
      <c r="A62" s="6" t="s">
        <v>204</v>
      </c>
      <c r="B62" s="7" t="s">
        <v>374</v>
      </c>
      <c r="C62" s="6" t="s">
        <v>376</v>
      </c>
      <c r="D62" s="7" t="s">
        <v>299</v>
      </c>
    </row>
    <row r="63">
      <c r="A63" s="6" t="s">
        <v>204</v>
      </c>
      <c r="B63" s="7" t="s">
        <v>380</v>
      </c>
      <c r="C63" s="6" t="s">
        <v>382</v>
      </c>
      <c r="D63" s="7" t="s">
        <v>299</v>
      </c>
    </row>
    <row r="64">
      <c r="A64" s="6" t="s">
        <v>204</v>
      </c>
      <c r="B64" s="7" t="s">
        <v>389</v>
      </c>
      <c r="C64" s="6" t="s">
        <v>391</v>
      </c>
      <c r="D64" s="7" t="s">
        <v>299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75"/>
    <col customWidth="1" min="2" max="2" width="42.38"/>
    <col customWidth="1" min="3" max="3" width="63.63"/>
    <col customWidth="1" min="4" max="4" width="102.63"/>
  </cols>
  <sheetData>
    <row r="1">
      <c r="A1" s="1" t="s">
        <v>660</v>
      </c>
      <c r="B1" s="1" t="s">
        <v>663</v>
      </c>
      <c r="C1" s="1" t="s">
        <v>664</v>
      </c>
      <c r="D1" s="1" t="s">
        <v>665</v>
      </c>
    </row>
    <row r="2">
      <c r="A2" s="5" t="s">
        <v>666</v>
      </c>
      <c r="B2" s="12" t="str">
        <f>IFERROR(__xludf.DUMMYFUNCTION("FILTER(Hairstyles!$F:$F, ISNUMBER(SEARCH(A$2, Hairstyles!$I:$I)))"),"Uvi_Wig_Spell_VHRU_AfroLarge")</f>
        <v>Uvi_Wig_Spell_VHRU_AfroLarge</v>
      </c>
      <c r="C2" s="12" t="str">
        <f>IFERROR(__xludf.DUMMYFUNCTION("IF($B2="""","""",SUBSTITUTE(SUBSTITUTE(SUBSTITUTE(SUBSTITUTE(INDEX(Hairstyles!$A:$A,MATCH($B2,Hairstyles!$F:$F,0)),"" "",""""),""'"",""""),""("",""""),"")"","""")&amp;""\""&amp;INDEX(SPLIT($A$2,""_""),1)&amp;""\""&amp;INDEX(SPLIT($A$2,""_""),2)&amp;""\""&amp;SUBSTITUTE(SUBSTITUT"&amp;"E(SUBSTITUTE(SUBSTITUTE(SUBSTITUTE(INDEX(Hairstyles!$C:$C,MATCH($B2,Hairstyles!$F:$F,0)),"" "",""""),""'"",""""),""("",""""),"")"",""""),""-"",""_"")&amp;""_""&amp;$A$2)"),"Vanilla\Human\Female\Vanilla_AfroLarge_Human_Female")</f>
        <v>Vanilla\Human\Female\Vanilla_AfroLarge_Human_Female</v>
      </c>
      <c r="D2" s="12" t="str">
        <f t="shared" ref="D2:D1000" si="1">IF(B2&lt;&gt;"",B2&amp;","&amp;C2,"")</f>
        <v>Uvi_Wig_Spell_VHRU_AfroLarge,Vanilla\Human\Female\Vanilla_AfroLarge_Human_Female</v>
      </c>
    </row>
    <row r="3">
      <c r="B3" s="12" t="str">
        <f>IFERROR(__xludf.DUMMYFUNCTION("""COMPUTED_VALUE"""),"Uvi_Wig_Spell_VHRU_AfroSmall")</f>
        <v>Uvi_Wig_Spell_VHRU_AfroSmall</v>
      </c>
      <c r="C3" s="12" t="str">
        <f>IFERROR(__xludf.DUMMYFUNCTION("IF($B3="""","""",SUBSTITUTE(SUBSTITUTE(SUBSTITUTE(SUBSTITUTE(INDEX(Hairstyles!$A:$A,MATCH($B3,Hairstyles!$F:$F,0)),"" "",""""),""'"",""""),""("",""""),"")"","""")&amp;""\""&amp;INDEX(SPLIT($A$2,""_""),1)&amp;""\""&amp;INDEX(SPLIT($A$2,""_""),2)&amp;""\""&amp;SUBSTITUTE(SUBSTITUT"&amp;"E(SUBSTITUTE(SUBSTITUTE(SUBSTITUTE(INDEX(Hairstyles!$C:$C,MATCH($B3,Hairstyles!$F:$F,0)),"" "",""""),""'"",""""),""("",""""),"")"",""""),""-"",""_"")&amp;""_""&amp;$A$2)"),"Vanilla\Human\Female\Vanilla_AfroSmall_Human_Female")</f>
        <v>Vanilla\Human\Female\Vanilla_AfroSmall_Human_Female</v>
      </c>
      <c r="D3" s="12" t="str">
        <f t="shared" si="1"/>
        <v>Uvi_Wig_Spell_VHRU_AfroSmall,Vanilla\Human\Female\Vanilla_AfroSmall_Human_Female</v>
      </c>
    </row>
    <row r="4">
      <c r="B4" s="12" t="str">
        <f>IFERROR(__xludf.DUMMYFUNCTION("""COMPUTED_VALUE"""),"Uvi_Wig_Spell_VHRU_BaldCap")</f>
        <v>Uvi_Wig_Spell_VHRU_BaldCap</v>
      </c>
      <c r="C4" s="12" t="str">
        <f>IFERROR(__xludf.DUMMYFUNCTION("IF($B4="""","""",SUBSTITUTE(SUBSTITUTE(SUBSTITUTE(SUBSTITUTE(INDEX(Hairstyles!$A:$A,MATCH($B4,Hairstyles!$F:$F,0)),"" "",""""),""'"",""""),""("",""""),"")"","""")&amp;""\""&amp;INDEX(SPLIT($A$2,""_""),1)&amp;""\""&amp;INDEX(SPLIT($A$2,""_""),2)&amp;""\""&amp;SUBSTITUTE(SUBSTITUT"&amp;"E(SUBSTITUTE(SUBSTITUTE(SUBSTITUTE(INDEX(Hairstyles!$C:$C,MATCH($B4,Hairstyles!$F:$F,0)),"" "",""""),""'"",""""),""("",""""),"")"",""""),""-"",""_"")&amp;""_""&amp;$A$2)"),"Vanilla\Human\Female\Vanilla_Bald_Human_Female")</f>
        <v>Vanilla\Human\Female\Vanilla_Bald_Human_Female</v>
      </c>
      <c r="D4" s="12" t="str">
        <f t="shared" si="1"/>
        <v>Uvi_Wig_Spell_VHRU_BaldCap,Vanilla\Human\Female\Vanilla_Bald_Human_Female</v>
      </c>
    </row>
    <row r="5">
      <c r="B5" s="12" t="str">
        <f>IFERROR(__xludf.DUMMYFUNCTION("""COMPUTED_VALUE"""),"Uvi_Wig_Spell_VHRU_CornRowMohawk")</f>
        <v>Uvi_Wig_Spell_VHRU_CornRowMohawk</v>
      </c>
      <c r="C5" s="12" t="str">
        <f>IFERROR(__xludf.DUMMYFUNCTION("IF($B5="""","""",SUBSTITUTE(SUBSTITUTE(SUBSTITUTE(SUBSTITUTE(INDEX(Hairstyles!$A:$A,MATCH($B5,Hairstyles!$F:$F,0)),"" "",""""),""'"",""""),""("",""""),"")"","""")&amp;""\""&amp;INDEX(SPLIT($A$2,""_""),1)&amp;""\""&amp;INDEX(SPLIT($A$2,""_""),2)&amp;""\""&amp;SUBSTITUTE(SUBSTITUT"&amp;"E(SUBSTITUTE(SUBSTITUTE(SUBSTITUTE(INDEX(Hairstyles!$C:$C,MATCH($B5,Hairstyles!$F:$F,0)),"" "",""""),""'"",""""),""("",""""),"")"",""""),""-"",""_"")&amp;""_""&amp;$A$2)"),"Vanilla\Human\Female\Vanilla_CornRowMohawk_Human_Female")</f>
        <v>Vanilla\Human\Female\Vanilla_CornRowMohawk_Human_Female</v>
      </c>
      <c r="D5" s="12" t="str">
        <f t="shared" si="1"/>
        <v>Uvi_Wig_Spell_VHRU_CornRowMohawk,Vanilla\Human\Female\Vanilla_CornRowMohawk_Human_Female</v>
      </c>
    </row>
    <row r="6">
      <c r="B6" s="12" t="str">
        <f>IFERROR(__xludf.DUMMYFUNCTION("""COMPUTED_VALUE"""),"Uvi_Wig_Spell_VHRU_CornRows")</f>
        <v>Uvi_Wig_Spell_VHRU_CornRows</v>
      </c>
      <c r="C6" s="12" t="str">
        <f>IFERROR(__xludf.DUMMYFUNCTION("IF($B6="""","""",SUBSTITUTE(SUBSTITUTE(SUBSTITUTE(SUBSTITUTE(INDEX(Hairstyles!$A:$A,MATCH($B6,Hairstyles!$F:$F,0)),"" "",""""),""'"",""""),""("",""""),"")"","""")&amp;""\""&amp;INDEX(SPLIT($A$2,""_""),1)&amp;""\""&amp;INDEX(SPLIT($A$2,""_""),2)&amp;""\""&amp;SUBSTITUTE(SUBSTITUT"&amp;"E(SUBSTITUTE(SUBSTITUTE(SUBSTITUTE(INDEX(Hairstyles!$C:$C,MATCH($B6,Hairstyles!$F:$F,0)),"" "",""""),""'"",""""),""("",""""),"")"",""""),""-"",""_"")&amp;""_""&amp;$A$2)"),"Vanilla\Human\Female\Vanilla_CornRows_Human_Female")</f>
        <v>Vanilla\Human\Female\Vanilla_CornRows_Human_Female</v>
      </c>
      <c r="D6" s="12" t="str">
        <f t="shared" si="1"/>
        <v>Uvi_Wig_Spell_VHRU_CornRows,Vanilla\Human\Female\Vanilla_CornRows_Human_Female</v>
      </c>
    </row>
    <row r="7">
      <c r="B7" s="12" t="str">
        <f>IFERROR(__xludf.DUMMYFUNCTION("""COMPUTED_VALUE"""),"Uvi_Wig_Spell_VHRU_DreadlockMohawk")</f>
        <v>Uvi_Wig_Spell_VHRU_DreadlockMohawk</v>
      </c>
      <c r="C7" s="12" t="str">
        <f>IFERROR(__xludf.DUMMYFUNCTION("IF($B7="""","""",SUBSTITUTE(SUBSTITUTE(SUBSTITUTE(SUBSTITUTE(INDEX(Hairstyles!$A:$A,MATCH($B7,Hairstyles!$F:$F,0)),"" "",""""),""'"",""""),""("",""""),"")"","""")&amp;""\""&amp;INDEX(SPLIT($A$2,""_""),1)&amp;""\""&amp;INDEX(SPLIT($A$2,""_""),2)&amp;""\""&amp;SUBSTITUTE(SUBSTITUT"&amp;"E(SUBSTITUTE(SUBSTITUTE(SUBSTITUTE(INDEX(Hairstyles!$C:$C,MATCH($B7,Hairstyles!$F:$F,0)),"" "",""""),""'"",""""),""("",""""),"")"",""""),""-"",""_"")&amp;""_""&amp;$A$2)"),"Vanilla\Human\Female\Vanilla_DreadlockMohawk_Human_Female")</f>
        <v>Vanilla\Human\Female\Vanilla_DreadlockMohawk_Human_Female</v>
      </c>
      <c r="D7" s="12" t="str">
        <f t="shared" si="1"/>
        <v>Uvi_Wig_Spell_VHRU_DreadlockMohawk,Vanilla\Human\Female\Vanilla_DreadlockMohawk_Human_Female</v>
      </c>
    </row>
    <row r="8">
      <c r="B8" s="12" t="str">
        <f>IFERROR(__xludf.DUMMYFUNCTION("""COMPUTED_VALUE"""),"Uvi_Wig_Spell_VHRU_DreadlockPonytail")</f>
        <v>Uvi_Wig_Spell_VHRU_DreadlockPonytail</v>
      </c>
      <c r="C8" s="12" t="str">
        <f>IFERROR(__xludf.DUMMYFUNCTION("IF($B8="""","""",SUBSTITUTE(SUBSTITUTE(SUBSTITUTE(SUBSTITUTE(INDEX(Hairstyles!$A:$A,MATCH($B8,Hairstyles!$F:$F,0)),"" "",""""),""'"",""""),""("",""""),"")"","""")&amp;""\""&amp;INDEX(SPLIT($A$2,""_""),1)&amp;""\""&amp;INDEX(SPLIT($A$2,""_""),2)&amp;""\""&amp;SUBSTITUTE(SUBSTITUT"&amp;"E(SUBSTITUTE(SUBSTITUTE(SUBSTITUTE(INDEX(Hairstyles!$C:$C,MATCH($B8,Hairstyles!$F:$F,0)),"" "",""""),""'"",""""),""("",""""),"")"",""""),""-"",""_"")&amp;""_""&amp;$A$2)"),"Vanilla\Human\Female\Vanilla_DreadlockPonytail_Human_Female")</f>
        <v>Vanilla\Human\Female\Vanilla_DreadlockPonytail_Human_Female</v>
      </c>
      <c r="D8" s="12" t="str">
        <f t="shared" si="1"/>
        <v>Uvi_Wig_Spell_VHRU_DreadlockPonytail,Vanilla\Human\Female\Vanilla_DreadlockPonytail_Human_Female</v>
      </c>
    </row>
    <row r="9">
      <c r="B9" s="12" t="str">
        <f>IFERROR(__xludf.DUMMYFUNCTION("""COMPUTED_VALUE"""),"Uvi_Wig_Spell_VHRU_FrenchBraids")</f>
        <v>Uvi_Wig_Spell_VHRU_FrenchBraids</v>
      </c>
      <c r="C9" s="12" t="str">
        <f>IFERROR(__xludf.DUMMYFUNCTION("IF($B9="""","""",SUBSTITUTE(SUBSTITUTE(SUBSTITUTE(SUBSTITUTE(INDEX(Hairstyles!$A:$A,MATCH($B9,Hairstyles!$F:$F,0)),"" "",""""),""'"",""""),""("",""""),"")"","""")&amp;""\""&amp;INDEX(SPLIT($A$2,""_""),1)&amp;""\""&amp;INDEX(SPLIT($A$2,""_""),2)&amp;""\""&amp;SUBSTITUTE(SUBSTITUT"&amp;"E(SUBSTITUTE(SUBSTITUTE(SUBSTITUTE(INDEX(Hairstyles!$C:$C,MATCH($B9,Hairstyles!$F:$F,0)),"" "",""""),""'"",""""),""("",""""),"")"",""""),""-"",""_"")&amp;""_""&amp;$A$2)"),"Vanilla\Human\Female\Vanilla_FrenchBraids_Human_Female")</f>
        <v>Vanilla\Human\Female\Vanilla_FrenchBraids_Human_Female</v>
      </c>
      <c r="D9" s="12" t="str">
        <f t="shared" si="1"/>
        <v>Uvi_Wig_Spell_VHRU_FrenchBraids,Vanilla\Human\Female\Vanilla_FrenchBraids_Human_Female</v>
      </c>
    </row>
    <row r="10">
      <c r="B10" s="12" t="str">
        <f>IFERROR(__xludf.DUMMYFUNCTION("""COMPUTED_VALUE"""),"Uvi_Wig_Spell_VHRU_FrenchBraidsHigh")</f>
        <v>Uvi_Wig_Spell_VHRU_FrenchBraidsHigh</v>
      </c>
      <c r="C10" s="12" t="str">
        <f>IFERROR(__xludf.DUMMYFUNCTION("IF($B10="""","""",SUBSTITUTE(SUBSTITUTE(SUBSTITUTE(SUBSTITUTE(INDEX(Hairstyles!$A:$A,MATCH($B10,Hairstyles!$F:$F,0)),"" "",""""),""'"",""""),""("",""""),"")"","""")&amp;""\""&amp;INDEX(SPLIT($A$2,""_""),1)&amp;""\""&amp;INDEX(SPLIT($A$2,""_""),2)&amp;""\""&amp;SUBSTITUTE(SUBSTIT"&amp;"UTE(SUBSTITUTE(SUBSTITUTE(SUBSTITUTE(INDEX(Hairstyles!$C:$C,MATCH($B10,Hairstyles!$F:$F,0)),"" "",""""),""'"",""""),""("",""""),"")"",""""),""-"",""_"")&amp;""_""&amp;$A$2)"),"Vanilla\Human\Female\Vanilla_FrenchBraidsHigh_Human_Female")</f>
        <v>Vanilla\Human\Female\Vanilla_FrenchBraidsHigh_Human_Female</v>
      </c>
      <c r="D10" s="12" t="str">
        <f t="shared" si="1"/>
        <v>Uvi_Wig_Spell_VHRU_FrenchBraidsHigh,Vanilla\Human\Female\Vanilla_FrenchBraidsHigh_Human_Female</v>
      </c>
    </row>
    <row r="11">
      <c r="B11" s="12" t="str">
        <f>IFERROR(__xludf.DUMMYFUNCTION("""COMPUTED_VALUE"""),"Uvi_Wig_Spell_VHRU_FrenchBraidsPonytail")</f>
        <v>Uvi_Wig_Spell_VHRU_FrenchBraidsPonytail</v>
      </c>
      <c r="C11" s="12" t="str">
        <f>IFERROR(__xludf.DUMMYFUNCTION("IF($B11="""","""",SUBSTITUTE(SUBSTITUTE(SUBSTITUTE(SUBSTITUTE(INDEX(Hairstyles!$A:$A,MATCH($B11,Hairstyles!$F:$F,0)),"" "",""""),""'"",""""),""("",""""),"")"","""")&amp;""\""&amp;INDEX(SPLIT($A$2,""_""),1)&amp;""\""&amp;INDEX(SPLIT($A$2,""_""),2)&amp;""\""&amp;SUBSTITUTE(SUBSTIT"&amp;"UTE(SUBSTITUTE(SUBSTITUTE(SUBSTITUTE(INDEX(Hairstyles!$C:$C,MATCH($B11,Hairstyles!$F:$F,0)),"" "",""""),""'"",""""),""("",""""),"")"",""""),""-"",""_"")&amp;""_""&amp;$A$2)"),"Vanilla\Human\Female\Vanilla_FrenchBraidsPonytail_Human_Female")</f>
        <v>Vanilla\Human\Female\Vanilla_FrenchBraidsPonytail_Human_Female</v>
      </c>
      <c r="D11" s="12" t="str">
        <f t="shared" si="1"/>
        <v>Uvi_Wig_Spell_VHRU_FrenchBraidsPonytail,Vanilla\Human\Female\Vanilla_FrenchBraidsPonytail_Human_Female</v>
      </c>
    </row>
    <row r="12">
      <c r="B12" s="12" t="str">
        <f>IFERROR(__xludf.DUMMYFUNCTION("""COMPUTED_VALUE"""),"Uvi_Wig_Spell_VHRU_FrenchBraidsSmall")</f>
        <v>Uvi_Wig_Spell_VHRU_FrenchBraidsSmall</v>
      </c>
      <c r="C12" s="12" t="str">
        <f>IFERROR(__xludf.DUMMYFUNCTION("IF($B12="""","""",SUBSTITUTE(SUBSTITUTE(SUBSTITUTE(SUBSTITUTE(INDEX(Hairstyles!$A:$A,MATCH($B12,Hairstyles!$F:$F,0)),"" "",""""),""'"",""""),""("",""""),"")"","""")&amp;""\""&amp;INDEX(SPLIT($A$2,""_""),1)&amp;""\""&amp;INDEX(SPLIT($A$2,""_""),2)&amp;""\""&amp;SUBSTITUTE(SUBSTIT"&amp;"UTE(SUBSTITUTE(SUBSTITUTE(SUBSTITUTE(INDEX(Hairstyles!$C:$C,MATCH($B12,Hairstyles!$F:$F,0)),"" "",""""),""'"",""""),""("",""""),"")"",""""),""-"",""_"")&amp;""_""&amp;$A$2)"),"Vanilla\Human\Female\Vanilla_FrenchBraidsSmall_Human_Female")</f>
        <v>Vanilla\Human\Female\Vanilla_FrenchBraidsSmall_Human_Female</v>
      </c>
      <c r="D12" s="12" t="str">
        <f t="shared" si="1"/>
        <v>Uvi_Wig_Spell_VHRU_FrenchBraidsSmall,Vanilla\Human\Female\Vanilla_FrenchBraidsSmall_Human_Female</v>
      </c>
    </row>
    <row r="13">
      <c r="B13" s="12" t="str">
        <f>IFERROR(__xludf.DUMMYFUNCTION("""COMPUTED_VALUE"""),"Uvi_Wig_Spell_VHRU_LooseBobSidePart")</f>
        <v>Uvi_Wig_Spell_VHRU_LooseBobSidePart</v>
      </c>
      <c r="C13" s="12" t="str">
        <f>IFERROR(__xludf.DUMMYFUNCTION("IF($B13="""","""",SUBSTITUTE(SUBSTITUTE(SUBSTITUTE(SUBSTITUTE(INDEX(Hairstyles!$A:$A,MATCH($B13,Hairstyles!$F:$F,0)),"" "",""""),""'"",""""),""("",""""),"")"","""")&amp;""\""&amp;INDEX(SPLIT($A$2,""_""),1)&amp;""\""&amp;INDEX(SPLIT($A$2,""_""),2)&amp;""\""&amp;SUBSTITUTE(SUBSTIT"&amp;"UTE(SUBSTITUTE(SUBSTITUTE(SUBSTITUTE(INDEX(Hairstyles!$C:$C,MATCH($B13,Hairstyles!$F:$F,0)),"" "",""""),""'"",""""),""("",""""),"")"",""""),""-"",""_"")&amp;""_""&amp;$A$2)"),"Vanilla\Human\Female\Vanilla_LooseBobSidePart_Human_Female")</f>
        <v>Vanilla\Human\Female\Vanilla_LooseBobSidePart_Human_Female</v>
      </c>
      <c r="D13" s="12" t="str">
        <f t="shared" si="1"/>
        <v>Uvi_Wig_Spell_VHRU_LooseBobSidePart,Vanilla\Human\Female\Vanilla_LooseBobSidePart_Human_Female</v>
      </c>
    </row>
    <row r="14">
      <c r="B14" s="12" t="str">
        <f>IFERROR(__xludf.DUMMYFUNCTION("""COMPUTED_VALUE"""),"Uvi_Wig_Spell_VHRU_LooseBun")</f>
        <v>Uvi_Wig_Spell_VHRU_LooseBun</v>
      </c>
      <c r="C14" s="12" t="str">
        <f>IFERROR(__xludf.DUMMYFUNCTION("IF($B14="""","""",SUBSTITUTE(SUBSTITUTE(SUBSTITUTE(SUBSTITUTE(INDEX(Hairstyles!$A:$A,MATCH($B14,Hairstyles!$F:$F,0)),"" "",""""),""'"",""""),""("",""""),"")"","""")&amp;""\""&amp;INDEX(SPLIT($A$2,""_""),1)&amp;""\""&amp;INDEX(SPLIT($A$2,""_""),2)&amp;""\""&amp;SUBSTITUTE(SUBSTIT"&amp;"UTE(SUBSTITUTE(SUBSTITUTE(SUBSTITUTE(INDEX(Hairstyles!$C:$C,MATCH($B14,Hairstyles!$F:$F,0)),"" "",""""),""'"",""""),""("",""""),"")"",""""),""-"",""_"")&amp;""_""&amp;$A$2)"),"Vanilla\Human\Female\Vanilla_LooseBun_Human_Female")</f>
        <v>Vanilla\Human\Female\Vanilla_LooseBun_Human_Female</v>
      </c>
      <c r="D14" s="12" t="str">
        <f t="shared" si="1"/>
        <v>Uvi_Wig_Spell_VHRU_LooseBun,Vanilla\Human\Female\Vanilla_LooseBun_Human_Female</v>
      </c>
    </row>
    <row r="15">
      <c r="B15" s="12" t="str">
        <f>IFERROR(__xludf.DUMMYFUNCTION("""COMPUTED_VALUE"""),"Uvi_Wig_Spell_VHRU_MohawkBraidPonytails")</f>
        <v>Uvi_Wig_Spell_VHRU_MohawkBraidPonytails</v>
      </c>
      <c r="C15" s="12" t="str">
        <f>IFERROR(__xludf.DUMMYFUNCTION("IF($B15="""","""",SUBSTITUTE(SUBSTITUTE(SUBSTITUTE(SUBSTITUTE(INDEX(Hairstyles!$A:$A,MATCH($B15,Hairstyles!$F:$F,0)),"" "",""""),""'"",""""),""("",""""),"")"","""")&amp;""\""&amp;INDEX(SPLIT($A$2,""_""),1)&amp;""\""&amp;INDEX(SPLIT($A$2,""_""),2)&amp;""\""&amp;SUBSTITUTE(SUBSTIT"&amp;"UTE(SUBSTITUTE(SUBSTITUTE(SUBSTITUTE(INDEX(Hairstyles!$C:$C,MATCH($B15,Hairstyles!$F:$F,0)),"" "",""""),""'"",""""),""("",""""),"")"",""""),""-"",""_"")&amp;""_""&amp;$A$2)"),"Vanilla\Human\Female\Vanilla_MohawkBraidPonytails_Human_Female")</f>
        <v>Vanilla\Human\Female\Vanilla_MohawkBraidPonytails_Human_Female</v>
      </c>
      <c r="D15" s="12" t="str">
        <f t="shared" si="1"/>
        <v>Uvi_Wig_Spell_VHRU_MohawkBraidPonytails,Vanilla\Human\Female\Vanilla_MohawkBraidPonytails_Human_Female</v>
      </c>
    </row>
    <row r="16">
      <c r="B16" s="12" t="str">
        <f>IFERROR(__xludf.DUMMYFUNCTION("""COMPUTED_VALUE"""),"Uvi_Wig_Spell_VHRU_MohawkFrenchBraids")</f>
        <v>Uvi_Wig_Spell_VHRU_MohawkFrenchBraids</v>
      </c>
      <c r="C16" s="12" t="str">
        <f>IFERROR(__xludf.DUMMYFUNCTION("IF($B16="""","""",SUBSTITUTE(SUBSTITUTE(SUBSTITUTE(SUBSTITUTE(INDEX(Hairstyles!$A:$A,MATCH($B16,Hairstyles!$F:$F,0)),"" "",""""),""'"",""""),""("",""""),"")"","""")&amp;""\""&amp;INDEX(SPLIT($A$2,""_""),1)&amp;""\""&amp;INDEX(SPLIT($A$2,""_""),2)&amp;""\""&amp;SUBSTITUTE(SUBSTIT"&amp;"UTE(SUBSTITUTE(SUBSTITUTE(SUBSTITUTE(INDEX(Hairstyles!$C:$C,MATCH($B16,Hairstyles!$F:$F,0)),"" "",""""),""'"",""""),""("",""""),"")"",""""),""-"",""_"")&amp;""_""&amp;$A$2)"),"Vanilla\Human\Female\Vanilla_MohawkFrenchBraids_Human_Female")</f>
        <v>Vanilla\Human\Female\Vanilla_MohawkFrenchBraids_Human_Female</v>
      </c>
      <c r="D16" s="12" t="str">
        <f t="shared" si="1"/>
        <v>Uvi_Wig_Spell_VHRU_MohawkFrenchBraids,Vanilla\Human\Female\Vanilla_MohawkFrenchBraids_Human_Female</v>
      </c>
    </row>
    <row r="17">
      <c r="B17" s="12" t="str">
        <f>IFERROR(__xludf.DUMMYFUNCTION("""COMPUTED_VALUE"""),"Uvi_Wig_Spell_VHRU_MohawkLong")</f>
        <v>Uvi_Wig_Spell_VHRU_MohawkLong</v>
      </c>
      <c r="C17" s="12" t="str">
        <f>IFERROR(__xludf.DUMMYFUNCTION("IF($B17="""","""",SUBSTITUTE(SUBSTITUTE(SUBSTITUTE(SUBSTITUTE(INDEX(Hairstyles!$A:$A,MATCH($B17,Hairstyles!$F:$F,0)),"" "",""""),""'"",""""),""("",""""),"")"","""")&amp;""\""&amp;INDEX(SPLIT($A$2,""_""),1)&amp;""\""&amp;INDEX(SPLIT($A$2,""_""),2)&amp;""\""&amp;SUBSTITUTE(SUBSTIT"&amp;"UTE(SUBSTITUTE(SUBSTITUTE(SUBSTITUTE(INDEX(Hairstyles!$C:$C,MATCH($B17,Hairstyles!$F:$F,0)),"" "",""""),""'"",""""),""("",""""),"")"",""""),""-"",""_"")&amp;""_""&amp;$A$2)"),"Vanilla\Human\Female\Vanilla_MohawkLong_Human_Female")</f>
        <v>Vanilla\Human\Female\Vanilla_MohawkLong_Human_Female</v>
      </c>
      <c r="D17" s="12" t="str">
        <f t="shared" si="1"/>
        <v>Uvi_Wig_Spell_VHRU_MohawkLong,Vanilla\Human\Female\Vanilla_MohawkLong_Human_Female</v>
      </c>
    </row>
    <row r="18">
      <c r="B18" s="12" t="str">
        <f>IFERROR(__xludf.DUMMYFUNCTION("""COMPUTED_VALUE"""),"Uvi_Wig_Spell_VHRU_MohawkMessyLongBraid")</f>
        <v>Uvi_Wig_Spell_VHRU_MohawkMessyLongBraid</v>
      </c>
      <c r="C18" s="12" t="str">
        <f>IFERROR(__xludf.DUMMYFUNCTION("IF($B18="""","""",SUBSTITUTE(SUBSTITUTE(SUBSTITUTE(SUBSTITUTE(INDEX(Hairstyles!$A:$A,MATCH($B18,Hairstyles!$F:$F,0)),"" "",""""),""'"",""""),""("",""""),"")"","""")&amp;""\""&amp;INDEX(SPLIT($A$2,""_""),1)&amp;""\""&amp;INDEX(SPLIT($A$2,""_""),2)&amp;""\""&amp;SUBSTITUTE(SUBSTIT"&amp;"UTE(SUBSTITUTE(SUBSTITUTE(SUBSTITUTE(INDEX(Hairstyles!$C:$C,MATCH($B18,Hairstyles!$F:$F,0)),"" "",""""),""'"",""""),""("",""""),"")"",""""),""-"",""_"")&amp;""_""&amp;$A$2)"),"Vanilla\Human\Female\Vanilla_MohawkMessyLongBraid_Human_Female")</f>
        <v>Vanilla\Human\Female\Vanilla_MohawkMessyLongBraid_Human_Female</v>
      </c>
      <c r="D18" s="12" t="str">
        <f t="shared" si="1"/>
        <v>Uvi_Wig_Spell_VHRU_MohawkMessyLongBraid,Vanilla\Human\Female\Vanilla_MohawkMessyLongBraid_Human_Female</v>
      </c>
    </row>
    <row r="19">
      <c r="B19" s="12" t="str">
        <f>IFERROR(__xludf.DUMMYFUNCTION("""COMPUTED_VALUE"""),"Uvi_Wig_Spell_VHRU_MohawkMessyRingedBraids")</f>
        <v>Uvi_Wig_Spell_VHRU_MohawkMessyRingedBraids</v>
      </c>
      <c r="C19" s="12" t="str">
        <f>IFERROR(__xludf.DUMMYFUNCTION("IF($B19="""","""",SUBSTITUTE(SUBSTITUTE(SUBSTITUTE(SUBSTITUTE(INDEX(Hairstyles!$A:$A,MATCH($B19,Hairstyles!$F:$F,0)),"" "",""""),""'"",""""),""("",""""),"")"","""")&amp;""\""&amp;INDEX(SPLIT($A$2,""_""),1)&amp;""\""&amp;INDEX(SPLIT($A$2,""_""),2)&amp;""\""&amp;SUBSTITUTE(SUBSTIT"&amp;"UTE(SUBSTITUTE(SUBSTITUTE(SUBSTITUTE(INDEX(Hairstyles!$C:$C,MATCH($B19,Hairstyles!$F:$F,0)),"" "",""""),""'"",""""),""("",""""),"")"",""""),""-"",""_"")&amp;""_""&amp;$A$2)"),"Vanilla\Human\Female\Vanilla_MohawkMessyRingedBraids_Human_Female")</f>
        <v>Vanilla\Human\Female\Vanilla_MohawkMessyRingedBraids_Human_Female</v>
      </c>
      <c r="D19" s="12" t="str">
        <f t="shared" si="1"/>
        <v>Uvi_Wig_Spell_VHRU_MohawkMessyRingedBraids,Vanilla\Human\Female\Vanilla_MohawkMessyRingedBraids_Human_Female</v>
      </c>
    </row>
    <row r="20">
      <c r="B20" s="12" t="str">
        <f>IFERROR(__xludf.DUMMYFUNCTION("""COMPUTED_VALUE"""),"Uvi_Wig_Spell_VHRU_MohawkMessySideBraids")</f>
        <v>Uvi_Wig_Spell_VHRU_MohawkMessySideBraids</v>
      </c>
      <c r="C20" s="12" t="str">
        <f>IFERROR(__xludf.DUMMYFUNCTION("IF($B20="""","""",SUBSTITUTE(SUBSTITUTE(SUBSTITUTE(SUBSTITUTE(INDEX(Hairstyles!$A:$A,MATCH($B20,Hairstyles!$F:$F,0)),"" "",""""),""'"",""""),""("",""""),"")"","""")&amp;""\""&amp;INDEX(SPLIT($A$2,""_""),1)&amp;""\""&amp;INDEX(SPLIT($A$2,""_""),2)&amp;""\""&amp;SUBSTITUTE(SUBSTIT"&amp;"UTE(SUBSTITUTE(SUBSTITUTE(SUBSTITUTE(INDEX(Hairstyles!$C:$C,MATCH($B20,Hairstyles!$F:$F,0)),"" "",""""),""'"",""""),""("",""""),"")"",""""),""-"",""_"")&amp;""_""&amp;$A$2)"),"Vanilla\Human\Female\Vanilla_MohawkMessySideBraids_Human_Female")</f>
        <v>Vanilla\Human\Female\Vanilla_MohawkMessySideBraids_Human_Female</v>
      </c>
      <c r="D20" s="12" t="str">
        <f t="shared" si="1"/>
        <v>Uvi_Wig_Spell_VHRU_MohawkMessySideBraids,Vanilla\Human\Female\Vanilla_MohawkMessySideBraids_Human_Female</v>
      </c>
    </row>
    <row r="21">
      <c r="B21" s="12" t="str">
        <f>IFERROR(__xludf.DUMMYFUNCTION("""COMPUTED_VALUE"""),"Uvi_Wig_Spell_VHRU_MohawkMullet")</f>
        <v>Uvi_Wig_Spell_VHRU_MohawkMullet</v>
      </c>
      <c r="C21" s="12" t="str">
        <f>IFERROR(__xludf.DUMMYFUNCTION("IF($B21="""","""",SUBSTITUTE(SUBSTITUTE(SUBSTITUTE(SUBSTITUTE(INDEX(Hairstyles!$A:$A,MATCH($B21,Hairstyles!$F:$F,0)),"" "",""""),""'"",""""),""("",""""),"")"","""")&amp;""\""&amp;INDEX(SPLIT($A$2,""_""),1)&amp;""\""&amp;INDEX(SPLIT($A$2,""_""),2)&amp;""\""&amp;SUBSTITUTE(SUBSTIT"&amp;"UTE(SUBSTITUTE(SUBSTITUTE(SUBSTITUTE(INDEX(Hairstyles!$C:$C,MATCH($B21,Hairstyles!$F:$F,0)),"" "",""""),""'"",""""),""("",""""),"")"",""""),""-"",""_"")&amp;""_""&amp;$A$2)"),"Vanilla\Human\Female\Vanilla_MohawkMullet_Human_Female")</f>
        <v>Vanilla\Human\Female\Vanilla_MohawkMullet_Human_Female</v>
      </c>
      <c r="D21" s="12" t="str">
        <f t="shared" si="1"/>
        <v>Uvi_Wig_Spell_VHRU_MohawkMullet,Vanilla\Human\Female\Vanilla_MohawkMullet_Human_Female</v>
      </c>
    </row>
    <row r="22">
      <c r="B22" s="12" t="str">
        <f>IFERROR(__xludf.DUMMYFUNCTION("""COMPUTED_VALUE"""),"Uvi_Wig_Spell_VHRU_MohawkPonytail")</f>
        <v>Uvi_Wig_Spell_VHRU_MohawkPonytail</v>
      </c>
      <c r="C22" s="12" t="str">
        <f>IFERROR(__xludf.DUMMYFUNCTION("IF($B22="""","""",SUBSTITUTE(SUBSTITUTE(SUBSTITUTE(SUBSTITUTE(INDEX(Hairstyles!$A:$A,MATCH($B22,Hairstyles!$F:$F,0)),"" "",""""),""'"",""""),""("",""""),"")"","""")&amp;""\""&amp;INDEX(SPLIT($A$2,""_""),1)&amp;""\""&amp;INDEX(SPLIT($A$2,""_""),2)&amp;""\""&amp;SUBSTITUTE(SUBSTIT"&amp;"UTE(SUBSTITUTE(SUBSTITUTE(SUBSTITUTE(INDEX(Hairstyles!$C:$C,MATCH($B22,Hairstyles!$F:$F,0)),"" "",""""),""'"",""""),""("",""""),"")"",""""),""-"",""_"")&amp;""_""&amp;$A$2)"),"Vanilla\Human\Female\Vanilla_MohawkPonytail_Human_Female")</f>
        <v>Vanilla\Human\Female\Vanilla_MohawkPonytail_Human_Female</v>
      </c>
      <c r="D22" s="12" t="str">
        <f t="shared" si="1"/>
        <v>Uvi_Wig_Spell_VHRU_MohawkPonytail,Vanilla\Human\Female\Vanilla_MohawkPonytail_Human_Female</v>
      </c>
    </row>
    <row r="23">
      <c r="B23" s="12" t="str">
        <f>IFERROR(__xludf.DUMMYFUNCTION("""COMPUTED_VALUE"""),"Uvi_Wig_Spell_VHRU_MohawkPonytails")</f>
        <v>Uvi_Wig_Spell_VHRU_MohawkPonytails</v>
      </c>
      <c r="C23" s="12" t="str">
        <f>IFERROR(__xludf.DUMMYFUNCTION("IF($B23="""","""",SUBSTITUTE(SUBSTITUTE(SUBSTITUTE(SUBSTITUTE(INDEX(Hairstyles!$A:$A,MATCH($B23,Hairstyles!$F:$F,0)),"" "",""""),""'"",""""),""("",""""),"")"","""")&amp;""\""&amp;INDEX(SPLIT($A$2,""_""),1)&amp;""\""&amp;INDEX(SPLIT($A$2,""_""),2)&amp;""\""&amp;SUBSTITUTE(SUBSTIT"&amp;"UTE(SUBSTITUTE(SUBSTITUTE(SUBSTITUTE(INDEX(Hairstyles!$C:$C,MATCH($B23,Hairstyles!$F:$F,0)),"" "",""""),""'"",""""),""("",""""),"")"",""""),""-"",""_"")&amp;""_""&amp;$A$2)"),"Vanilla\Human\Female\Vanilla_MohawkPonytails_Human_Female")</f>
        <v>Vanilla\Human\Female\Vanilla_MohawkPonytails_Human_Female</v>
      </c>
      <c r="D23" s="12" t="str">
        <f t="shared" si="1"/>
        <v>Uvi_Wig_Spell_VHRU_MohawkPonytails,Vanilla\Human\Female\Vanilla_MohawkPonytails_Human_Female</v>
      </c>
    </row>
    <row r="24">
      <c r="B24" s="12" t="str">
        <f>IFERROR(__xludf.DUMMYFUNCTION("""COMPUTED_VALUE"""),"Uvi_Wig_Spell_VHRU_MohawkSegmentedPonytail")</f>
        <v>Uvi_Wig_Spell_VHRU_MohawkSegmentedPonytail</v>
      </c>
      <c r="C24" s="12" t="str">
        <f>IFERROR(__xludf.DUMMYFUNCTION("IF($B24="""","""",SUBSTITUTE(SUBSTITUTE(SUBSTITUTE(SUBSTITUTE(INDEX(Hairstyles!$A:$A,MATCH($B24,Hairstyles!$F:$F,0)),"" "",""""),""'"",""""),""("",""""),"")"","""")&amp;""\""&amp;INDEX(SPLIT($A$2,""_""),1)&amp;""\""&amp;INDEX(SPLIT($A$2,""_""),2)&amp;""\""&amp;SUBSTITUTE(SUBSTIT"&amp;"UTE(SUBSTITUTE(SUBSTITUTE(SUBSTITUTE(INDEX(Hairstyles!$C:$C,MATCH($B24,Hairstyles!$F:$F,0)),"" "",""""),""'"",""""),""("",""""),"")"",""""),""-"",""_"")&amp;""_""&amp;$A$2)"),"Vanilla\Human\Female\Vanilla_MohawkSegmentedPonytail_Human_Female")</f>
        <v>Vanilla\Human\Female\Vanilla_MohawkSegmentedPonytail_Human_Female</v>
      </c>
      <c r="D24" s="12" t="str">
        <f t="shared" si="1"/>
        <v>Uvi_Wig_Spell_VHRU_MohawkSegmentedPonytail,Vanilla\Human\Female\Vanilla_MohawkSegmentedPonytail_Human_Female</v>
      </c>
    </row>
    <row r="25">
      <c r="B25" s="12" t="str">
        <f>IFERROR(__xludf.DUMMYFUNCTION("""COMPUTED_VALUE"""),"Uvi_Wig_Spell_VHRU_MohawkShort")</f>
        <v>Uvi_Wig_Spell_VHRU_MohawkShort</v>
      </c>
      <c r="C25" s="12" t="str">
        <f>IFERROR(__xludf.DUMMYFUNCTION("IF($B25="""","""",SUBSTITUTE(SUBSTITUTE(SUBSTITUTE(SUBSTITUTE(INDEX(Hairstyles!$A:$A,MATCH($B25,Hairstyles!$F:$F,0)),"" "",""""),""'"",""""),""("",""""),"")"","""")&amp;""\""&amp;INDEX(SPLIT($A$2,""_""),1)&amp;""\""&amp;INDEX(SPLIT($A$2,""_""),2)&amp;""\""&amp;SUBSTITUTE(SUBSTIT"&amp;"UTE(SUBSTITUTE(SUBSTITUTE(SUBSTITUTE(INDEX(Hairstyles!$C:$C,MATCH($B25,Hairstyles!$F:$F,0)),"" "",""""),""'"",""""),""("",""""),"")"",""""),""-"",""_"")&amp;""_""&amp;$A$2)"),"Vanilla\Human\Female\Vanilla_MohawkShort_Human_Female")</f>
        <v>Vanilla\Human\Female\Vanilla_MohawkShort_Human_Female</v>
      </c>
      <c r="D25" s="12" t="str">
        <f t="shared" si="1"/>
        <v>Uvi_Wig_Spell_VHRU_MohawkShort,Vanilla\Human\Female\Vanilla_MohawkShort_Human_Female</v>
      </c>
    </row>
    <row r="26">
      <c r="B26" s="12" t="str">
        <f>IFERROR(__xludf.DUMMYFUNCTION("""COMPUTED_VALUE"""),"Uvi_Wig_Spell_VHRU_PonytailBangsLong")</f>
        <v>Uvi_Wig_Spell_VHRU_PonytailBangsLong</v>
      </c>
      <c r="C26" s="12" t="str">
        <f>IFERROR(__xludf.DUMMYFUNCTION("IF($B26="""","""",SUBSTITUTE(SUBSTITUTE(SUBSTITUTE(SUBSTITUTE(INDEX(Hairstyles!$A:$A,MATCH($B26,Hairstyles!$F:$F,0)),"" "",""""),""'"",""""),""("",""""),"")"","""")&amp;""\""&amp;INDEX(SPLIT($A$2,""_""),1)&amp;""\""&amp;INDEX(SPLIT($A$2,""_""),2)&amp;""\""&amp;SUBSTITUTE(SUBSTIT"&amp;"UTE(SUBSTITUTE(SUBSTITUTE(SUBSTITUTE(INDEX(Hairstyles!$C:$C,MATCH($B26,Hairstyles!$F:$F,0)),"" "",""""),""'"",""""),""("",""""),"")"",""""),""-"",""_"")&amp;""_""&amp;$A$2)"),"Vanilla\Human\Female\Vanilla_PonytailBangsLong_Human_Female")</f>
        <v>Vanilla\Human\Female\Vanilla_PonytailBangsLong_Human_Female</v>
      </c>
      <c r="D26" s="12" t="str">
        <f t="shared" si="1"/>
        <v>Uvi_Wig_Spell_VHRU_PonytailBangsLong,Vanilla\Human\Female\Vanilla_PonytailBangsLong_Human_Female</v>
      </c>
    </row>
    <row r="27">
      <c r="B27" s="12" t="str">
        <f>IFERROR(__xludf.DUMMYFUNCTION("""COMPUTED_VALUE"""),"Uvi_Wig_Spell_VHRU_PonytailBangsShort")</f>
        <v>Uvi_Wig_Spell_VHRU_PonytailBangsShort</v>
      </c>
      <c r="C27" s="12" t="str">
        <f>IFERROR(__xludf.DUMMYFUNCTION("IF($B27="""","""",SUBSTITUTE(SUBSTITUTE(SUBSTITUTE(SUBSTITUTE(INDEX(Hairstyles!$A:$A,MATCH($B27,Hairstyles!$F:$F,0)),"" "",""""),""'"",""""),""("",""""),"")"","""")&amp;""\""&amp;INDEX(SPLIT($A$2,""_""),1)&amp;""\""&amp;INDEX(SPLIT($A$2,""_""),2)&amp;""\""&amp;SUBSTITUTE(SUBSTIT"&amp;"UTE(SUBSTITUTE(SUBSTITUTE(SUBSTITUTE(INDEX(Hairstyles!$C:$C,MATCH($B27,Hairstyles!$F:$F,0)),"" "",""""),""'"",""""),""("",""""),"")"",""""),""-"",""_"")&amp;""_""&amp;$A$2)"),"Vanilla\Human\Female\Vanilla_PonytailBangsShort_Human_Female")</f>
        <v>Vanilla\Human\Female\Vanilla_PonytailBangsShort_Human_Female</v>
      </c>
      <c r="D27" s="12" t="str">
        <f t="shared" si="1"/>
        <v>Uvi_Wig_Spell_VHRU_PonytailBangsShort,Vanilla\Human\Female\Vanilla_PonytailBangsShort_Human_Female</v>
      </c>
    </row>
    <row r="28">
      <c r="B28" s="12" t="str">
        <f>IFERROR(__xludf.DUMMYFUNCTION("""COMPUTED_VALUE"""),"Uvi_Wig_Spell_VHRU_PonytailBraidLooped")</f>
        <v>Uvi_Wig_Spell_VHRU_PonytailBraidLooped</v>
      </c>
      <c r="C28" s="12" t="str">
        <f>IFERROR(__xludf.DUMMYFUNCTION("IF($B28="""","""",SUBSTITUTE(SUBSTITUTE(SUBSTITUTE(SUBSTITUTE(INDEX(Hairstyles!$A:$A,MATCH($B28,Hairstyles!$F:$F,0)),"" "",""""),""'"",""""),""("",""""),"")"","""")&amp;""\""&amp;INDEX(SPLIT($A$2,""_""),1)&amp;""\""&amp;INDEX(SPLIT($A$2,""_""),2)&amp;""\""&amp;SUBSTITUTE(SUBSTIT"&amp;"UTE(SUBSTITUTE(SUBSTITUTE(SUBSTITUTE(INDEX(Hairstyles!$C:$C,MATCH($B28,Hairstyles!$F:$F,0)),"" "",""""),""'"",""""),""("",""""),"")"",""""),""-"",""_"")&amp;""_""&amp;$A$2)"),"Vanilla\Human\Female\Vanilla_PonytailBraidLooped_Human_Female")</f>
        <v>Vanilla\Human\Female\Vanilla_PonytailBraidLooped_Human_Female</v>
      </c>
      <c r="D28" s="12" t="str">
        <f t="shared" si="1"/>
        <v>Uvi_Wig_Spell_VHRU_PonytailBraidLooped,Vanilla\Human\Female\Vanilla_PonytailBraidLooped_Human_Female</v>
      </c>
    </row>
    <row r="29">
      <c r="B29" s="12" t="str">
        <f>IFERROR(__xludf.DUMMYFUNCTION("""COMPUTED_VALUE"""),"Uvi_Wig_Spell_VHRU_PonytailHalf-up")</f>
        <v>Uvi_Wig_Spell_VHRU_PonytailHalf-up</v>
      </c>
      <c r="C29" s="12" t="str">
        <f>IFERROR(__xludf.DUMMYFUNCTION("IF($B29="""","""",SUBSTITUTE(SUBSTITUTE(SUBSTITUTE(SUBSTITUTE(INDEX(Hairstyles!$A:$A,MATCH($B29,Hairstyles!$F:$F,0)),"" "",""""),""'"",""""),""("",""""),"")"","""")&amp;""\""&amp;INDEX(SPLIT($A$2,""_""),1)&amp;""\""&amp;INDEX(SPLIT($A$2,""_""),2)&amp;""\""&amp;SUBSTITUTE(SUBSTIT"&amp;"UTE(SUBSTITUTE(SUBSTITUTE(SUBSTITUTE(INDEX(Hairstyles!$C:$C,MATCH($B29,Hairstyles!$F:$F,0)),"" "",""""),""'"",""""),""("",""""),"")"",""""),""-"",""_"")&amp;""_""&amp;$A$2)"),"Vanilla\Human\Female\Vanilla_PonytailHalf_up_Human_Female")</f>
        <v>Vanilla\Human\Female\Vanilla_PonytailHalf_up_Human_Female</v>
      </c>
      <c r="D29" s="12" t="str">
        <f t="shared" si="1"/>
        <v>Uvi_Wig_Spell_VHRU_PonytailHalf-up,Vanilla\Human\Female\Vanilla_PonytailHalf_up_Human_Female</v>
      </c>
    </row>
    <row r="30">
      <c r="B30" s="12" t="str">
        <f>IFERROR(__xludf.DUMMYFUNCTION("""COMPUTED_VALUE"""),"Uvi_Wig_Spell_VHRU_PonytailHalf-upBangs")</f>
        <v>Uvi_Wig_Spell_VHRU_PonytailHalf-upBangs</v>
      </c>
      <c r="C30" s="12" t="str">
        <f>IFERROR(__xludf.DUMMYFUNCTION("IF($B30="""","""",SUBSTITUTE(SUBSTITUTE(SUBSTITUTE(SUBSTITUTE(INDEX(Hairstyles!$A:$A,MATCH($B30,Hairstyles!$F:$F,0)),"" "",""""),""'"",""""),""("",""""),"")"","""")&amp;""\""&amp;INDEX(SPLIT($A$2,""_""),1)&amp;""\""&amp;INDEX(SPLIT($A$2,""_""),2)&amp;""\""&amp;SUBSTITUTE(SUBSTIT"&amp;"UTE(SUBSTITUTE(SUBSTITUTE(SUBSTITUTE(INDEX(Hairstyles!$C:$C,MATCH($B30,Hairstyles!$F:$F,0)),"" "",""""),""'"",""""),""("",""""),"")"",""""),""-"",""_"")&amp;""_""&amp;$A$2)"),"Vanilla\Human\Female\Vanilla_PonytailHalf_upBangs_Human_Female")</f>
        <v>Vanilla\Human\Female\Vanilla_PonytailHalf_upBangs_Human_Female</v>
      </c>
      <c r="D30" s="12" t="str">
        <f t="shared" si="1"/>
        <v>Uvi_Wig_Spell_VHRU_PonytailHalf-upBangs,Vanilla\Human\Female\Vanilla_PonytailHalf_upBangs_Human_Female</v>
      </c>
    </row>
    <row r="31">
      <c r="B31" s="12" t="str">
        <f>IFERROR(__xludf.DUMMYFUNCTION("""COMPUTED_VALUE"""),"Uvi_Wig_Spell_VHRU_PonytailLow")</f>
        <v>Uvi_Wig_Spell_VHRU_PonytailLow</v>
      </c>
      <c r="C31" s="12" t="str">
        <f>IFERROR(__xludf.DUMMYFUNCTION("IF($B31="""","""",SUBSTITUTE(SUBSTITUTE(SUBSTITUTE(SUBSTITUTE(INDEX(Hairstyles!$A:$A,MATCH($B31,Hairstyles!$F:$F,0)),"" "",""""),""'"",""""),""("",""""),"")"","""")&amp;""\""&amp;INDEX(SPLIT($A$2,""_""),1)&amp;""\""&amp;INDEX(SPLIT($A$2,""_""),2)&amp;""\""&amp;SUBSTITUTE(SUBSTIT"&amp;"UTE(SUBSTITUTE(SUBSTITUTE(SUBSTITUTE(INDEX(Hairstyles!$C:$C,MATCH($B31,Hairstyles!$F:$F,0)),"" "",""""),""'"",""""),""("",""""),"")"",""""),""-"",""_"")&amp;""_""&amp;$A$2)"),"Vanilla\Human\Female\Vanilla_PonytailLow_Human_Female")</f>
        <v>Vanilla\Human\Female\Vanilla_PonytailLow_Human_Female</v>
      </c>
      <c r="D31" s="12" t="str">
        <f t="shared" si="1"/>
        <v>Uvi_Wig_Spell_VHRU_PonytailLow,Vanilla\Human\Female\Vanilla_PonytailLow_Human_Female</v>
      </c>
    </row>
    <row r="32">
      <c r="B32" s="12" t="str">
        <f>IFERROR(__xludf.DUMMYFUNCTION("""COMPUTED_VALUE"""),"Uvi_Wig_Spell_VHRU_PulledBackLongBraid")</f>
        <v>Uvi_Wig_Spell_VHRU_PulledBackLongBraid</v>
      </c>
      <c r="C32" s="12" t="str">
        <f>IFERROR(__xludf.DUMMYFUNCTION("IF($B32="""","""",SUBSTITUTE(SUBSTITUTE(SUBSTITUTE(SUBSTITUTE(INDEX(Hairstyles!$A:$A,MATCH($B32,Hairstyles!$F:$F,0)),"" "",""""),""'"",""""),""("",""""),"")"","""")&amp;""\""&amp;INDEX(SPLIT($A$2,""_""),1)&amp;""\""&amp;INDEX(SPLIT($A$2,""_""),2)&amp;""\""&amp;SUBSTITUTE(SUBSTIT"&amp;"UTE(SUBSTITUTE(SUBSTITUTE(SUBSTITUTE(INDEX(Hairstyles!$C:$C,MATCH($B32,Hairstyles!$F:$F,0)),"" "",""""),""'"",""""),""("",""""),"")"",""""),""-"",""_"")&amp;""_""&amp;$A$2)"),"Vanilla\Human\Female\Vanilla_PulledBackLongBraid_Human_Female")</f>
        <v>Vanilla\Human\Female\Vanilla_PulledBackLongBraid_Human_Female</v>
      </c>
      <c r="D32" s="12" t="str">
        <f t="shared" si="1"/>
        <v>Uvi_Wig_Spell_VHRU_PulledBackLongBraid,Vanilla\Human\Female\Vanilla_PulledBackLongBraid_Human_Female</v>
      </c>
    </row>
    <row r="33">
      <c r="B33" s="12" t="str">
        <f>IFERROR(__xludf.DUMMYFUNCTION("""COMPUTED_VALUE"""),"Uvi_Wig_Spell_VHRU_RoninPinnedBun")</f>
        <v>Uvi_Wig_Spell_VHRU_RoninPinnedBun</v>
      </c>
      <c r="C33" s="12" t="str">
        <f>IFERROR(__xludf.DUMMYFUNCTION("IF($B33="""","""",SUBSTITUTE(SUBSTITUTE(SUBSTITUTE(SUBSTITUTE(INDEX(Hairstyles!$A:$A,MATCH($B33,Hairstyles!$F:$F,0)),"" "",""""),""'"",""""),""("",""""),"")"","""")&amp;""\""&amp;INDEX(SPLIT($A$2,""_""),1)&amp;""\""&amp;INDEX(SPLIT($A$2,""_""),2)&amp;""\""&amp;SUBSTITUTE(SUBSTIT"&amp;"UTE(SUBSTITUTE(SUBSTITUTE(SUBSTITUTE(INDEX(Hairstyles!$C:$C,MATCH($B33,Hairstyles!$F:$F,0)),"" "",""""),""'"",""""),""("",""""),"")"",""""),""-"",""_"")&amp;""_""&amp;$A$2)"),"Vanilla\Human\Female\Vanilla_RoninPinnedBun_Human_Female")</f>
        <v>Vanilla\Human\Female\Vanilla_RoninPinnedBun_Human_Female</v>
      </c>
      <c r="D33" s="12" t="str">
        <f t="shared" si="1"/>
        <v>Uvi_Wig_Spell_VHRU_RoninPinnedBun,Vanilla\Human\Female\Vanilla_RoninPinnedBun_Human_Female</v>
      </c>
    </row>
    <row r="34">
      <c r="B34" s="12" t="str">
        <f>IFERROR(__xludf.DUMMYFUNCTION("""COMPUTED_VALUE"""),"Uvi_Wig_Spell_VHRU_RoninPinnedBunHalf-up")</f>
        <v>Uvi_Wig_Spell_VHRU_RoninPinnedBunHalf-up</v>
      </c>
      <c r="C34" s="12" t="str">
        <f>IFERROR(__xludf.DUMMYFUNCTION("IF($B34="""","""",SUBSTITUTE(SUBSTITUTE(SUBSTITUTE(SUBSTITUTE(INDEX(Hairstyles!$A:$A,MATCH($B34,Hairstyles!$F:$F,0)),"" "",""""),""'"",""""),""("",""""),"")"","""")&amp;""\""&amp;INDEX(SPLIT($A$2,""_""),1)&amp;""\""&amp;INDEX(SPLIT($A$2,""_""),2)&amp;""\""&amp;SUBSTITUTE(SUBSTIT"&amp;"UTE(SUBSTITUTE(SUBSTITUTE(SUBSTITUTE(INDEX(Hairstyles!$C:$C,MATCH($B34,Hairstyles!$F:$F,0)),"" "",""""),""'"",""""),""("",""""),"")"",""""),""-"",""_"")&amp;""_""&amp;$A$2)"),"Vanilla\Human\Female\Vanilla_RoninPinnedBunHalf_up_Human_Female")</f>
        <v>Vanilla\Human\Female\Vanilla_RoninPinnedBunHalf_up_Human_Female</v>
      </c>
      <c r="D34" s="12" t="str">
        <f t="shared" si="1"/>
        <v>Uvi_Wig_Spell_VHRU_RoninPinnedBunHalf-up,Vanilla\Human\Female\Vanilla_RoninPinnedBunHalf_up_Human_Female</v>
      </c>
    </row>
    <row r="35">
      <c r="B35" s="12" t="str">
        <f>IFERROR(__xludf.DUMMYFUNCTION("""COMPUTED_VALUE"""),"Uvi_Wig_Spell_VHRU_RoninPonytailBanded")</f>
        <v>Uvi_Wig_Spell_VHRU_RoninPonytailBanded</v>
      </c>
      <c r="C35" s="12" t="str">
        <f>IFERROR(__xludf.DUMMYFUNCTION("IF($B35="""","""",SUBSTITUTE(SUBSTITUTE(SUBSTITUTE(SUBSTITUTE(INDEX(Hairstyles!$A:$A,MATCH($B35,Hairstyles!$F:$F,0)),"" "",""""),""'"",""""),""("",""""),"")"","""")&amp;""\""&amp;INDEX(SPLIT($A$2,""_""),1)&amp;""\""&amp;INDEX(SPLIT($A$2,""_""),2)&amp;""\""&amp;SUBSTITUTE(SUBSTIT"&amp;"UTE(SUBSTITUTE(SUBSTITUTE(SUBSTITUTE(INDEX(Hairstyles!$C:$C,MATCH($B35,Hairstyles!$F:$F,0)),"" "",""""),""'"",""""),""("",""""),"")"",""""),""-"",""_"")&amp;""_""&amp;$A$2)"),"Vanilla\Human\Female\Vanilla_RoninPonytailBanded_Human_Female")</f>
        <v>Vanilla\Human\Female\Vanilla_RoninPonytailBanded_Human_Female</v>
      </c>
      <c r="D35" s="12" t="str">
        <f t="shared" si="1"/>
        <v>Uvi_Wig_Spell_VHRU_RoninPonytailBanded,Vanilla\Human\Female\Vanilla_RoninPonytailBanded_Human_Female</v>
      </c>
    </row>
    <row r="36">
      <c r="B36" s="12" t="str">
        <f>IFERROR(__xludf.DUMMYFUNCTION("""COMPUTED_VALUE"""),"Uvi_Wig_Spell_VHRU_RoninPonytailBraid")</f>
        <v>Uvi_Wig_Spell_VHRU_RoninPonytailBraid</v>
      </c>
      <c r="C36" s="12" t="str">
        <f>IFERROR(__xludf.DUMMYFUNCTION("IF($B36="""","""",SUBSTITUTE(SUBSTITUTE(SUBSTITUTE(SUBSTITUTE(INDEX(Hairstyles!$A:$A,MATCH($B36,Hairstyles!$F:$F,0)),"" "",""""),""'"",""""),""("",""""),"")"","""")&amp;""\""&amp;INDEX(SPLIT($A$2,""_""),1)&amp;""\""&amp;INDEX(SPLIT($A$2,""_""),2)&amp;""\""&amp;SUBSTITUTE(SUBSTIT"&amp;"UTE(SUBSTITUTE(SUBSTITUTE(SUBSTITUTE(INDEX(Hairstyles!$C:$C,MATCH($B36,Hairstyles!$F:$F,0)),"" "",""""),""'"",""""),""("",""""),"")"",""""),""-"",""_"")&amp;""_""&amp;$A$2)"),"Vanilla\Human\Female\Vanilla_RoninPonytailBraid_Human_Female")</f>
        <v>Vanilla\Human\Female\Vanilla_RoninPonytailBraid_Human_Female</v>
      </c>
      <c r="D36" s="12" t="str">
        <f t="shared" si="1"/>
        <v>Uvi_Wig_Spell_VHRU_RoninPonytailBraid,Vanilla\Human\Female\Vanilla_RoninPonytailBraid_Human_Female</v>
      </c>
    </row>
    <row r="37">
      <c r="B37" s="12" t="str">
        <f>IFERROR(__xludf.DUMMYFUNCTION("""COMPUTED_VALUE"""),"Uvi_Wig_Spell_VHRU_RoninPonytailHalf-up")</f>
        <v>Uvi_Wig_Spell_VHRU_RoninPonytailHalf-up</v>
      </c>
      <c r="C37" s="12" t="str">
        <f>IFERROR(__xludf.DUMMYFUNCTION("IF($B37="""","""",SUBSTITUTE(SUBSTITUTE(SUBSTITUTE(SUBSTITUTE(INDEX(Hairstyles!$A:$A,MATCH($B37,Hairstyles!$F:$F,0)),"" "",""""),""'"",""""),""("",""""),"")"","""")&amp;""\""&amp;INDEX(SPLIT($A$2,""_""),1)&amp;""\""&amp;INDEX(SPLIT($A$2,""_""),2)&amp;""\""&amp;SUBSTITUTE(SUBSTIT"&amp;"UTE(SUBSTITUTE(SUBSTITUTE(SUBSTITUTE(INDEX(Hairstyles!$C:$C,MATCH($B37,Hairstyles!$F:$F,0)),"" "",""""),""'"",""""),""("",""""),"")"",""""),""-"",""_"")&amp;""_""&amp;$A$2)"),"Vanilla\Human\Female\Vanilla_RoninPonytailHalf_up_Human_Female")</f>
        <v>Vanilla\Human\Female\Vanilla_RoninPonytailHalf_up_Human_Female</v>
      </c>
      <c r="D37" s="12" t="str">
        <f t="shared" si="1"/>
        <v>Uvi_Wig_Spell_VHRU_RoninPonytailHalf-up,Vanilla\Human\Female\Vanilla_RoninPonytailHalf_up_Human_Female</v>
      </c>
    </row>
    <row r="38">
      <c r="B38" s="12" t="str">
        <f>IFERROR(__xludf.DUMMYFUNCTION("""COMPUTED_VALUE"""),"Uvi_Wig_Spell_VHRU_RoninPonytailLong")</f>
        <v>Uvi_Wig_Spell_VHRU_RoninPonytailLong</v>
      </c>
      <c r="C38" s="12" t="str">
        <f>IFERROR(__xludf.DUMMYFUNCTION("IF($B38="""","""",SUBSTITUTE(SUBSTITUTE(SUBSTITUTE(SUBSTITUTE(INDEX(Hairstyles!$A:$A,MATCH($B38,Hairstyles!$F:$F,0)),"" "",""""),""'"",""""),""("",""""),"")"","""")&amp;""\""&amp;INDEX(SPLIT($A$2,""_""),1)&amp;""\""&amp;INDEX(SPLIT($A$2,""_""),2)&amp;""\""&amp;SUBSTITUTE(SUBSTIT"&amp;"UTE(SUBSTITUTE(SUBSTITUTE(SUBSTITUTE(INDEX(Hairstyles!$C:$C,MATCH($B38,Hairstyles!$F:$F,0)),"" "",""""),""'"",""""),""("",""""),"")"",""""),""-"",""_"")&amp;""_""&amp;$A$2)"),"Vanilla\Human\Female\Vanilla_RoninPonytailLong_Human_Female")</f>
        <v>Vanilla\Human\Female\Vanilla_RoninPonytailLong_Human_Female</v>
      </c>
      <c r="D38" s="12" t="str">
        <f t="shared" si="1"/>
        <v>Uvi_Wig_Spell_VHRU_RoninPonytailLong,Vanilla\Human\Female\Vanilla_RoninPonytailLong_Human_Female</v>
      </c>
    </row>
    <row r="39">
      <c r="B39" s="12" t="str">
        <f>IFERROR(__xludf.DUMMYFUNCTION("""COMPUTED_VALUE"""),"Uvi_Wig_Spell_VHRU_RoninPonytailMedium")</f>
        <v>Uvi_Wig_Spell_VHRU_RoninPonytailMedium</v>
      </c>
      <c r="C39" s="12" t="str">
        <f>IFERROR(__xludf.DUMMYFUNCTION("IF($B39="""","""",SUBSTITUTE(SUBSTITUTE(SUBSTITUTE(SUBSTITUTE(INDEX(Hairstyles!$A:$A,MATCH($B39,Hairstyles!$F:$F,0)),"" "",""""),""'"",""""),""("",""""),"")"","""")&amp;""\""&amp;INDEX(SPLIT($A$2,""_""),1)&amp;""\""&amp;INDEX(SPLIT($A$2,""_""),2)&amp;""\""&amp;SUBSTITUTE(SUBSTIT"&amp;"UTE(SUBSTITUTE(SUBSTITUTE(SUBSTITUTE(INDEX(Hairstyles!$C:$C,MATCH($B39,Hairstyles!$F:$F,0)),"" "",""""),""'"",""""),""("",""""),"")"",""""),""-"",""_"")&amp;""_""&amp;$A$2)"),"Vanilla\Human\Female\Vanilla_RoninPonytailMedium_Human_Female")</f>
        <v>Vanilla\Human\Female\Vanilla_RoninPonytailMedium_Human_Female</v>
      </c>
      <c r="D39" s="12" t="str">
        <f t="shared" si="1"/>
        <v>Uvi_Wig_Spell_VHRU_RoninPonytailMedium,Vanilla\Human\Female\Vanilla_RoninPonytailMedium_Human_Female</v>
      </c>
    </row>
    <row r="40">
      <c r="B40" s="12" t="str">
        <f>IFERROR(__xludf.DUMMYFUNCTION("""COMPUTED_VALUE"""),"Uvi_Wig_Spell_VHRU_RoninPonytailShort")</f>
        <v>Uvi_Wig_Spell_VHRU_RoninPonytailShort</v>
      </c>
      <c r="C40" s="12" t="str">
        <f>IFERROR(__xludf.DUMMYFUNCTION("IF($B40="""","""",SUBSTITUTE(SUBSTITUTE(SUBSTITUTE(SUBSTITUTE(INDEX(Hairstyles!$A:$A,MATCH($B40,Hairstyles!$F:$F,0)),"" "",""""),""'"",""""),""("",""""),"")"","""")&amp;""\""&amp;INDEX(SPLIT($A$2,""_""),1)&amp;""\""&amp;INDEX(SPLIT($A$2,""_""),2)&amp;""\""&amp;SUBSTITUTE(SUBSTIT"&amp;"UTE(SUBSTITUTE(SUBSTITUTE(SUBSTITUTE(INDEX(Hairstyles!$C:$C,MATCH($B40,Hairstyles!$F:$F,0)),"" "",""""),""'"",""""),""("",""""),"")"",""""),""-"",""_"")&amp;""_""&amp;$A$2)"),"Vanilla\Human\Female\Vanilla_RoninPonytailShort_Human_Female")</f>
        <v>Vanilla\Human\Female\Vanilla_RoninPonytailShort_Human_Female</v>
      </c>
      <c r="D40" s="12" t="str">
        <f t="shared" si="1"/>
        <v>Uvi_Wig_Spell_VHRU_RoninPonytailShort,Vanilla\Human\Female\Vanilla_RoninPonytailShort_Human_Female</v>
      </c>
    </row>
    <row r="41">
      <c r="B41" s="12" t="str">
        <f>IFERROR(__xludf.DUMMYFUNCTION("""COMPUTED_VALUE"""),"Uvi_Wig_Spell_VHRU_RoninStackedBuns")</f>
        <v>Uvi_Wig_Spell_VHRU_RoninStackedBuns</v>
      </c>
      <c r="C41" s="12" t="str">
        <f>IFERROR(__xludf.DUMMYFUNCTION("IF($B41="""","""",SUBSTITUTE(SUBSTITUTE(SUBSTITUTE(SUBSTITUTE(INDEX(Hairstyles!$A:$A,MATCH($B41,Hairstyles!$F:$F,0)),"" "",""""),""'"",""""),""("",""""),"")"","""")&amp;""\""&amp;INDEX(SPLIT($A$2,""_""),1)&amp;""\""&amp;INDEX(SPLIT($A$2,""_""),2)&amp;""\""&amp;SUBSTITUTE(SUBSTIT"&amp;"UTE(SUBSTITUTE(SUBSTITUTE(SUBSTITUTE(INDEX(Hairstyles!$C:$C,MATCH($B41,Hairstyles!$F:$F,0)),"" "",""""),""'"",""""),""("",""""),"")"",""""),""-"",""_"")&amp;""_""&amp;$A$2)"),"Vanilla\Human\Female\Vanilla_RoninStackedBuns_Human_Female")</f>
        <v>Vanilla\Human\Female\Vanilla_RoninStackedBuns_Human_Female</v>
      </c>
      <c r="D41" s="12" t="str">
        <f t="shared" si="1"/>
        <v>Uvi_Wig_Spell_VHRU_RoninStackedBuns,Vanilla\Human\Female\Vanilla_RoninStackedBuns_Human_Female</v>
      </c>
    </row>
    <row r="42">
      <c r="B42" s="12" t="str">
        <f>IFERROR(__xludf.DUMMYFUNCTION("""COMPUTED_VALUE"""),"Uvi_Wig_Spell_VHRU_RoninStackedBunsHalf-up")</f>
        <v>Uvi_Wig_Spell_VHRU_RoninStackedBunsHalf-up</v>
      </c>
      <c r="C42" s="12" t="str">
        <f>IFERROR(__xludf.DUMMYFUNCTION("IF($B42="""","""",SUBSTITUTE(SUBSTITUTE(SUBSTITUTE(SUBSTITUTE(INDEX(Hairstyles!$A:$A,MATCH($B42,Hairstyles!$F:$F,0)),"" "",""""),""'"",""""),""("",""""),"")"","""")&amp;""\""&amp;INDEX(SPLIT($A$2,""_""),1)&amp;""\""&amp;INDEX(SPLIT($A$2,""_""),2)&amp;""\""&amp;SUBSTITUTE(SUBSTIT"&amp;"UTE(SUBSTITUTE(SUBSTITUTE(SUBSTITUTE(INDEX(Hairstyles!$C:$C,MATCH($B42,Hairstyles!$F:$F,0)),"" "",""""),""'"",""""),""("",""""),"")"",""""),""-"",""_"")&amp;""_""&amp;$A$2)"),"Vanilla\Human\Female\Vanilla_RoninStackedBunsHalf_up_Human_Female")</f>
        <v>Vanilla\Human\Female\Vanilla_RoninStackedBunsHalf_up_Human_Female</v>
      </c>
      <c r="D42" s="12" t="str">
        <f t="shared" si="1"/>
        <v>Uvi_Wig_Spell_VHRU_RoninStackedBunsHalf-up,Vanilla\Human\Female\Vanilla_RoninStackedBunsHalf_up_Human_Female</v>
      </c>
    </row>
    <row r="43">
      <c r="B43" s="12" t="str">
        <f>IFERROR(__xludf.DUMMYFUNCTION("""COMPUTED_VALUE"""),"Uvi_Wig_Spell_VHRU_RoninTop-knot")</f>
        <v>Uvi_Wig_Spell_VHRU_RoninTop-knot</v>
      </c>
      <c r="C43" s="12" t="str">
        <f>IFERROR(__xludf.DUMMYFUNCTION("IF($B43="""","""",SUBSTITUTE(SUBSTITUTE(SUBSTITUTE(SUBSTITUTE(INDEX(Hairstyles!$A:$A,MATCH($B43,Hairstyles!$F:$F,0)),"" "",""""),""'"",""""),""("",""""),"")"","""")&amp;""\""&amp;INDEX(SPLIT($A$2,""_""),1)&amp;""\""&amp;INDEX(SPLIT($A$2,""_""),2)&amp;""\""&amp;SUBSTITUTE(SUBSTIT"&amp;"UTE(SUBSTITUTE(SUBSTITUTE(SUBSTITUTE(INDEX(Hairstyles!$C:$C,MATCH($B43,Hairstyles!$F:$F,0)),"" "",""""),""'"",""""),""("",""""),"")"",""""),""-"",""_"")&amp;""_""&amp;$A$2)"),"Vanilla\Human\Female\Vanilla_RoninTop_knot_Human_Female")</f>
        <v>Vanilla\Human\Female\Vanilla_RoninTop_knot_Human_Female</v>
      </c>
      <c r="D43" s="12" t="str">
        <f t="shared" si="1"/>
        <v>Uvi_Wig_Spell_VHRU_RoninTop-knot,Vanilla\Human\Female\Vanilla_RoninTop_knot_Human_Female</v>
      </c>
    </row>
    <row r="44">
      <c r="B44" s="12" t="str">
        <f>IFERROR(__xludf.DUMMYFUNCTION("""COMPUTED_VALUE"""),"Uvi_Wig_Spell_VHRU_RoninTop-knotHalf-up")</f>
        <v>Uvi_Wig_Spell_VHRU_RoninTop-knotHalf-up</v>
      </c>
      <c r="C44" s="12" t="str">
        <f>IFERROR(__xludf.DUMMYFUNCTION("IF($B44="""","""",SUBSTITUTE(SUBSTITUTE(SUBSTITUTE(SUBSTITUTE(INDEX(Hairstyles!$A:$A,MATCH($B44,Hairstyles!$F:$F,0)),"" "",""""),""'"",""""),""("",""""),"")"","""")&amp;""\""&amp;INDEX(SPLIT($A$2,""_""),1)&amp;""\""&amp;INDEX(SPLIT($A$2,""_""),2)&amp;""\""&amp;SUBSTITUTE(SUBSTIT"&amp;"UTE(SUBSTITUTE(SUBSTITUTE(SUBSTITUTE(INDEX(Hairstyles!$C:$C,MATCH($B44,Hairstyles!$F:$F,0)),"" "",""""),""'"",""""),""("",""""),"")"",""""),""-"",""_"")&amp;""_""&amp;$A$2)"),"Vanilla\Human\Female\Vanilla_RoninTop_knotHalf_up_Human_Female")</f>
        <v>Vanilla\Human\Female\Vanilla_RoninTop_knotHalf_up_Human_Female</v>
      </c>
      <c r="D44" s="12" t="str">
        <f t="shared" si="1"/>
        <v>Uvi_Wig_Spell_VHRU_RoninTop-knotHalf-up,Vanilla\Human\Female\Vanilla_RoninTop_knotHalf_up_Human_Female</v>
      </c>
    </row>
    <row r="45">
      <c r="B45" s="12" t="str">
        <f>IFERROR(__xludf.DUMMYFUNCTION("""COMPUTED_VALUE"""),"Uvi_Wig_Spell_VHRU_RoninUndercutPonytailBanded")</f>
        <v>Uvi_Wig_Spell_VHRU_RoninUndercutPonytailBanded</v>
      </c>
      <c r="C45" s="12" t="str">
        <f>IFERROR(__xludf.DUMMYFUNCTION("IF($B45="""","""",SUBSTITUTE(SUBSTITUTE(SUBSTITUTE(SUBSTITUTE(INDEX(Hairstyles!$A:$A,MATCH($B45,Hairstyles!$F:$F,0)),"" "",""""),""'"",""""),""("",""""),"")"","""")&amp;""\""&amp;INDEX(SPLIT($A$2,""_""),1)&amp;""\""&amp;INDEX(SPLIT($A$2,""_""),2)&amp;""\""&amp;SUBSTITUTE(SUBSTIT"&amp;"UTE(SUBSTITUTE(SUBSTITUTE(SUBSTITUTE(INDEX(Hairstyles!$C:$C,MATCH($B45,Hairstyles!$F:$F,0)),"" "",""""),""'"",""""),""("",""""),"")"",""""),""-"",""_"")&amp;""_""&amp;$A$2)"),"Vanilla\Human\Female\Vanilla_RoninUndercutPonytailBanded_Human_Female")</f>
        <v>Vanilla\Human\Female\Vanilla_RoninUndercutPonytailBanded_Human_Female</v>
      </c>
      <c r="D45" s="12" t="str">
        <f t="shared" si="1"/>
        <v>Uvi_Wig_Spell_VHRU_RoninUndercutPonytailBanded,Vanilla\Human\Female\Vanilla_RoninUndercutPonytailBanded_Human_Female</v>
      </c>
    </row>
    <row r="46">
      <c r="B46" s="12" t="str">
        <f>IFERROR(__xludf.DUMMYFUNCTION("""COMPUTED_VALUE"""),"Uvi_Wig_Spell_VHRU_RoninUndercutPonytailLong")</f>
        <v>Uvi_Wig_Spell_VHRU_RoninUndercutPonytailLong</v>
      </c>
      <c r="C46" s="12" t="str">
        <f>IFERROR(__xludf.DUMMYFUNCTION("IF($B46="""","""",SUBSTITUTE(SUBSTITUTE(SUBSTITUTE(SUBSTITUTE(INDEX(Hairstyles!$A:$A,MATCH($B46,Hairstyles!$F:$F,0)),"" "",""""),""'"",""""),""("",""""),"")"","""")&amp;""\""&amp;INDEX(SPLIT($A$2,""_""),1)&amp;""\""&amp;INDEX(SPLIT($A$2,""_""),2)&amp;""\""&amp;SUBSTITUTE(SUBSTIT"&amp;"UTE(SUBSTITUTE(SUBSTITUTE(SUBSTITUTE(INDEX(Hairstyles!$C:$C,MATCH($B46,Hairstyles!$F:$F,0)),"" "",""""),""'"",""""),""("",""""),"")"",""""),""-"",""_"")&amp;""_""&amp;$A$2)"),"Vanilla\Human\Female\Vanilla_RoninUndercutPonytailLong_Human_Female")</f>
        <v>Vanilla\Human\Female\Vanilla_RoninUndercutPonytailLong_Human_Female</v>
      </c>
      <c r="D46" s="12" t="str">
        <f t="shared" si="1"/>
        <v>Uvi_Wig_Spell_VHRU_RoninUndercutPonytailLong,Vanilla\Human\Female\Vanilla_RoninUndercutPonytailLong_Human_Female</v>
      </c>
    </row>
    <row r="47">
      <c r="B47" s="12" t="str">
        <f>IFERROR(__xludf.DUMMYFUNCTION("""COMPUTED_VALUE"""),"Uvi_Wig_Spell_VHRU_RoninUndercutPonytailShort")</f>
        <v>Uvi_Wig_Spell_VHRU_RoninUndercutPonytailShort</v>
      </c>
      <c r="C47" s="12" t="str">
        <f>IFERROR(__xludf.DUMMYFUNCTION("IF($B47="""","""",SUBSTITUTE(SUBSTITUTE(SUBSTITUTE(SUBSTITUTE(INDEX(Hairstyles!$A:$A,MATCH($B47,Hairstyles!$F:$F,0)),"" "",""""),""'"",""""),""("",""""),"")"","""")&amp;""\""&amp;INDEX(SPLIT($A$2,""_""),1)&amp;""\""&amp;INDEX(SPLIT($A$2,""_""),2)&amp;""\""&amp;SUBSTITUTE(SUBSTIT"&amp;"UTE(SUBSTITUTE(SUBSTITUTE(SUBSTITUTE(INDEX(Hairstyles!$C:$C,MATCH($B47,Hairstyles!$F:$F,0)),"" "",""""),""'"",""""),""("",""""),"")"",""""),""-"",""_"")&amp;""_""&amp;$A$2)"),"Vanilla\Human\Female\Vanilla_RoninUndercutPonytailShort_Human_Female")</f>
        <v>Vanilla\Human\Female\Vanilla_RoninUndercutPonytailShort_Human_Female</v>
      </c>
      <c r="D47" s="12" t="str">
        <f t="shared" si="1"/>
        <v>Uvi_Wig_Spell_VHRU_RoninUndercutPonytailShort,Vanilla\Human\Female\Vanilla_RoninUndercutPonytailShort_Human_Female</v>
      </c>
    </row>
    <row r="48">
      <c r="B48" s="12" t="str">
        <f>IFERROR(__xludf.DUMMYFUNCTION("""COMPUTED_VALUE"""),"Uvi_Wig_Spell_VHRU_Shaved1")</f>
        <v>Uvi_Wig_Spell_VHRU_Shaved1</v>
      </c>
      <c r="C48" s="12" t="str">
        <f>IFERROR(__xludf.DUMMYFUNCTION("IF($B48="""","""",SUBSTITUTE(SUBSTITUTE(SUBSTITUTE(SUBSTITUTE(INDEX(Hairstyles!$A:$A,MATCH($B48,Hairstyles!$F:$F,0)),"" "",""""),""'"",""""),""("",""""),"")"","""")&amp;""\""&amp;INDEX(SPLIT($A$2,""_""),1)&amp;""\""&amp;INDEX(SPLIT($A$2,""_""),2)&amp;""\""&amp;SUBSTITUTE(SUBSTIT"&amp;"UTE(SUBSTITUTE(SUBSTITUTE(SUBSTITUTE(INDEX(Hairstyles!$C:$C,MATCH($B48,Hairstyles!$F:$F,0)),"" "",""""),""'"",""""),""("",""""),"")"",""""),""-"",""_"")&amp;""_""&amp;$A$2)"),"Vanilla\Human\Female\Vanilla_Shaved1_Human_Female")</f>
        <v>Vanilla\Human\Female\Vanilla_Shaved1_Human_Female</v>
      </c>
      <c r="D48" s="12" t="str">
        <f t="shared" si="1"/>
        <v>Uvi_Wig_Spell_VHRU_Shaved1,Vanilla\Human\Female\Vanilla_Shaved1_Human_Female</v>
      </c>
    </row>
    <row r="49">
      <c r="B49" s="12" t="str">
        <f>IFERROR(__xludf.DUMMYFUNCTION("""COMPUTED_VALUE"""),"Uvi_Wig_Spell_VHRU_Shaved2")</f>
        <v>Uvi_Wig_Spell_VHRU_Shaved2</v>
      </c>
      <c r="C49" s="12" t="str">
        <f>IFERROR(__xludf.DUMMYFUNCTION("IF($B49="""","""",SUBSTITUTE(SUBSTITUTE(SUBSTITUTE(SUBSTITUTE(INDEX(Hairstyles!$A:$A,MATCH($B49,Hairstyles!$F:$F,0)),"" "",""""),""'"",""""),""("",""""),"")"","""")&amp;""\""&amp;INDEX(SPLIT($A$2,""_""),1)&amp;""\""&amp;INDEX(SPLIT($A$2,""_""),2)&amp;""\""&amp;SUBSTITUTE(SUBSTIT"&amp;"UTE(SUBSTITUTE(SUBSTITUTE(SUBSTITUTE(INDEX(Hairstyles!$C:$C,MATCH($B49,Hairstyles!$F:$F,0)),"" "",""""),""'"",""""),""("",""""),"")"",""""),""-"",""_"")&amp;""_""&amp;$A$2)"),"Vanilla\Human\Female\Vanilla_Shaved2_Human_Female")</f>
        <v>Vanilla\Human\Female\Vanilla_Shaved2_Human_Female</v>
      </c>
      <c r="D49" s="12" t="str">
        <f t="shared" si="1"/>
        <v>Uvi_Wig_Spell_VHRU_Shaved2,Vanilla\Human\Female\Vanilla_Shaved2_Human_Female</v>
      </c>
    </row>
    <row r="50">
      <c r="B50" s="12" t="str">
        <f>IFERROR(__xludf.DUMMYFUNCTION("""COMPUTED_VALUE"""),"Uvi_Wig_Spell_VHRU_ShavedPonytailBandedLong")</f>
        <v>Uvi_Wig_Spell_VHRU_ShavedPonytailBandedLong</v>
      </c>
      <c r="C50" s="12" t="str">
        <f>IFERROR(__xludf.DUMMYFUNCTION("IF($B50="""","""",SUBSTITUTE(SUBSTITUTE(SUBSTITUTE(SUBSTITUTE(INDEX(Hairstyles!$A:$A,MATCH($B50,Hairstyles!$F:$F,0)),"" "",""""),""'"",""""),""("",""""),"")"","""")&amp;""\""&amp;INDEX(SPLIT($A$2,""_""),1)&amp;""\""&amp;INDEX(SPLIT($A$2,""_""),2)&amp;""\""&amp;SUBSTITUTE(SUBSTIT"&amp;"UTE(SUBSTITUTE(SUBSTITUTE(SUBSTITUTE(INDEX(Hairstyles!$C:$C,MATCH($B50,Hairstyles!$F:$F,0)),"" "",""""),""'"",""""),""("",""""),"")"",""""),""-"",""_"")&amp;""_""&amp;$A$2)"),"Vanilla\Human\Female\Vanilla_ShavedPonytailBandedLong_Human_Female")</f>
        <v>Vanilla\Human\Female\Vanilla_ShavedPonytailBandedLong_Human_Female</v>
      </c>
      <c r="D50" s="12" t="str">
        <f t="shared" si="1"/>
        <v>Uvi_Wig_Spell_VHRU_ShavedPonytailBandedLong,Vanilla\Human\Female\Vanilla_ShavedPonytailBandedLong_Human_Female</v>
      </c>
    </row>
    <row r="51">
      <c r="B51" s="12" t="str">
        <f>IFERROR(__xludf.DUMMYFUNCTION("""COMPUTED_VALUE"""),"Uvi_Wig_Spell_VHRU_ShavedPonytailBandedShort")</f>
        <v>Uvi_Wig_Spell_VHRU_ShavedPonytailBandedShort</v>
      </c>
      <c r="C51" s="12" t="str">
        <f>IFERROR(__xludf.DUMMYFUNCTION("IF($B51="""","""",SUBSTITUTE(SUBSTITUTE(SUBSTITUTE(SUBSTITUTE(INDEX(Hairstyles!$A:$A,MATCH($B51,Hairstyles!$F:$F,0)),"" "",""""),""'"",""""),""("",""""),"")"","""")&amp;""\""&amp;INDEX(SPLIT($A$2,""_""),1)&amp;""\""&amp;INDEX(SPLIT($A$2,""_""),2)&amp;""\""&amp;SUBSTITUTE(SUBSTIT"&amp;"UTE(SUBSTITUTE(SUBSTITUTE(SUBSTITUTE(INDEX(Hairstyles!$C:$C,MATCH($B51,Hairstyles!$F:$F,0)),"" "",""""),""'"",""""),""("",""""),"")"",""""),""-"",""_"")&amp;""_""&amp;$A$2)"),"Vanilla\Human\Female\Vanilla_ShavedPonytailBandedShort_Human_Female")</f>
        <v>Vanilla\Human\Female\Vanilla_ShavedPonytailBandedShort_Human_Female</v>
      </c>
      <c r="D51" s="12" t="str">
        <f t="shared" si="1"/>
        <v>Uvi_Wig_Spell_VHRU_ShavedPonytailBandedShort,Vanilla\Human\Female\Vanilla_ShavedPonytailBandedShort_Human_Female</v>
      </c>
    </row>
    <row r="52">
      <c r="B52" s="12" t="str">
        <f>IFERROR(__xludf.DUMMYFUNCTION("""COMPUTED_VALUE"""),"Uvi_Wig_Spell_VHRU_ShavedPonytailBraid")</f>
        <v>Uvi_Wig_Spell_VHRU_ShavedPonytailBraid</v>
      </c>
      <c r="C52" s="12" t="str">
        <f>IFERROR(__xludf.DUMMYFUNCTION("IF($B52="""","""",SUBSTITUTE(SUBSTITUTE(SUBSTITUTE(SUBSTITUTE(INDEX(Hairstyles!$A:$A,MATCH($B52,Hairstyles!$F:$F,0)),"" "",""""),""'"",""""),""("",""""),"")"","""")&amp;""\""&amp;INDEX(SPLIT($A$2,""_""),1)&amp;""\""&amp;INDEX(SPLIT($A$2,""_""),2)&amp;""\""&amp;SUBSTITUTE(SUBSTIT"&amp;"UTE(SUBSTITUTE(SUBSTITUTE(SUBSTITUTE(INDEX(Hairstyles!$C:$C,MATCH($B52,Hairstyles!$F:$F,0)),"" "",""""),""'"",""""),""("",""""),"")"",""""),""-"",""_"")&amp;""_""&amp;$A$2)"),"Vanilla\Human\Female\Vanilla_ShavedPonytailBraid_Human_Female")</f>
        <v>Vanilla\Human\Female\Vanilla_ShavedPonytailBraid_Human_Female</v>
      </c>
      <c r="D52" s="12" t="str">
        <f t="shared" si="1"/>
        <v>Uvi_Wig_Spell_VHRU_ShavedPonytailBraid,Vanilla\Human\Female\Vanilla_ShavedPonytailBraid_Human_Female</v>
      </c>
    </row>
    <row r="53">
      <c r="B53" s="12" t="str">
        <f>IFERROR(__xludf.DUMMYFUNCTION("""COMPUTED_VALUE"""),"Uvi_Wig_Spell_VHRU_ShavedPonytailLong")</f>
        <v>Uvi_Wig_Spell_VHRU_ShavedPonytailLong</v>
      </c>
      <c r="C53" s="12" t="str">
        <f>IFERROR(__xludf.DUMMYFUNCTION("IF($B53="""","""",SUBSTITUTE(SUBSTITUTE(SUBSTITUTE(SUBSTITUTE(INDEX(Hairstyles!$A:$A,MATCH($B53,Hairstyles!$F:$F,0)),"" "",""""),""'"",""""),""("",""""),"")"","""")&amp;""\""&amp;INDEX(SPLIT($A$2,""_""),1)&amp;""\""&amp;INDEX(SPLIT($A$2,""_""),2)&amp;""\""&amp;SUBSTITUTE(SUBSTIT"&amp;"UTE(SUBSTITUTE(SUBSTITUTE(SUBSTITUTE(INDEX(Hairstyles!$C:$C,MATCH($B53,Hairstyles!$F:$F,0)),"" "",""""),""'"",""""),""("",""""),"")"",""""),""-"",""_"")&amp;""_""&amp;$A$2)"),"Vanilla\Human\Female\Vanilla_ShavedPonytailLong_Human_Female")</f>
        <v>Vanilla\Human\Female\Vanilla_ShavedPonytailLong_Human_Female</v>
      </c>
      <c r="D53" s="12" t="str">
        <f t="shared" si="1"/>
        <v>Uvi_Wig_Spell_VHRU_ShavedPonytailLong,Vanilla\Human\Female\Vanilla_ShavedPonytailLong_Human_Female</v>
      </c>
    </row>
    <row r="54">
      <c r="B54" s="12" t="str">
        <f>IFERROR(__xludf.DUMMYFUNCTION("""COMPUTED_VALUE"""),"Uvi_Wig_Spell_VHRU_ShavedPonytailMedium")</f>
        <v>Uvi_Wig_Spell_VHRU_ShavedPonytailMedium</v>
      </c>
      <c r="C54" s="12" t="str">
        <f>IFERROR(__xludf.DUMMYFUNCTION("IF($B54="""","""",SUBSTITUTE(SUBSTITUTE(SUBSTITUTE(SUBSTITUTE(INDEX(Hairstyles!$A:$A,MATCH($B54,Hairstyles!$F:$F,0)),"" "",""""),""'"",""""),""("",""""),"")"","""")&amp;""\""&amp;INDEX(SPLIT($A$2,""_""),1)&amp;""\""&amp;INDEX(SPLIT($A$2,""_""),2)&amp;""\""&amp;SUBSTITUTE(SUBSTIT"&amp;"UTE(SUBSTITUTE(SUBSTITUTE(SUBSTITUTE(INDEX(Hairstyles!$C:$C,MATCH($B54,Hairstyles!$F:$F,0)),"" "",""""),""'"",""""),""("",""""),"")"",""""),""-"",""_"")&amp;""_""&amp;$A$2)"),"Vanilla\Human\Female\Vanilla_ShavedPonytailMedium_Human_Female")</f>
        <v>Vanilla\Human\Female\Vanilla_ShavedPonytailMedium_Human_Female</v>
      </c>
      <c r="D54" s="12" t="str">
        <f t="shared" si="1"/>
        <v>Uvi_Wig_Spell_VHRU_ShavedPonytailMedium,Vanilla\Human\Female\Vanilla_ShavedPonytailMedium_Human_Female</v>
      </c>
    </row>
    <row r="55">
      <c r="B55" s="12" t="str">
        <f>IFERROR(__xludf.DUMMYFUNCTION("""COMPUTED_VALUE"""),"Uvi_Wig_Spell_VHRU_ShavedPonytailShort")</f>
        <v>Uvi_Wig_Spell_VHRU_ShavedPonytailShort</v>
      </c>
      <c r="C55" s="12" t="str">
        <f>IFERROR(__xludf.DUMMYFUNCTION("IF($B55="""","""",SUBSTITUTE(SUBSTITUTE(SUBSTITUTE(SUBSTITUTE(INDEX(Hairstyles!$A:$A,MATCH($B55,Hairstyles!$F:$F,0)),"" "",""""),""'"",""""),""("",""""),"")"","""")&amp;""\""&amp;INDEX(SPLIT($A$2,""_""),1)&amp;""\""&amp;INDEX(SPLIT($A$2,""_""),2)&amp;""\""&amp;SUBSTITUTE(SUBSTIT"&amp;"UTE(SUBSTITUTE(SUBSTITUTE(SUBSTITUTE(INDEX(Hairstyles!$C:$C,MATCH($B55,Hairstyles!$F:$F,0)),"" "",""""),""'"",""""),""("",""""),"")"",""""),""-"",""_"")&amp;""_""&amp;$A$2)"),"Vanilla\Human\Female\Vanilla_ShavedPonytailShort_Human_Female")</f>
        <v>Vanilla\Human\Female\Vanilla_ShavedPonytailShort_Human_Female</v>
      </c>
      <c r="D55" s="12" t="str">
        <f t="shared" si="1"/>
        <v>Uvi_Wig_Spell_VHRU_ShavedPonytailShort,Vanilla\Human\Female\Vanilla_ShavedPonytailShort_Human_Female</v>
      </c>
    </row>
    <row r="56">
      <c r="B56" s="12" t="str">
        <f>IFERROR(__xludf.DUMMYFUNCTION("""COMPUTED_VALUE"""),"Uvi_Wig_Spell_VHRU_ShavedTopPonytailBandedLong")</f>
        <v>Uvi_Wig_Spell_VHRU_ShavedTopPonytailBandedLong</v>
      </c>
      <c r="C56" s="12" t="str">
        <f>IFERROR(__xludf.DUMMYFUNCTION("IF($B56="""","""",SUBSTITUTE(SUBSTITUTE(SUBSTITUTE(SUBSTITUTE(INDEX(Hairstyles!$A:$A,MATCH($B56,Hairstyles!$F:$F,0)),"" "",""""),""'"",""""),""("",""""),"")"","""")&amp;""\""&amp;INDEX(SPLIT($A$2,""_""),1)&amp;""\""&amp;INDEX(SPLIT($A$2,""_""),2)&amp;""\""&amp;SUBSTITUTE(SUBSTIT"&amp;"UTE(SUBSTITUTE(SUBSTITUTE(SUBSTITUTE(INDEX(Hairstyles!$C:$C,MATCH($B56,Hairstyles!$F:$F,0)),"" "",""""),""'"",""""),""("",""""),"")"",""""),""-"",""_"")&amp;""_""&amp;$A$2)"),"Vanilla\Human\Female\Vanilla_ShavedTopPonytailBandedLong_Human_Female")</f>
        <v>Vanilla\Human\Female\Vanilla_ShavedTopPonytailBandedLong_Human_Female</v>
      </c>
      <c r="D56" s="12" t="str">
        <f t="shared" si="1"/>
        <v>Uvi_Wig_Spell_VHRU_ShavedTopPonytailBandedLong,Vanilla\Human\Female\Vanilla_ShavedTopPonytailBandedLong_Human_Female</v>
      </c>
    </row>
    <row r="57">
      <c r="B57" s="12" t="str">
        <f>IFERROR(__xludf.DUMMYFUNCTION("""COMPUTED_VALUE"""),"Uvi_Wig_Spell_VHRU_ShavedTopPonytailBandedShort")</f>
        <v>Uvi_Wig_Spell_VHRU_ShavedTopPonytailBandedShort</v>
      </c>
      <c r="C57" s="12" t="str">
        <f>IFERROR(__xludf.DUMMYFUNCTION("IF($B57="""","""",SUBSTITUTE(SUBSTITUTE(SUBSTITUTE(SUBSTITUTE(INDEX(Hairstyles!$A:$A,MATCH($B57,Hairstyles!$F:$F,0)),"" "",""""),""'"",""""),""("",""""),"")"","""")&amp;""\""&amp;INDEX(SPLIT($A$2,""_""),1)&amp;""\""&amp;INDEX(SPLIT($A$2,""_""),2)&amp;""\""&amp;SUBSTITUTE(SUBSTIT"&amp;"UTE(SUBSTITUTE(SUBSTITUTE(SUBSTITUTE(INDEX(Hairstyles!$C:$C,MATCH($B57,Hairstyles!$F:$F,0)),"" "",""""),""'"",""""),""("",""""),"")"",""""),""-"",""_"")&amp;""_""&amp;$A$2)"),"Vanilla\Human\Female\Vanilla_ShavedTopPonytailBandedShort_Human_Female")</f>
        <v>Vanilla\Human\Female\Vanilla_ShavedTopPonytailBandedShort_Human_Female</v>
      </c>
      <c r="D57" s="12" t="str">
        <f t="shared" si="1"/>
        <v>Uvi_Wig_Spell_VHRU_ShavedTopPonytailBandedShort,Vanilla\Human\Female\Vanilla_ShavedTopPonytailBandedShort_Human_Female</v>
      </c>
    </row>
    <row r="58">
      <c r="B58" s="12" t="str">
        <f>IFERROR(__xludf.DUMMYFUNCTION("""COMPUTED_VALUE"""),"Uvi_Wig_Spell_VHRU_ShavedTopPonytailLong")</f>
        <v>Uvi_Wig_Spell_VHRU_ShavedTopPonytailLong</v>
      </c>
      <c r="C58" s="12" t="str">
        <f>IFERROR(__xludf.DUMMYFUNCTION("IF($B58="""","""",SUBSTITUTE(SUBSTITUTE(SUBSTITUTE(SUBSTITUTE(INDEX(Hairstyles!$A:$A,MATCH($B58,Hairstyles!$F:$F,0)),"" "",""""),""'"",""""),""("",""""),"")"","""")&amp;""\""&amp;INDEX(SPLIT($A$2,""_""),1)&amp;""\""&amp;INDEX(SPLIT($A$2,""_""),2)&amp;""\""&amp;SUBSTITUTE(SUBSTIT"&amp;"UTE(SUBSTITUTE(SUBSTITUTE(SUBSTITUTE(INDEX(Hairstyles!$C:$C,MATCH($B58,Hairstyles!$F:$F,0)),"" "",""""),""'"",""""),""("",""""),"")"",""""),""-"",""_"")&amp;""_""&amp;$A$2)"),"Vanilla\Human\Female\Vanilla_ShavedTopPonytailLong_Human_Female")</f>
        <v>Vanilla\Human\Female\Vanilla_ShavedTopPonytailLong_Human_Female</v>
      </c>
      <c r="D58" s="12" t="str">
        <f t="shared" si="1"/>
        <v>Uvi_Wig_Spell_VHRU_ShavedTopPonytailLong,Vanilla\Human\Female\Vanilla_ShavedTopPonytailLong_Human_Female</v>
      </c>
    </row>
    <row r="59">
      <c r="B59" s="12" t="str">
        <f>IFERROR(__xludf.DUMMYFUNCTION("""COMPUTED_VALUE"""),"Uvi_Wig_Spell_VHRU_ShavedTopPonytailMedium")</f>
        <v>Uvi_Wig_Spell_VHRU_ShavedTopPonytailMedium</v>
      </c>
      <c r="C59" s="12" t="str">
        <f>IFERROR(__xludf.DUMMYFUNCTION("IF($B59="""","""",SUBSTITUTE(SUBSTITUTE(SUBSTITUTE(SUBSTITUTE(INDEX(Hairstyles!$A:$A,MATCH($B59,Hairstyles!$F:$F,0)),"" "",""""),""'"",""""),""("",""""),"")"","""")&amp;""\""&amp;INDEX(SPLIT($A$2,""_""),1)&amp;""\""&amp;INDEX(SPLIT($A$2,""_""),2)&amp;""\""&amp;SUBSTITUTE(SUBSTIT"&amp;"UTE(SUBSTITUTE(SUBSTITUTE(SUBSTITUTE(INDEX(Hairstyles!$C:$C,MATCH($B59,Hairstyles!$F:$F,0)),"" "",""""),""'"",""""),""("",""""),"")"",""""),""-"",""_"")&amp;""_""&amp;$A$2)"),"Vanilla\Human\Female\Vanilla_ShavedTopPonytailMedium_Human_Female")</f>
        <v>Vanilla\Human\Female\Vanilla_ShavedTopPonytailMedium_Human_Female</v>
      </c>
      <c r="D59" s="12" t="str">
        <f t="shared" si="1"/>
        <v>Uvi_Wig_Spell_VHRU_ShavedTopPonytailMedium,Vanilla\Human\Female\Vanilla_ShavedTopPonytailMedium_Human_Female</v>
      </c>
    </row>
    <row r="60">
      <c r="B60" s="12" t="str">
        <f>IFERROR(__xludf.DUMMYFUNCTION("""COMPUTED_VALUE"""),"Uvi_Wig_Spell_VHRU_ShavedTopPonytailShort")</f>
        <v>Uvi_Wig_Spell_VHRU_ShavedTopPonytailShort</v>
      </c>
      <c r="C60" s="12" t="str">
        <f>IFERROR(__xludf.DUMMYFUNCTION("IF($B60="""","""",SUBSTITUTE(SUBSTITUTE(SUBSTITUTE(SUBSTITUTE(INDEX(Hairstyles!$A:$A,MATCH($B60,Hairstyles!$F:$F,0)),"" "",""""),""'"",""""),""("",""""),"")"","""")&amp;""\""&amp;INDEX(SPLIT($A$2,""_""),1)&amp;""\""&amp;INDEX(SPLIT($A$2,""_""),2)&amp;""\""&amp;SUBSTITUTE(SUBSTIT"&amp;"UTE(SUBSTITUTE(SUBSTITUTE(SUBSTITUTE(INDEX(Hairstyles!$C:$C,MATCH($B60,Hairstyles!$F:$F,0)),"" "",""""),""'"",""""),""("",""""),"")"",""""),""-"",""_"")&amp;""_""&amp;$A$2)"),"Vanilla\Human\Female\Vanilla_ShavedTopPonytailShort_Human_Female")</f>
        <v>Vanilla\Human\Female\Vanilla_ShavedTopPonytailShort_Human_Female</v>
      </c>
      <c r="D60" s="12" t="str">
        <f t="shared" si="1"/>
        <v>Uvi_Wig_Spell_VHRU_ShavedTopPonytailShort,Vanilla\Human\Female\Vanilla_ShavedTopPonytailShort_Human_Female</v>
      </c>
    </row>
    <row r="61">
      <c r="B61" s="12" t="str">
        <f>IFERROR(__xludf.DUMMYFUNCTION("""COMPUTED_VALUE"""),"Uvi_Wig_Spell_VHRU_Short")</f>
        <v>Uvi_Wig_Spell_VHRU_Short</v>
      </c>
      <c r="C61" s="12" t="str">
        <f>IFERROR(__xludf.DUMMYFUNCTION("IF($B61="""","""",SUBSTITUTE(SUBSTITUTE(SUBSTITUTE(SUBSTITUTE(INDEX(Hairstyles!$A:$A,MATCH($B61,Hairstyles!$F:$F,0)),"" "",""""),""'"",""""),""("",""""),"")"","""")&amp;""\""&amp;INDEX(SPLIT($A$2,""_""),1)&amp;""\""&amp;INDEX(SPLIT($A$2,""_""),2)&amp;""\""&amp;SUBSTITUTE(SUBSTIT"&amp;"UTE(SUBSTITUTE(SUBSTITUTE(SUBSTITUTE(INDEX(Hairstyles!$C:$C,MATCH($B61,Hairstyles!$F:$F,0)),"" "",""""),""'"",""""),""("",""""),"")"",""""),""-"",""_"")&amp;""_""&amp;$A$2)"),"Vanilla\Human\Female\Vanilla_Short_Human_Female")</f>
        <v>Vanilla\Human\Female\Vanilla_Short_Human_Female</v>
      </c>
      <c r="D61" s="12" t="str">
        <f t="shared" si="1"/>
        <v>Uvi_Wig_Spell_VHRU_Short,Vanilla\Human\Female\Vanilla_Short_Human_Female</v>
      </c>
    </row>
    <row r="62">
      <c r="B62" s="12" t="str">
        <f>IFERROR(__xludf.DUMMYFUNCTION("""COMPUTED_VALUE"""),"Uvi_Wig_Spell_VHRU_ShortLoose")</f>
        <v>Uvi_Wig_Spell_VHRU_ShortLoose</v>
      </c>
      <c r="C62" s="12" t="str">
        <f>IFERROR(__xludf.DUMMYFUNCTION("IF($B62="""","""",SUBSTITUTE(SUBSTITUTE(SUBSTITUTE(SUBSTITUTE(INDEX(Hairstyles!$A:$A,MATCH($B62,Hairstyles!$F:$F,0)),"" "",""""),""'"",""""),""("",""""),"")"","""")&amp;""\""&amp;INDEX(SPLIT($A$2,""_""),1)&amp;""\""&amp;INDEX(SPLIT($A$2,""_""),2)&amp;""\""&amp;SUBSTITUTE(SUBSTIT"&amp;"UTE(SUBSTITUTE(SUBSTITUTE(SUBSTITUTE(INDEX(Hairstyles!$C:$C,MATCH($B62,Hairstyles!$F:$F,0)),"" "",""""),""'"",""""),""("",""""),"")"",""""),""-"",""_"")&amp;""_""&amp;$A$2)"),"Vanilla\Human\Female\Vanilla_ShortLoose_Human_Female")</f>
        <v>Vanilla\Human\Female\Vanilla_ShortLoose_Human_Female</v>
      </c>
      <c r="D62" s="12" t="str">
        <f t="shared" si="1"/>
        <v>Uvi_Wig_Spell_VHRU_ShortLoose,Vanilla\Human\Female\Vanilla_ShortLoose_Human_Female</v>
      </c>
    </row>
    <row r="63">
      <c r="B63" s="12" t="str">
        <f>IFERROR(__xludf.DUMMYFUNCTION("""COMPUTED_VALUE"""),"Uvi_Wig_Spell_VHRU_ShortLooseBraids")</f>
        <v>Uvi_Wig_Spell_VHRU_ShortLooseBraids</v>
      </c>
      <c r="C63" s="12" t="str">
        <f>IFERROR(__xludf.DUMMYFUNCTION("IF($B63="""","""",SUBSTITUTE(SUBSTITUTE(SUBSTITUTE(SUBSTITUTE(INDEX(Hairstyles!$A:$A,MATCH($B63,Hairstyles!$F:$F,0)),"" "",""""),""'"",""""),""("",""""),"")"","""")&amp;""\""&amp;INDEX(SPLIT($A$2,""_""),1)&amp;""\""&amp;INDEX(SPLIT($A$2,""_""),2)&amp;""\""&amp;SUBSTITUTE(SUBSTIT"&amp;"UTE(SUBSTITUTE(SUBSTITUTE(SUBSTITUTE(INDEX(Hairstyles!$C:$C,MATCH($B63,Hairstyles!$F:$F,0)),"" "",""""),""'"",""""),""("",""""),"")"",""""),""-"",""_"")&amp;""_""&amp;$A$2)"),"Vanilla\Human\Female\Vanilla_ShortLooseBraids_Human_Female")</f>
        <v>Vanilla\Human\Female\Vanilla_ShortLooseBraids_Human_Female</v>
      </c>
      <c r="D63" s="12" t="str">
        <f t="shared" si="1"/>
        <v>Uvi_Wig_Spell_VHRU_ShortLooseBraids,Vanilla\Human\Female\Vanilla_ShortLooseBraids_Human_Female</v>
      </c>
    </row>
    <row r="64">
      <c r="B64" s="12" t="str">
        <f>IFERROR(__xludf.DUMMYFUNCTION("""COMPUTED_VALUE"""),"Uvi_Wig_Spell_VHRU_SidecutLong")</f>
        <v>Uvi_Wig_Spell_VHRU_SidecutLong</v>
      </c>
      <c r="C64" s="12" t="str">
        <f>IFERROR(__xludf.DUMMYFUNCTION("IF($B64="""","""",SUBSTITUTE(SUBSTITUTE(SUBSTITUTE(SUBSTITUTE(INDEX(Hairstyles!$A:$A,MATCH($B64,Hairstyles!$F:$F,0)),"" "",""""),""'"",""""),""("",""""),"")"","""")&amp;""\""&amp;INDEX(SPLIT($A$2,""_""),1)&amp;""\""&amp;INDEX(SPLIT($A$2,""_""),2)&amp;""\""&amp;SUBSTITUTE(SUBSTIT"&amp;"UTE(SUBSTITUTE(SUBSTITUTE(SUBSTITUTE(INDEX(Hairstyles!$C:$C,MATCH($B64,Hairstyles!$F:$F,0)),"" "",""""),""'"",""""),""("",""""),"")"",""""),""-"",""_"")&amp;""_""&amp;$A$2)"),"Vanilla\Human\Female\Vanilla_SidecutLong_Human_Female")</f>
        <v>Vanilla\Human\Female\Vanilla_SidecutLong_Human_Female</v>
      </c>
      <c r="D64" s="12" t="str">
        <f t="shared" si="1"/>
        <v>Uvi_Wig_Spell_VHRU_SidecutLong,Vanilla\Human\Female\Vanilla_SidecutLong_Human_Female</v>
      </c>
    </row>
    <row r="65">
      <c r="B65" s="12" t="str">
        <f>IFERROR(__xludf.DUMMYFUNCTION("""COMPUTED_VALUE"""),"Uvi_Wig_Spell_VHRU_SidecutShort")</f>
        <v>Uvi_Wig_Spell_VHRU_SidecutShort</v>
      </c>
      <c r="C65" s="12" t="str">
        <f>IFERROR(__xludf.DUMMYFUNCTION("IF($B65="""","""",SUBSTITUTE(SUBSTITUTE(SUBSTITUTE(SUBSTITUTE(INDEX(Hairstyles!$A:$A,MATCH($B65,Hairstyles!$F:$F,0)),"" "",""""),""'"",""""),""("",""""),"")"","""")&amp;""\""&amp;INDEX(SPLIT($A$2,""_""),1)&amp;""\""&amp;INDEX(SPLIT($A$2,""_""),2)&amp;""\""&amp;SUBSTITUTE(SUBSTIT"&amp;"UTE(SUBSTITUTE(SUBSTITUTE(SUBSTITUTE(INDEX(Hairstyles!$C:$C,MATCH($B65,Hairstyles!$F:$F,0)),"" "",""""),""'"",""""),""("",""""),"")"",""""),""-"",""_"")&amp;""_""&amp;$A$2)"),"Vanilla\Human\Female\Vanilla_SidecutShort_Human_Female")</f>
        <v>Vanilla\Human\Female\Vanilla_SidecutShort_Human_Female</v>
      </c>
      <c r="D65" s="12" t="str">
        <f t="shared" si="1"/>
        <v>Uvi_Wig_Spell_VHRU_SidecutShort,Vanilla\Human\Female\Vanilla_SidecutShort_Human_Female</v>
      </c>
    </row>
    <row r="66">
      <c r="B66" s="12" t="str">
        <f>IFERROR(__xludf.DUMMYFUNCTION("""COMPUTED_VALUE"""),"Uvi_Wig_Spell_VHRU_SlickedBackLongSideBraid")</f>
        <v>Uvi_Wig_Spell_VHRU_SlickedBackLongSideBraid</v>
      </c>
      <c r="C66" s="12" t="str">
        <f>IFERROR(__xludf.DUMMYFUNCTION("IF($B66="""","""",SUBSTITUTE(SUBSTITUTE(SUBSTITUTE(SUBSTITUTE(INDEX(Hairstyles!$A:$A,MATCH($B66,Hairstyles!$F:$F,0)),"" "",""""),""'"",""""),""("",""""),"")"","""")&amp;""\""&amp;INDEX(SPLIT($A$2,""_""),1)&amp;""\""&amp;INDEX(SPLIT($A$2,""_""),2)&amp;""\""&amp;SUBSTITUTE(SUBSTIT"&amp;"UTE(SUBSTITUTE(SUBSTITUTE(SUBSTITUTE(INDEX(Hairstyles!$C:$C,MATCH($B66,Hairstyles!$F:$F,0)),"" "",""""),""'"",""""),""("",""""),"")"",""""),""-"",""_"")&amp;""_""&amp;$A$2)"),"Vanilla\Human\Female\Vanilla_SlickedBackLongSideBraid_Human_Female")</f>
        <v>Vanilla\Human\Female\Vanilla_SlickedBackLongSideBraid_Human_Female</v>
      </c>
      <c r="D66" s="12" t="str">
        <f t="shared" si="1"/>
        <v>Uvi_Wig_Spell_VHRU_SlickedBackLongSideBraid,Vanilla\Human\Female\Vanilla_SlickedBackLongSideBraid_Human_Female</v>
      </c>
    </row>
    <row r="67">
      <c r="B67" s="12" t="str">
        <f>IFERROR(__xludf.DUMMYFUNCTION("""COMPUTED_VALUE"""),"Uvi_Wig_Spell_VHRU_SlickedBackShort")</f>
        <v>Uvi_Wig_Spell_VHRU_SlickedBackShort</v>
      </c>
      <c r="C67" s="12" t="str">
        <f>IFERROR(__xludf.DUMMYFUNCTION("IF($B67="""","""",SUBSTITUTE(SUBSTITUTE(SUBSTITUTE(SUBSTITUTE(INDEX(Hairstyles!$A:$A,MATCH($B67,Hairstyles!$F:$F,0)),"" "",""""),""'"",""""),""("",""""),"")"","""")&amp;""\""&amp;INDEX(SPLIT($A$2,""_""),1)&amp;""\""&amp;INDEX(SPLIT($A$2,""_""),2)&amp;""\""&amp;SUBSTITUTE(SUBSTIT"&amp;"UTE(SUBSTITUTE(SUBSTITUTE(SUBSTITUTE(INDEX(Hairstyles!$C:$C,MATCH($B67,Hairstyles!$F:$F,0)),"" "",""""),""'"",""""),""("",""""),"")"",""""),""-"",""_"")&amp;""_""&amp;$A$2)"),"Vanilla\Human\Female\Vanilla_SlickedBackShort_Human_Female")</f>
        <v>Vanilla\Human\Female\Vanilla_SlickedBackShort_Human_Female</v>
      </c>
      <c r="D67" s="12" t="str">
        <f t="shared" si="1"/>
        <v>Uvi_Wig_Spell_VHRU_SlickedBackShort,Vanilla\Human\Female\Vanilla_SlickedBackShort_Human_Female</v>
      </c>
    </row>
    <row r="68">
      <c r="B68" s="12" t="str">
        <f>IFERROR(__xludf.DUMMYFUNCTION("""COMPUTED_VALUE"""),"Uvi_Wig_Spell_VHRU_SlickedBackSideBraids")</f>
        <v>Uvi_Wig_Spell_VHRU_SlickedBackSideBraids</v>
      </c>
      <c r="C68" s="12" t="str">
        <f>IFERROR(__xludf.DUMMYFUNCTION("IF($B68="""","""",SUBSTITUTE(SUBSTITUTE(SUBSTITUTE(SUBSTITUTE(INDEX(Hairstyles!$A:$A,MATCH($B68,Hairstyles!$F:$F,0)),"" "",""""),""'"",""""),""("",""""),"")"","""")&amp;""\""&amp;INDEX(SPLIT($A$2,""_""),1)&amp;""\""&amp;INDEX(SPLIT($A$2,""_""),2)&amp;""\""&amp;SUBSTITUTE(SUBSTIT"&amp;"UTE(SUBSTITUTE(SUBSTITUTE(SUBSTITUTE(INDEX(Hairstyles!$C:$C,MATCH($B68,Hairstyles!$F:$F,0)),"" "",""""),""'"",""""),""("",""""),"")"",""""),""-"",""_"")&amp;""_""&amp;$A$2)"),"Vanilla\Human\Female\Vanilla_SlickedBackSideBraids_Human_Female")</f>
        <v>Vanilla\Human\Female\Vanilla_SlickedBackSideBraids_Human_Female</v>
      </c>
      <c r="D68" s="12" t="str">
        <f t="shared" si="1"/>
        <v>Uvi_Wig_Spell_VHRU_SlickedBackSideBraids,Vanilla\Human\Female\Vanilla_SlickedBackSideBraids_Human_Female</v>
      </c>
    </row>
    <row r="69">
      <c r="B69" s="12" t="str">
        <f>IFERROR(__xludf.DUMMYFUNCTION("""COMPUTED_VALUE"""),"Uvi_Wig_Spell_VHRU_SpaceBunsLoose")</f>
        <v>Uvi_Wig_Spell_VHRU_SpaceBunsLoose</v>
      </c>
      <c r="C69" s="12" t="str">
        <f>IFERROR(__xludf.DUMMYFUNCTION("IF($B69="""","""",SUBSTITUTE(SUBSTITUTE(SUBSTITUTE(SUBSTITUTE(INDEX(Hairstyles!$A:$A,MATCH($B69,Hairstyles!$F:$F,0)),"" "",""""),""'"",""""),""("",""""),"")"","""")&amp;""\""&amp;INDEX(SPLIT($A$2,""_""),1)&amp;""\""&amp;INDEX(SPLIT($A$2,""_""),2)&amp;""\""&amp;SUBSTITUTE(SUBSTIT"&amp;"UTE(SUBSTITUTE(SUBSTITUTE(SUBSTITUTE(INDEX(Hairstyles!$C:$C,MATCH($B69,Hairstyles!$F:$F,0)),"" "",""""),""'"",""""),""("",""""),"")"",""""),""-"",""_"")&amp;""_""&amp;$A$2)"),"Vanilla\Human\Female\Vanilla_SpaceBunsLoose_Human_Female")</f>
        <v>Vanilla\Human\Female\Vanilla_SpaceBunsLoose_Human_Female</v>
      </c>
      <c r="D69" s="12" t="str">
        <f t="shared" si="1"/>
        <v>Uvi_Wig_Spell_VHRU_SpaceBunsLoose,Vanilla\Human\Female\Vanilla_SpaceBunsLoose_Human_Female</v>
      </c>
    </row>
    <row r="70">
      <c r="B70" s="12" t="str">
        <f>IFERROR(__xludf.DUMMYFUNCTION("""COMPUTED_VALUE"""),"Uvi_Wig_Spell_VHRU_SpaceBunsTight")</f>
        <v>Uvi_Wig_Spell_VHRU_SpaceBunsTight</v>
      </c>
      <c r="C70" s="12" t="str">
        <f>IFERROR(__xludf.DUMMYFUNCTION("IF($B70="""","""",SUBSTITUTE(SUBSTITUTE(SUBSTITUTE(SUBSTITUTE(INDEX(Hairstyles!$A:$A,MATCH($B70,Hairstyles!$F:$F,0)),"" "",""""),""'"",""""),""("",""""),"")"","""")&amp;""\""&amp;INDEX(SPLIT($A$2,""_""),1)&amp;""\""&amp;INDEX(SPLIT($A$2,""_""),2)&amp;""\""&amp;SUBSTITUTE(SUBSTIT"&amp;"UTE(SUBSTITUTE(SUBSTITUTE(SUBSTITUTE(INDEX(Hairstyles!$C:$C,MATCH($B70,Hairstyles!$F:$F,0)),"" "",""""),""'"",""""),""("",""""),"")"",""""),""-"",""_"")&amp;""_""&amp;$A$2)"),"Vanilla\Human\Female\Vanilla_SpaceBunsTight_Human_Female")</f>
        <v>Vanilla\Human\Female\Vanilla_SpaceBunsTight_Human_Female</v>
      </c>
      <c r="D70" s="12" t="str">
        <f t="shared" si="1"/>
        <v>Uvi_Wig_Spell_VHRU_SpaceBunsTight,Vanilla\Human\Female\Vanilla_SpaceBunsTight_Human_Female</v>
      </c>
    </row>
    <row r="71">
      <c r="B71" s="12" t="str">
        <f>IFERROR(__xludf.DUMMYFUNCTION("""COMPUTED_VALUE"""),"Uvi_Wig_Spell_VHRU_StraightBehindEars")</f>
        <v>Uvi_Wig_Spell_VHRU_StraightBehindEars</v>
      </c>
      <c r="C71" s="12" t="str">
        <f>IFERROR(__xludf.DUMMYFUNCTION("IF($B71="""","""",SUBSTITUTE(SUBSTITUTE(SUBSTITUTE(SUBSTITUTE(INDEX(Hairstyles!$A:$A,MATCH($B71,Hairstyles!$F:$F,0)),"" "",""""),""'"",""""),""("",""""),"")"","""")&amp;""\""&amp;INDEX(SPLIT($A$2,""_""),1)&amp;""\""&amp;INDEX(SPLIT($A$2,""_""),2)&amp;""\""&amp;SUBSTITUTE(SUBSTIT"&amp;"UTE(SUBSTITUTE(SUBSTITUTE(SUBSTITUTE(INDEX(Hairstyles!$C:$C,MATCH($B71,Hairstyles!$F:$F,0)),"" "",""""),""'"",""""),""("",""""),"")"",""""),""-"",""_"")&amp;""_""&amp;$A$2)"),"Vanilla\Human\Female\Vanilla_StraightBehindEars_Human_Female")</f>
        <v>Vanilla\Human\Female\Vanilla_StraightBehindEars_Human_Female</v>
      </c>
      <c r="D71" s="12" t="str">
        <f t="shared" si="1"/>
        <v>Uvi_Wig_Spell_VHRU_StraightBehindEars,Vanilla\Human\Female\Vanilla_StraightBehindEars_Human_Female</v>
      </c>
    </row>
    <row r="72">
      <c r="B72" s="12" t="str">
        <f>IFERROR(__xludf.DUMMYFUNCTION("""COMPUTED_VALUE"""),"Uvi_Wig_Spell_VHRU_StraightBehindLeftEar")</f>
        <v>Uvi_Wig_Spell_VHRU_StraightBehindLeftEar</v>
      </c>
      <c r="C72" s="12" t="str">
        <f>IFERROR(__xludf.DUMMYFUNCTION("IF($B72="""","""",SUBSTITUTE(SUBSTITUTE(SUBSTITUTE(SUBSTITUTE(INDEX(Hairstyles!$A:$A,MATCH($B72,Hairstyles!$F:$F,0)),"" "",""""),""'"",""""),""("",""""),"")"","""")&amp;""\""&amp;INDEX(SPLIT($A$2,""_""),1)&amp;""\""&amp;INDEX(SPLIT($A$2,""_""),2)&amp;""\""&amp;SUBSTITUTE(SUBSTIT"&amp;"UTE(SUBSTITUTE(SUBSTITUTE(SUBSTITUTE(INDEX(Hairstyles!$C:$C,MATCH($B72,Hairstyles!$F:$F,0)),"" "",""""),""'"",""""),""("",""""),"")"",""""),""-"",""_"")&amp;""_""&amp;$A$2)"),"Vanilla\Human\Female\Vanilla_StraightBehindLeftEar_Human_Female")</f>
        <v>Vanilla\Human\Female\Vanilla_StraightBehindLeftEar_Human_Female</v>
      </c>
      <c r="D72" s="12" t="str">
        <f t="shared" si="1"/>
        <v>Uvi_Wig_Spell_VHRU_StraightBehindLeftEar,Vanilla\Human\Female\Vanilla_StraightBehindLeftEar_Human_Female</v>
      </c>
    </row>
    <row r="73">
      <c r="B73" s="12" t="str">
        <f>IFERROR(__xludf.DUMMYFUNCTION("""COMPUTED_VALUE"""),"Uvi_Wig_Spell_VHRU_StraightBehindRightEar")</f>
        <v>Uvi_Wig_Spell_VHRU_StraightBehindRightEar</v>
      </c>
      <c r="C73" s="12" t="str">
        <f>IFERROR(__xludf.DUMMYFUNCTION("IF($B73="""","""",SUBSTITUTE(SUBSTITUTE(SUBSTITUTE(SUBSTITUTE(INDEX(Hairstyles!$A:$A,MATCH($B73,Hairstyles!$F:$F,0)),"" "",""""),""'"",""""),""("",""""),"")"","""")&amp;""\""&amp;INDEX(SPLIT($A$2,""_""),1)&amp;""\""&amp;INDEX(SPLIT($A$2,""_""),2)&amp;""\""&amp;SUBSTITUTE(SUBSTIT"&amp;"UTE(SUBSTITUTE(SUBSTITUTE(SUBSTITUTE(INDEX(Hairstyles!$C:$C,MATCH($B73,Hairstyles!$F:$F,0)),"" "",""""),""'"",""""),""("",""""),"")"",""""),""-"",""_"")&amp;""_""&amp;$A$2)"),"Vanilla\Human\Female\Vanilla_StraightBehindRightEar_Human_Female")</f>
        <v>Vanilla\Human\Female\Vanilla_StraightBehindRightEar_Human_Female</v>
      </c>
      <c r="D73" s="12" t="str">
        <f t="shared" si="1"/>
        <v>Uvi_Wig_Spell_VHRU_StraightBehindRightEar,Vanilla\Human\Female\Vanilla_StraightBehindRightEar_Human_Female</v>
      </c>
    </row>
    <row r="74">
      <c r="B74" s="12" t="str">
        <f>IFERROR(__xludf.DUMMYFUNCTION("""COMPUTED_VALUE"""),"Uvi_Wig_Spell_VHRU_StraightLong")</f>
        <v>Uvi_Wig_Spell_VHRU_StraightLong</v>
      </c>
      <c r="C74" s="12" t="str">
        <f>IFERROR(__xludf.DUMMYFUNCTION("IF($B74="""","""",SUBSTITUTE(SUBSTITUTE(SUBSTITUTE(SUBSTITUTE(INDEX(Hairstyles!$A:$A,MATCH($B74,Hairstyles!$F:$F,0)),"" "",""""),""'"",""""),""("",""""),"")"","""")&amp;""\""&amp;INDEX(SPLIT($A$2,""_""),1)&amp;""\""&amp;INDEX(SPLIT($A$2,""_""),2)&amp;""\""&amp;SUBSTITUTE(SUBSTIT"&amp;"UTE(SUBSTITUTE(SUBSTITUTE(SUBSTITUTE(INDEX(Hairstyles!$C:$C,MATCH($B74,Hairstyles!$F:$F,0)),"" "",""""),""'"",""""),""("",""""),"")"",""""),""-"",""_"")&amp;""_""&amp;$A$2)"),"Vanilla\Human\Female\Vanilla_StraightLong_Human_Female")</f>
        <v>Vanilla\Human\Female\Vanilla_StraightLong_Human_Female</v>
      </c>
      <c r="D74" s="12" t="str">
        <f t="shared" si="1"/>
        <v>Uvi_Wig_Spell_VHRU_StraightLong,Vanilla\Human\Female\Vanilla_StraightLong_Human_Female</v>
      </c>
    </row>
    <row r="75">
      <c r="B75" s="12" t="str">
        <f>IFERROR(__xludf.DUMMYFUNCTION("""COMPUTED_VALUE"""),"Uvi_Wig_Spell_VHRU_StraightLongBraid")</f>
        <v>Uvi_Wig_Spell_VHRU_StraightLongBraid</v>
      </c>
      <c r="C75" s="12" t="str">
        <f>IFERROR(__xludf.DUMMYFUNCTION("IF($B75="""","""",SUBSTITUTE(SUBSTITUTE(SUBSTITUTE(SUBSTITUTE(INDEX(Hairstyles!$A:$A,MATCH($B75,Hairstyles!$F:$F,0)),"" "",""""),""'"",""""),""("",""""),"")"","""")&amp;""\""&amp;INDEX(SPLIT($A$2,""_""),1)&amp;""\""&amp;INDEX(SPLIT($A$2,""_""),2)&amp;""\""&amp;SUBSTITUTE(SUBSTIT"&amp;"UTE(SUBSTITUTE(SUBSTITUTE(SUBSTITUTE(INDEX(Hairstyles!$C:$C,MATCH($B75,Hairstyles!$F:$F,0)),"" "",""""),""'"",""""),""("",""""),"")"",""""),""-"",""_"")&amp;""_""&amp;$A$2)"),"Vanilla\Human\Female\Vanilla_StraightLongBraid_Human_Female")</f>
        <v>Vanilla\Human\Female\Vanilla_StraightLongBraid_Human_Female</v>
      </c>
      <c r="D75" s="12" t="str">
        <f t="shared" si="1"/>
        <v>Uvi_Wig_Spell_VHRU_StraightLongBraid,Vanilla\Human\Female\Vanilla_StraightLongBraid_Human_Female</v>
      </c>
    </row>
    <row r="76">
      <c r="B76" s="12" t="str">
        <f>IFERROR(__xludf.DUMMYFUNCTION("""COMPUTED_VALUE"""),"Uvi_Wig_Spell_VHRU_StraightLongScraggly")</f>
        <v>Uvi_Wig_Spell_VHRU_StraightLongScraggly</v>
      </c>
      <c r="C76" s="12" t="str">
        <f>IFERROR(__xludf.DUMMYFUNCTION("IF($B76="""","""",SUBSTITUTE(SUBSTITUTE(SUBSTITUTE(SUBSTITUTE(INDEX(Hairstyles!$A:$A,MATCH($B76,Hairstyles!$F:$F,0)),"" "",""""),""'"",""""),""("",""""),"")"","""")&amp;""\""&amp;INDEX(SPLIT($A$2,""_""),1)&amp;""\""&amp;INDEX(SPLIT($A$2,""_""),2)&amp;""\""&amp;SUBSTITUTE(SUBSTIT"&amp;"UTE(SUBSTITUTE(SUBSTITUTE(SUBSTITUTE(INDEX(Hairstyles!$C:$C,MATCH($B76,Hairstyles!$F:$F,0)),"" "",""""),""'"",""""),""("",""""),"")"",""""),""-"",""_"")&amp;""_""&amp;$A$2)"),"Vanilla\Human\Female\Vanilla_StraightLongScraggly_Human_Female")</f>
        <v>Vanilla\Human\Female\Vanilla_StraightLongScraggly_Human_Female</v>
      </c>
      <c r="D76" s="12" t="str">
        <f t="shared" si="1"/>
        <v>Uvi_Wig_Spell_VHRU_StraightLongScraggly,Vanilla\Human\Female\Vanilla_StraightLongScraggly_Human_Female</v>
      </c>
    </row>
    <row r="77">
      <c r="B77" s="12" t="str">
        <f>IFERROR(__xludf.DUMMYFUNCTION("""COMPUTED_VALUE"""),"Uvi_Wig_Spell_VHRU_StraightMedium")</f>
        <v>Uvi_Wig_Spell_VHRU_StraightMedium</v>
      </c>
      <c r="C77" s="12" t="str">
        <f>IFERROR(__xludf.DUMMYFUNCTION("IF($B77="""","""",SUBSTITUTE(SUBSTITUTE(SUBSTITUTE(SUBSTITUTE(INDEX(Hairstyles!$A:$A,MATCH($B77,Hairstyles!$F:$F,0)),"" "",""""),""'"",""""),""("",""""),"")"","""")&amp;""\""&amp;INDEX(SPLIT($A$2,""_""),1)&amp;""\""&amp;INDEX(SPLIT($A$2,""_""),2)&amp;""\""&amp;SUBSTITUTE(SUBSTIT"&amp;"UTE(SUBSTITUTE(SUBSTITUTE(SUBSTITUTE(INDEX(Hairstyles!$C:$C,MATCH($B77,Hairstyles!$F:$F,0)),"" "",""""),""'"",""""),""("",""""),"")"",""""),""-"",""_"")&amp;""_""&amp;$A$2)"),"Vanilla\Human\Female\Vanilla_StraightMedium_Human_Female")</f>
        <v>Vanilla\Human\Female\Vanilla_StraightMedium_Human_Female</v>
      </c>
      <c r="D77" s="12" t="str">
        <f t="shared" si="1"/>
        <v>Uvi_Wig_Spell_VHRU_StraightMedium,Vanilla\Human\Female\Vanilla_StraightMedium_Human_Female</v>
      </c>
    </row>
    <row r="78">
      <c r="B78" s="12" t="str">
        <f>IFERROR(__xludf.DUMMYFUNCTION("""COMPUTED_VALUE"""),"Uvi_Wig_Spell_VHRU_TopTiedBackSideBraids")</f>
        <v>Uvi_Wig_Spell_VHRU_TopTiedBackSideBraids</v>
      </c>
      <c r="C78" s="12" t="str">
        <f>IFERROR(__xludf.DUMMYFUNCTION("IF($B78="""","""",SUBSTITUTE(SUBSTITUTE(SUBSTITUTE(SUBSTITUTE(INDEX(Hairstyles!$A:$A,MATCH($B78,Hairstyles!$F:$F,0)),"" "",""""),""'"",""""),""("",""""),"")"","""")&amp;""\""&amp;INDEX(SPLIT($A$2,""_""),1)&amp;""\""&amp;INDEX(SPLIT($A$2,""_""),2)&amp;""\""&amp;SUBSTITUTE(SUBSTIT"&amp;"UTE(SUBSTITUTE(SUBSTITUTE(SUBSTITUTE(INDEX(Hairstyles!$C:$C,MATCH($B78,Hairstyles!$F:$F,0)),"" "",""""),""'"",""""),""("",""""),"")"",""""),""-"",""_"")&amp;""_""&amp;$A$2)"),"Vanilla\Human\Female\Vanilla_TopTiedBackSideBraids_Human_Female")</f>
        <v>Vanilla\Human\Female\Vanilla_TopTiedBackSideBraids_Human_Female</v>
      </c>
      <c r="D78" s="12" t="str">
        <f t="shared" si="1"/>
        <v>Uvi_Wig_Spell_VHRU_TopTiedBackSideBraids,Vanilla\Human\Female\Vanilla_TopTiedBackSideBraids_Human_Female</v>
      </c>
    </row>
    <row r="79">
      <c r="B79" s="12" t="str">
        <f>IFERROR(__xludf.DUMMYFUNCTION("""COMPUTED_VALUE"""),"Uvi_Wig_Spell_VHRU_UndercutPonytailBanded")</f>
        <v>Uvi_Wig_Spell_VHRU_UndercutPonytailBanded</v>
      </c>
      <c r="C79" s="12" t="str">
        <f>IFERROR(__xludf.DUMMYFUNCTION("IF($B79="""","""",SUBSTITUTE(SUBSTITUTE(SUBSTITUTE(SUBSTITUTE(INDEX(Hairstyles!$A:$A,MATCH($B79,Hairstyles!$F:$F,0)),"" "",""""),""'"",""""),""("",""""),"")"","""")&amp;""\""&amp;INDEX(SPLIT($A$2,""_""),1)&amp;""\""&amp;INDEX(SPLIT($A$2,""_""),2)&amp;""\""&amp;SUBSTITUTE(SUBSTIT"&amp;"UTE(SUBSTITUTE(SUBSTITUTE(SUBSTITUTE(INDEX(Hairstyles!$C:$C,MATCH($B79,Hairstyles!$F:$F,0)),"" "",""""),""'"",""""),""("",""""),"")"",""""),""-"",""_"")&amp;""_""&amp;$A$2)"),"Vanilla\Human\Female\Vanilla_UndercutPonytailBanded_Human_Female")</f>
        <v>Vanilla\Human\Female\Vanilla_UndercutPonytailBanded_Human_Female</v>
      </c>
      <c r="D79" s="12" t="str">
        <f t="shared" si="1"/>
        <v>Uvi_Wig_Spell_VHRU_UndercutPonytailBanded,Vanilla\Human\Female\Vanilla_UndercutPonytailBanded_Human_Female</v>
      </c>
    </row>
    <row r="80">
      <c r="B80" s="12" t="str">
        <f>IFERROR(__xludf.DUMMYFUNCTION("""COMPUTED_VALUE"""),"Uvi_Wig_Spell_VHRU_UndercutPonytailHigh")</f>
        <v>Uvi_Wig_Spell_VHRU_UndercutPonytailHigh</v>
      </c>
      <c r="C80" s="12" t="str">
        <f>IFERROR(__xludf.DUMMYFUNCTION("IF($B80="""","""",SUBSTITUTE(SUBSTITUTE(SUBSTITUTE(SUBSTITUTE(INDEX(Hairstyles!$A:$A,MATCH($B80,Hairstyles!$F:$F,0)),"" "",""""),""'"",""""),""("",""""),"")"","""")&amp;""\""&amp;INDEX(SPLIT($A$2,""_""),1)&amp;""\""&amp;INDEX(SPLIT($A$2,""_""),2)&amp;""\""&amp;SUBSTITUTE(SUBSTIT"&amp;"UTE(SUBSTITUTE(SUBSTITUTE(SUBSTITUTE(INDEX(Hairstyles!$C:$C,MATCH($B80,Hairstyles!$F:$F,0)),"" "",""""),""'"",""""),""("",""""),"")"",""""),""-"",""_"")&amp;""_""&amp;$A$2)"),"Vanilla\Human\Female\Vanilla_UndercutPonytailHigh_Human_Female")</f>
        <v>Vanilla\Human\Female\Vanilla_UndercutPonytailHigh_Human_Female</v>
      </c>
      <c r="D80" s="12" t="str">
        <f t="shared" si="1"/>
        <v>Uvi_Wig_Spell_VHRU_UndercutPonytailHigh,Vanilla\Human\Female\Vanilla_UndercutPonytailHigh_Human_Female</v>
      </c>
    </row>
    <row r="81">
      <c r="B81" s="12" t="str">
        <f>IFERROR(__xludf.DUMMYFUNCTION("""COMPUTED_VALUE"""),"Uvi_Wig_Spell_VHRU_UndercutPonytailMedium")</f>
        <v>Uvi_Wig_Spell_VHRU_UndercutPonytailMedium</v>
      </c>
      <c r="C81" s="12" t="str">
        <f>IFERROR(__xludf.DUMMYFUNCTION("IF($B81="""","""",SUBSTITUTE(SUBSTITUTE(SUBSTITUTE(SUBSTITUTE(INDEX(Hairstyles!$A:$A,MATCH($B81,Hairstyles!$F:$F,0)),"" "",""""),""'"",""""),""("",""""),"")"","""")&amp;""\""&amp;INDEX(SPLIT($A$2,""_""),1)&amp;""\""&amp;INDEX(SPLIT($A$2,""_""),2)&amp;""\""&amp;SUBSTITUTE(SUBSTIT"&amp;"UTE(SUBSTITUTE(SUBSTITUTE(SUBSTITUTE(INDEX(Hairstyles!$C:$C,MATCH($B81,Hairstyles!$F:$F,0)),"" "",""""),""'"",""""),""("",""""),"")"",""""),""-"",""_"")&amp;""_""&amp;$A$2)"),"Vanilla\Human\Female\Vanilla_UndercutPonytailMedium_Human_Female")</f>
        <v>Vanilla\Human\Female\Vanilla_UndercutPonytailMedium_Human_Female</v>
      </c>
      <c r="D81" s="12" t="str">
        <f t="shared" si="1"/>
        <v>Uvi_Wig_Spell_VHRU_UndercutPonytailMedium,Vanilla\Human\Female\Vanilla_UndercutPonytailMedium_Human_Female</v>
      </c>
    </row>
    <row r="82">
      <c r="B82" s="12" t="str">
        <f>IFERROR(__xludf.DUMMYFUNCTION("""COMPUTED_VALUE"""),"Uvi_Wig_Spell_VHRU_WidowsPeakLong")</f>
        <v>Uvi_Wig_Spell_VHRU_WidowsPeakLong</v>
      </c>
      <c r="C82" s="12" t="str">
        <f>IFERROR(__xludf.DUMMYFUNCTION("IF($B82="""","""",SUBSTITUTE(SUBSTITUTE(SUBSTITUTE(SUBSTITUTE(INDEX(Hairstyles!$A:$A,MATCH($B82,Hairstyles!$F:$F,0)),"" "",""""),""'"",""""),""("",""""),"")"","""")&amp;""\""&amp;INDEX(SPLIT($A$2,""_""),1)&amp;""\""&amp;INDEX(SPLIT($A$2,""_""),2)&amp;""\""&amp;SUBSTITUTE(SUBSTIT"&amp;"UTE(SUBSTITUTE(SUBSTITUTE(SUBSTITUTE(INDEX(Hairstyles!$C:$C,MATCH($B82,Hairstyles!$F:$F,0)),"" "",""""),""'"",""""),""("",""""),"")"",""""),""-"",""_"")&amp;""_""&amp;$A$2)"),"Vanilla\Human\Female\Vanilla_WidowsPeakLong_Human_Female")</f>
        <v>Vanilla\Human\Female\Vanilla_WidowsPeakLong_Human_Female</v>
      </c>
      <c r="D82" s="12" t="str">
        <f t="shared" si="1"/>
        <v>Uvi_Wig_Spell_VHRU_WidowsPeakLong,Vanilla\Human\Female\Vanilla_WidowsPeakLong_Human_Female</v>
      </c>
    </row>
    <row r="83">
      <c r="B83" s="12" t="str">
        <f>IFERROR(__xludf.DUMMYFUNCTION("""COMPUTED_VALUE"""),"Uvi_Wig_Spell_VHRU_WidowsPeakShort")</f>
        <v>Uvi_Wig_Spell_VHRU_WidowsPeakShort</v>
      </c>
      <c r="C83" s="12" t="str">
        <f>IFERROR(__xludf.DUMMYFUNCTION("IF($B83="""","""",SUBSTITUTE(SUBSTITUTE(SUBSTITUTE(SUBSTITUTE(INDEX(Hairstyles!$A:$A,MATCH($B83,Hairstyles!$F:$F,0)),"" "",""""),""'"",""""),""("",""""),"")"","""")&amp;""\""&amp;INDEX(SPLIT($A$2,""_""),1)&amp;""\""&amp;INDEX(SPLIT($A$2,""_""),2)&amp;""\""&amp;SUBSTITUTE(SUBSTIT"&amp;"UTE(SUBSTITUTE(SUBSTITUTE(SUBSTITUTE(INDEX(Hairstyles!$C:$C,MATCH($B83,Hairstyles!$F:$F,0)),"" "",""""),""'"",""""),""("",""""),"")"",""""),""-"",""_"")&amp;""_""&amp;$A$2)"),"Vanilla\Human\Female\Vanilla_WidowsPeakShort_Human_Female")</f>
        <v>Vanilla\Human\Female\Vanilla_WidowsPeakShort_Human_Female</v>
      </c>
      <c r="D83" s="12" t="str">
        <f t="shared" si="1"/>
        <v>Uvi_Wig_Spell_VHRU_WidowsPeakShort,Vanilla\Human\Female\Vanilla_WidowsPeakShort_Human_Female</v>
      </c>
    </row>
    <row r="84">
      <c r="B84" s="12" t="str">
        <f>IFERROR(__xludf.DUMMYFUNCTION("""COMPUTED_VALUE"""),"Uvi_Wig_Spell_VHRU_WidowsPeakWindswept")</f>
        <v>Uvi_Wig_Spell_VHRU_WidowsPeakWindswept</v>
      </c>
      <c r="C84" s="12" t="str">
        <f>IFERROR(__xludf.DUMMYFUNCTION("IF($B84="""","""",SUBSTITUTE(SUBSTITUTE(SUBSTITUTE(SUBSTITUTE(INDEX(Hairstyles!$A:$A,MATCH($B84,Hairstyles!$F:$F,0)),"" "",""""),""'"",""""),""("",""""),"")"","""")&amp;""\""&amp;INDEX(SPLIT($A$2,""_""),1)&amp;""\""&amp;INDEX(SPLIT($A$2,""_""),2)&amp;""\""&amp;SUBSTITUTE(SUBSTIT"&amp;"UTE(SUBSTITUTE(SUBSTITUTE(SUBSTITUTE(INDEX(Hairstyles!$C:$C,MATCH($B84,Hairstyles!$F:$F,0)),"" "",""""),""'"",""""),""("",""""),"")"",""""),""-"",""_"")&amp;""_""&amp;$A$2)"),"Vanilla\Human\Female\Vanilla_WidowsPeakWindswept_Human_Female")</f>
        <v>Vanilla\Human\Female\Vanilla_WidowsPeakWindswept_Human_Female</v>
      </c>
      <c r="D84" s="12" t="str">
        <f t="shared" si="1"/>
        <v>Uvi_Wig_Spell_VHRU_WidowsPeakWindswept,Vanilla\Human\Female\Vanilla_WidowsPeakWindswept_Human_Female</v>
      </c>
    </row>
    <row r="85">
      <c r="B85" s="12" t="str">
        <f>IFERROR(__xludf.DUMMYFUNCTION("""COMPUTED_VALUE"""),"Uvi_Wig_Spell_DintBDOR_Alany")</f>
        <v>Uvi_Wig_Spell_DintBDOR_Alany</v>
      </c>
      <c r="C85" s="12" t="str">
        <f>IFERROR(__xludf.DUMMYFUNCTION("IF($B85="""","""",SUBSTITUTE(SUBSTITUTE(SUBSTITUTE(SUBSTITUTE(INDEX(Hairstyles!$A:$A,MATCH($B85,Hairstyles!$F:$F,0)),"" "",""""),""'"",""""),""("",""""),"")"","""")&amp;""\""&amp;INDEX(SPLIT($A$2,""_""),1)&amp;""\""&amp;INDEX(SPLIT($A$2,""_""),2)&amp;""\""&amp;SUBSTITUTE(SUBSTIT"&amp;"UTE(SUBSTITUTE(SUBSTITUTE(SUBSTITUTE(INDEX(Hairstyles!$C:$C,MATCH($B85,Hairstyles!$F:$F,0)),"" "",""""),""'"",""""),""("",""""),"")"",""""),""-"",""_"")&amp;""_""&amp;$A$2)"),"DintBDORHair\Human\Female\DintBDOR_Alany_Human_Female")</f>
        <v>DintBDORHair\Human\Female\DintBDOR_Alany_Human_Female</v>
      </c>
      <c r="D85" s="12" t="str">
        <f t="shared" si="1"/>
        <v>Uvi_Wig_Spell_DintBDOR_Alany,DintBDORHair\Human\Female\DintBDOR_Alany_Human_Female</v>
      </c>
    </row>
    <row r="86">
      <c r="B86" s="12" t="str">
        <f>IFERROR(__xludf.DUMMYFUNCTION("""COMPUTED_VALUE"""),"Uvi_Wig_Spell_DintBDOR_Alisterra")</f>
        <v>Uvi_Wig_Spell_DintBDOR_Alisterra</v>
      </c>
      <c r="C86" s="12" t="str">
        <f>IFERROR(__xludf.DUMMYFUNCTION("IF($B86="""","""",SUBSTITUTE(SUBSTITUTE(SUBSTITUTE(SUBSTITUTE(INDEX(Hairstyles!$A:$A,MATCH($B86,Hairstyles!$F:$F,0)),"" "",""""),""'"",""""),""("",""""),"")"","""")&amp;""\""&amp;INDEX(SPLIT($A$2,""_""),1)&amp;""\""&amp;INDEX(SPLIT($A$2,""_""),2)&amp;""\""&amp;SUBSTITUTE(SUBSTIT"&amp;"UTE(SUBSTITUTE(SUBSTITUTE(SUBSTITUTE(INDEX(Hairstyles!$C:$C,MATCH($B86,Hairstyles!$F:$F,0)),"" "",""""),""'"",""""),""("",""""),"")"",""""),""-"",""_"")&amp;""_""&amp;$A$2)"),"DintBDORHair\Human\Female\DintBDOR_Alisterra_Human_Female")</f>
        <v>DintBDORHair\Human\Female\DintBDOR_Alisterra_Human_Female</v>
      </c>
      <c r="D86" s="12" t="str">
        <f t="shared" si="1"/>
        <v>Uvi_Wig_Spell_DintBDOR_Alisterra,DintBDORHair\Human\Female\DintBDOR_Alisterra_Human_Female</v>
      </c>
    </row>
    <row r="87">
      <c r="B87" s="12" t="str">
        <f>IFERROR(__xludf.DUMMYFUNCTION("""COMPUTED_VALUE"""),"Uvi_Wig_Spell_DintBDOR_Ampharry")</f>
        <v>Uvi_Wig_Spell_DintBDOR_Ampharry</v>
      </c>
      <c r="C87" s="12" t="str">
        <f>IFERROR(__xludf.DUMMYFUNCTION("IF($B87="""","""",SUBSTITUTE(SUBSTITUTE(SUBSTITUTE(SUBSTITUTE(INDEX(Hairstyles!$A:$A,MATCH($B87,Hairstyles!$F:$F,0)),"" "",""""),""'"",""""),""("",""""),"")"","""")&amp;""\""&amp;INDEX(SPLIT($A$2,""_""),1)&amp;""\""&amp;INDEX(SPLIT($A$2,""_""),2)&amp;""\""&amp;SUBSTITUTE(SUBSTIT"&amp;"UTE(SUBSTITUTE(SUBSTITUTE(SUBSTITUTE(INDEX(Hairstyles!$C:$C,MATCH($B87,Hairstyles!$F:$F,0)),"" "",""""),""'"",""""),""("",""""),"")"",""""),""-"",""_"")&amp;""_""&amp;$A$2)"),"DintBDORHair\Human\Female\DintBDOR_Ampharry_Human_Female")</f>
        <v>DintBDORHair\Human\Female\DintBDOR_Ampharry_Human_Female</v>
      </c>
      <c r="D87" s="12" t="str">
        <f t="shared" si="1"/>
        <v>Uvi_Wig_Spell_DintBDOR_Ampharry,DintBDORHair\Human\Female\DintBDOR_Ampharry_Human_Female</v>
      </c>
    </row>
    <row r="88">
      <c r="B88" s="12" t="str">
        <f>IFERROR(__xludf.DUMMYFUNCTION("""COMPUTED_VALUE"""),"Uvi_Wig_Spell_DintBDOR_Amprelie")</f>
        <v>Uvi_Wig_Spell_DintBDOR_Amprelie</v>
      </c>
      <c r="C88" s="12" t="str">
        <f>IFERROR(__xludf.DUMMYFUNCTION("IF($B88="""","""",SUBSTITUTE(SUBSTITUTE(SUBSTITUTE(SUBSTITUTE(INDEX(Hairstyles!$A:$A,MATCH($B88,Hairstyles!$F:$F,0)),"" "",""""),""'"",""""),""("",""""),"")"","""")&amp;""\""&amp;INDEX(SPLIT($A$2,""_""),1)&amp;""\""&amp;INDEX(SPLIT($A$2,""_""),2)&amp;""\""&amp;SUBSTITUTE(SUBSTIT"&amp;"UTE(SUBSTITUTE(SUBSTITUTE(SUBSTITUTE(INDEX(Hairstyles!$C:$C,MATCH($B88,Hairstyles!$F:$F,0)),"" "",""""),""'"",""""),""("",""""),"")"",""""),""-"",""_"")&amp;""_""&amp;$A$2)"),"DintBDORHair\Human\Female\DintBDOR_Amprelie_Human_Female")</f>
        <v>DintBDORHair\Human\Female\DintBDOR_Amprelie_Human_Female</v>
      </c>
      <c r="D88" s="12" t="str">
        <f t="shared" si="1"/>
        <v>Uvi_Wig_Spell_DintBDOR_Amprelie,DintBDORHair\Human\Female\DintBDOR_Amprelie_Human_Female</v>
      </c>
    </row>
    <row r="89">
      <c r="B89" s="12" t="str">
        <f>IFERROR(__xludf.DUMMYFUNCTION("""COMPUTED_VALUE"""),"Uvi_Wig_Spell_DintBDOR_Ampy")</f>
        <v>Uvi_Wig_Spell_DintBDOR_Ampy</v>
      </c>
      <c r="C89" s="12" t="str">
        <f>IFERROR(__xludf.DUMMYFUNCTION("IF($B89="""","""",SUBSTITUTE(SUBSTITUTE(SUBSTITUTE(SUBSTITUTE(INDEX(Hairstyles!$A:$A,MATCH($B89,Hairstyles!$F:$F,0)),"" "",""""),""'"",""""),""("",""""),"")"","""")&amp;""\""&amp;INDEX(SPLIT($A$2,""_""),1)&amp;""\""&amp;INDEX(SPLIT($A$2,""_""),2)&amp;""\""&amp;SUBSTITUTE(SUBSTIT"&amp;"UTE(SUBSTITUTE(SUBSTITUTE(SUBSTITUTE(INDEX(Hairstyles!$C:$C,MATCH($B89,Hairstyles!$F:$F,0)),"" "",""""),""'"",""""),""("",""""),"")"",""""),""-"",""_"")&amp;""_""&amp;$A$2)"),"DintBDORHair\Human\Female\DintBDOR_Ampy_Human_Female")</f>
        <v>DintBDORHair\Human\Female\DintBDOR_Ampy_Human_Female</v>
      </c>
      <c r="D89" s="12" t="str">
        <f t="shared" si="1"/>
        <v>Uvi_Wig_Spell_DintBDOR_Ampy,DintBDORHair\Human\Female\DintBDOR_Ampy_Human_Female</v>
      </c>
    </row>
    <row r="90">
      <c r="B90" s="12" t="str">
        <f>IFERROR(__xludf.DUMMYFUNCTION("""COMPUTED_VALUE"""),"Uvi_Wig_Spell_DintBDOR_Annabelle")</f>
        <v>Uvi_Wig_Spell_DintBDOR_Annabelle</v>
      </c>
      <c r="C90" s="12" t="str">
        <f>IFERROR(__xludf.DUMMYFUNCTION("IF($B90="""","""",SUBSTITUTE(SUBSTITUTE(SUBSTITUTE(SUBSTITUTE(INDEX(Hairstyles!$A:$A,MATCH($B90,Hairstyles!$F:$F,0)),"" "",""""),""'"",""""),""("",""""),"")"","""")&amp;""\""&amp;INDEX(SPLIT($A$2,""_""),1)&amp;""\""&amp;INDEX(SPLIT($A$2,""_""),2)&amp;""\""&amp;SUBSTITUTE(SUBSTIT"&amp;"UTE(SUBSTITUTE(SUBSTITUTE(SUBSTITUTE(INDEX(Hairstyles!$C:$C,MATCH($B90,Hairstyles!$F:$F,0)),"" "",""""),""'"",""""),""("",""""),"")"",""""),""-"",""_"")&amp;""_""&amp;$A$2)"),"DintBDORHair\Human\Female\DintBDOR_Annabelle_Human_Female")</f>
        <v>DintBDORHair\Human\Female\DintBDOR_Annabelle_Human_Female</v>
      </c>
      <c r="D90" s="12" t="str">
        <f t="shared" si="1"/>
        <v>Uvi_Wig_Spell_DintBDOR_Annabelle,DintBDORHair\Human\Female\DintBDOR_Annabelle_Human_Female</v>
      </c>
    </row>
    <row r="91">
      <c r="B91" s="12" t="str">
        <f>IFERROR(__xludf.DUMMYFUNCTION("""COMPUTED_VALUE"""),"Uvi_Wig_Spell_DintBDOR_AnnyJ")</f>
        <v>Uvi_Wig_Spell_DintBDOR_AnnyJ</v>
      </c>
      <c r="C91" s="12" t="str">
        <f>IFERROR(__xludf.DUMMYFUNCTION("IF($B91="""","""",SUBSTITUTE(SUBSTITUTE(SUBSTITUTE(SUBSTITUTE(INDEX(Hairstyles!$A:$A,MATCH($B91,Hairstyles!$F:$F,0)),"" "",""""),""'"",""""),""("",""""),"")"","""")&amp;""\""&amp;INDEX(SPLIT($A$2,""_""),1)&amp;""\""&amp;INDEX(SPLIT($A$2,""_""),2)&amp;""\""&amp;SUBSTITUTE(SUBSTIT"&amp;"UTE(SUBSTITUTE(SUBSTITUTE(SUBSTITUTE(INDEX(Hairstyles!$C:$C,MATCH($B91,Hairstyles!$F:$F,0)),"" "",""""),""'"",""""),""("",""""),"")"",""""),""-"",""_"")&amp;""_""&amp;$A$2)"),"DintBDORHair\Human\Female\DintBDOR_AnnyJ_Human_Female")</f>
        <v>DintBDORHair\Human\Female\DintBDOR_AnnyJ_Human_Female</v>
      </c>
      <c r="D91" s="12" t="str">
        <f t="shared" si="1"/>
        <v>Uvi_Wig_Spell_DintBDOR_AnnyJ,DintBDORHair\Human\Female\DintBDOR_AnnyJ_Human_Female</v>
      </c>
    </row>
    <row r="92">
      <c r="B92" s="12" t="str">
        <f>IFERROR(__xludf.DUMMYFUNCTION("""COMPUTED_VALUE"""),"Uvi_Wig_Spell_DintBDOR_Apprelia")</f>
        <v>Uvi_Wig_Spell_DintBDOR_Apprelia</v>
      </c>
      <c r="C92" s="12" t="str">
        <f>IFERROR(__xludf.DUMMYFUNCTION("IF($B92="""","""",SUBSTITUTE(SUBSTITUTE(SUBSTITUTE(SUBSTITUTE(INDEX(Hairstyles!$A:$A,MATCH($B92,Hairstyles!$F:$F,0)),"" "",""""),""'"",""""),""("",""""),"")"","""")&amp;""\""&amp;INDEX(SPLIT($A$2,""_""),1)&amp;""\""&amp;INDEX(SPLIT($A$2,""_""),2)&amp;""\""&amp;SUBSTITUTE(SUBSTIT"&amp;"UTE(SUBSTITUTE(SUBSTITUTE(SUBSTITUTE(INDEX(Hairstyles!$C:$C,MATCH($B92,Hairstyles!$F:$F,0)),"" "",""""),""'"",""""),""("",""""),"")"",""""),""-"",""_"")&amp;""_""&amp;$A$2)"),"DintBDORHair\Human\Female\DintBDOR_Apprelia_Human_Female")</f>
        <v>DintBDORHair\Human\Female\DintBDOR_Apprelia_Human_Female</v>
      </c>
      <c r="D92" s="12" t="str">
        <f t="shared" si="1"/>
        <v>Uvi_Wig_Spell_DintBDOR_Apprelia,DintBDORHair\Human\Female\DintBDOR_Apprelia_Human_Female</v>
      </c>
    </row>
    <row r="93">
      <c r="B93" s="12" t="str">
        <f>IFERROR(__xludf.DUMMYFUNCTION("""COMPUTED_VALUE"""),"Uvi_Wig_Spell_DintBDOR_Ayren")</f>
        <v>Uvi_Wig_Spell_DintBDOR_Ayren</v>
      </c>
      <c r="C93" s="12" t="str">
        <f>IFERROR(__xludf.DUMMYFUNCTION("IF($B93="""","""",SUBSTITUTE(SUBSTITUTE(SUBSTITUTE(SUBSTITUTE(INDEX(Hairstyles!$A:$A,MATCH($B93,Hairstyles!$F:$F,0)),"" "",""""),""'"",""""),""("",""""),"")"","""")&amp;""\""&amp;INDEX(SPLIT($A$2,""_""),1)&amp;""\""&amp;INDEX(SPLIT($A$2,""_""),2)&amp;""\""&amp;SUBSTITUTE(SUBSTIT"&amp;"UTE(SUBSTITUTE(SUBSTITUTE(SUBSTITUTE(INDEX(Hairstyles!$C:$C,MATCH($B93,Hairstyles!$F:$F,0)),"" "",""""),""'"",""""),""("",""""),"")"",""""),""-"",""_"")&amp;""_""&amp;$A$2)"),"DintBDORHair\Human\Female\DintBDOR_Ayren_Human_Female")</f>
        <v>DintBDORHair\Human\Female\DintBDOR_Ayren_Human_Female</v>
      </c>
      <c r="D93" s="12" t="str">
        <f t="shared" si="1"/>
        <v>Uvi_Wig_Spell_DintBDOR_Ayren,DintBDORHair\Human\Female\DintBDOR_Ayren_Human_Female</v>
      </c>
    </row>
    <row r="94">
      <c r="B94" s="12" t="str">
        <f>IFERROR(__xludf.DUMMYFUNCTION("""COMPUTED_VALUE"""),"Uvi_Wig_Spell_DintBDOR_Bearma")</f>
        <v>Uvi_Wig_Spell_DintBDOR_Bearma</v>
      </c>
      <c r="C94" s="12" t="str">
        <f>IFERROR(__xludf.DUMMYFUNCTION("IF($B94="""","""",SUBSTITUTE(SUBSTITUTE(SUBSTITUTE(SUBSTITUTE(INDEX(Hairstyles!$A:$A,MATCH($B94,Hairstyles!$F:$F,0)),"" "",""""),""'"",""""),""("",""""),"")"","""")&amp;""\""&amp;INDEX(SPLIT($A$2,""_""),1)&amp;""\""&amp;INDEX(SPLIT($A$2,""_""),2)&amp;""\""&amp;SUBSTITUTE(SUBSTIT"&amp;"UTE(SUBSTITUTE(SUBSTITUTE(SUBSTITUTE(INDEX(Hairstyles!$C:$C,MATCH($B94,Hairstyles!$F:$F,0)),"" "",""""),""'"",""""),""("",""""),"")"",""""),""-"",""_"")&amp;""_""&amp;$A$2)"),"DintBDORHair\Human\Female\DintBDOR_Bearma_Human_Female")</f>
        <v>DintBDORHair\Human\Female\DintBDOR_Bearma_Human_Female</v>
      </c>
      <c r="D94" s="12" t="str">
        <f t="shared" si="1"/>
        <v>Uvi_Wig_Spell_DintBDOR_Bearma,DintBDORHair\Human\Female\DintBDOR_Bearma_Human_Female</v>
      </c>
    </row>
    <row r="95">
      <c r="B95" s="12" t="str">
        <f>IFERROR(__xludf.DUMMYFUNCTION("""COMPUTED_VALUE"""),"Uvi_Wig_Spell_DintBDOR_Bellafy")</f>
        <v>Uvi_Wig_Spell_DintBDOR_Bellafy</v>
      </c>
      <c r="C95" s="12" t="str">
        <f>IFERROR(__xludf.DUMMYFUNCTION("IF($B95="""","""",SUBSTITUTE(SUBSTITUTE(SUBSTITUTE(SUBSTITUTE(INDEX(Hairstyles!$A:$A,MATCH($B95,Hairstyles!$F:$F,0)),"" "",""""),""'"",""""),""("",""""),"")"","""")&amp;""\""&amp;INDEX(SPLIT($A$2,""_""),1)&amp;""\""&amp;INDEX(SPLIT($A$2,""_""),2)&amp;""\""&amp;SUBSTITUTE(SUBSTIT"&amp;"UTE(SUBSTITUTE(SUBSTITUTE(SUBSTITUTE(INDEX(Hairstyles!$C:$C,MATCH($B95,Hairstyles!$F:$F,0)),"" "",""""),""'"",""""),""("",""""),"")"",""""),""-"",""_"")&amp;""_""&amp;$A$2)"),"DintBDORHair\Human\Female\DintBDOR_Bellafy_Human_Female")</f>
        <v>DintBDORHair\Human\Female\DintBDOR_Bellafy_Human_Female</v>
      </c>
      <c r="D95" s="12" t="str">
        <f t="shared" si="1"/>
        <v>Uvi_Wig_Spell_DintBDOR_Bellafy,DintBDORHair\Human\Female\DintBDOR_Bellafy_Human_Female</v>
      </c>
    </row>
    <row r="96">
      <c r="B96" s="12" t="str">
        <f>IFERROR(__xludf.DUMMYFUNCTION("""COMPUTED_VALUE"""),"Uvi_Wig_Spell_DintBDOR_Bewffy")</f>
        <v>Uvi_Wig_Spell_DintBDOR_Bewffy</v>
      </c>
      <c r="C96" s="12" t="str">
        <f>IFERROR(__xludf.DUMMYFUNCTION("IF($B96="""","""",SUBSTITUTE(SUBSTITUTE(SUBSTITUTE(SUBSTITUTE(INDEX(Hairstyles!$A:$A,MATCH($B96,Hairstyles!$F:$F,0)),"" "",""""),""'"",""""),""("",""""),"")"","""")&amp;""\""&amp;INDEX(SPLIT($A$2,""_""),1)&amp;""\""&amp;INDEX(SPLIT($A$2,""_""),2)&amp;""\""&amp;SUBSTITUTE(SUBSTIT"&amp;"UTE(SUBSTITUTE(SUBSTITUTE(SUBSTITUTE(INDEX(Hairstyles!$C:$C,MATCH($B96,Hairstyles!$F:$F,0)),"" "",""""),""'"",""""),""("",""""),"")"",""""),""-"",""_"")&amp;""_""&amp;$A$2)"),"DintBDORHair\Human\Female\DintBDOR_Bewffy_Human_Female")</f>
        <v>DintBDORHair\Human\Female\DintBDOR_Bewffy_Human_Female</v>
      </c>
      <c r="D96" s="12" t="str">
        <f t="shared" si="1"/>
        <v>Uvi_Wig_Spell_DintBDOR_Bewffy,DintBDORHair\Human\Female\DintBDOR_Bewffy_Human_Female</v>
      </c>
    </row>
    <row r="97">
      <c r="B97" s="12" t="str">
        <f>IFERROR(__xludf.DUMMYFUNCTION("""COMPUTED_VALUE"""),"Uvi_Wig_Spell_DintBDOR_Branzhette")</f>
        <v>Uvi_Wig_Spell_DintBDOR_Branzhette</v>
      </c>
      <c r="C97" s="12" t="str">
        <f>IFERROR(__xludf.DUMMYFUNCTION("IF($B97="""","""",SUBSTITUTE(SUBSTITUTE(SUBSTITUTE(SUBSTITUTE(INDEX(Hairstyles!$A:$A,MATCH($B97,Hairstyles!$F:$F,0)),"" "",""""),""'"",""""),""("",""""),"")"","""")&amp;""\""&amp;INDEX(SPLIT($A$2,""_""),1)&amp;""\""&amp;INDEX(SPLIT($A$2,""_""),2)&amp;""\""&amp;SUBSTITUTE(SUBSTIT"&amp;"UTE(SUBSTITUTE(SUBSTITUTE(SUBSTITUTE(INDEX(Hairstyles!$C:$C,MATCH($B97,Hairstyles!$F:$F,0)),"" "",""""),""'"",""""),""("",""""),"")"",""""),""-"",""_"")&amp;""_""&amp;$A$2)"),"DintBDORHair\Human\Female\DintBDOR_Branzhette_Human_Female")</f>
        <v>DintBDORHair\Human\Female\DintBDOR_Branzhette_Human_Female</v>
      </c>
      <c r="D97" s="12" t="str">
        <f t="shared" si="1"/>
        <v>Uvi_Wig_Spell_DintBDOR_Branzhette,DintBDORHair\Human\Female\DintBDOR_Branzhette_Human_Female</v>
      </c>
    </row>
    <row r="98">
      <c r="B98" s="12" t="str">
        <f>IFERROR(__xludf.DUMMYFUNCTION("""COMPUTED_VALUE"""),"Uvi_Wig_Spell_DintBDOR_Debbie")</f>
        <v>Uvi_Wig_Spell_DintBDOR_Debbie</v>
      </c>
      <c r="C98" s="12" t="str">
        <f>IFERROR(__xludf.DUMMYFUNCTION("IF($B98="""","""",SUBSTITUTE(SUBSTITUTE(SUBSTITUTE(SUBSTITUTE(INDEX(Hairstyles!$A:$A,MATCH($B98,Hairstyles!$F:$F,0)),"" "",""""),""'"",""""),""("",""""),"")"","""")&amp;""\""&amp;INDEX(SPLIT($A$2,""_""),1)&amp;""\""&amp;INDEX(SPLIT($A$2,""_""),2)&amp;""\""&amp;SUBSTITUTE(SUBSTIT"&amp;"UTE(SUBSTITUTE(SUBSTITUTE(SUBSTITUTE(INDEX(Hairstyles!$C:$C,MATCH($B98,Hairstyles!$F:$F,0)),"" "",""""),""'"",""""),""("",""""),"")"",""""),""-"",""_"")&amp;""_""&amp;$A$2)"),"DintBDORHair\Human\Female\DintBDOR_Debbie_Human_Female")</f>
        <v>DintBDORHair\Human\Female\DintBDOR_Debbie_Human_Female</v>
      </c>
      <c r="D98" s="12" t="str">
        <f t="shared" si="1"/>
        <v>Uvi_Wig_Spell_DintBDOR_Debbie,DintBDORHair\Human\Female\DintBDOR_Debbie_Human_Female</v>
      </c>
    </row>
    <row r="99">
      <c r="B99" s="12" t="str">
        <f>IFERROR(__xludf.DUMMYFUNCTION("""COMPUTED_VALUE"""),"Uvi_Wig_Spell_DintBDOR_Debbry")</f>
        <v>Uvi_Wig_Spell_DintBDOR_Debbry</v>
      </c>
      <c r="C99" s="12" t="str">
        <f>IFERROR(__xludf.DUMMYFUNCTION("IF($B99="""","""",SUBSTITUTE(SUBSTITUTE(SUBSTITUTE(SUBSTITUTE(INDEX(Hairstyles!$A:$A,MATCH($B99,Hairstyles!$F:$F,0)),"" "",""""),""'"",""""),""("",""""),"")"","""")&amp;""\""&amp;INDEX(SPLIT($A$2,""_""),1)&amp;""\""&amp;INDEX(SPLIT($A$2,""_""),2)&amp;""\""&amp;SUBSTITUTE(SUBSTIT"&amp;"UTE(SUBSTITUTE(SUBSTITUTE(SUBSTITUTE(INDEX(Hairstyles!$C:$C,MATCH($B99,Hairstyles!$F:$F,0)),"" "",""""),""'"",""""),""("",""""),"")"",""""),""-"",""_"")&amp;""_""&amp;$A$2)"),"DintBDORHair\Human\Female\DintBDOR_Debbry_Human_Female")</f>
        <v>DintBDORHair\Human\Female\DintBDOR_Debbry_Human_Female</v>
      </c>
      <c r="D99" s="12" t="str">
        <f t="shared" si="1"/>
        <v>Uvi_Wig_Spell_DintBDOR_Debbry,DintBDORHair\Human\Female\DintBDOR_Debbry_Human_Female</v>
      </c>
    </row>
    <row r="100">
      <c r="B100" s="12" t="str">
        <f>IFERROR(__xludf.DUMMYFUNCTION("""COMPUTED_VALUE"""),"Uvi_Wig_Spell_DintBDOR_Ebra")</f>
        <v>Uvi_Wig_Spell_DintBDOR_Ebra</v>
      </c>
      <c r="C100" s="12" t="str">
        <f>IFERROR(__xludf.DUMMYFUNCTION("IF($B100="""","""",SUBSTITUTE(SUBSTITUTE(SUBSTITUTE(SUBSTITUTE(INDEX(Hairstyles!$A:$A,MATCH($B100,Hairstyles!$F:$F,0)),"" "",""""),""'"",""""),""("",""""),"")"","""")&amp;""\""&amp;INDEX(SPLIT($A$2,""_""),1)&amp;""\""&amp;INDEX(SPLIT($A$2,""_""),2)&amp;""\""&amp;SUBSTITUTE(SUBST"&amp;"ITUTE(SUBSTITUTE(SUBSTITUTE(SUBSTITUTE(INDEX(Hairstyles!$C:$C,MATCH($B100,Hairstyles!$F:$F,0)),"" "",""""),""'"",""""),""("",""""),"")"",""""),""-"",""_"")&amp;""_""&amp;$A$2)"),"DintBDORHair\Human\Female\DintBDOR_Ebra_Human_Female")</f>
        <v>DintBDORHair\Human\Female\DintBDOR_Ebra_Human_Female</v>
      </c>
      <c r="D100" s="12" t="str">
        <f t="shared" si="1"/>
        <v>Uvi_Wig_Spell_DintBDOR_Ebra,DintBDORHair\Human\Female\DintBDOR_Ebra_Human_Female</v>
      </c>
    </row>
    <row r="101">
      <c r="B101" s="12" t="str">
        <f>IFERROR(__xludf.DUMMYFUNCTION("""COMPUTED_VALUE"""),"Uvi_Wig_Spell_DintBDOR_Eilener")</f>
        <v>Uvi_Wig_Spell_DintBDOR_Eilener</v>
      </c>
      <c r="C101" s="12" t="str">
        <f>IFERROR(__xludf.DUMMYFUNCTION("IF($B101="""","""",SUBSTITUTE(SUBSTITUTE(SUBSTITUTE(SUBSTITUTE(INDEX(Hairstyles!$A:$A,MATCH($B101,Hairstyles!$F:$F,0)),"" "",""""),""'"",""""),""("",""""),"")"","""")&amp;""\""&amp;INDEX(SPLIT($A$2,""_""),1)&amp;""\""&amp;INDEX(SPLIT($A$2,""_""),2)&amp;""\""&amp;SUBSTITUTE(SUBST"&amp;"ITUTE(SUBSTITUTE(SUBSTITUTE(SUBSTITUTE(INDEX(Hairstyles!$C:$C,MATCH($B101,Hairstyles!$F:$F,0)),"" "",""""),""'"",""""),""("",""""),"")"",""""),""-"",""_"")&amp;""_""&amp;$A$2)"),"DintBDORHair\Human\Female\DintBDOR_Eilener_Human_Female")</f>
        <v>DintBDORHair\Human\Female\DintBDOR_Eilener_Human_Female</v>
      </c>
      <c r="D101" s="12" t="str">
        <f t="shared" si="1"/>
        <v>Uvi_Wig_Spell_DintBDOR_Eilener,DintBDORHair\Human\Female\DintBDOR_Eilener_Human_Female</v>
      </c>
    </row>
    <row r="102">
      <c r="B102" s="12" t="str">
        <f>IFERROR(__xludf.DUMMYFUNCTION("""COMPUTED_VALUE"""),"Uvi_Wig_Spell_DintBDOR_Ellajane")</f>
        <v>Uvi_Wig_Spell_DintBDOR_Ellajane</v>
      </c>
      <c r="C102" s="12" t="str">
        <f>IFERROR(__xludf.DUMMYFUNCTION("IF($B102="""","""",SUBSTITUTE(SUBSTITUTE(SUBSTITUTE(SUBSTITUTE(INDEX(Hairstyles!$A:$A,MATCH($B102,Hairstyles!$F:$F,0)),"" "",""""),""'"",""""),""("",""""),"")"","""")&amp;""\""&amp;INDEX(SPLIT($A$2,""_""),1)&amp;""\""&amp;INDEX(SPLIT($A$2,""_""),2)&amp;""\""&amp;SUBSTITUTE(SUBST"&amp;"ITUTE(SUBSTITUTE(SUBSTITUTE(SUBSTITUTE(INDEX(Hairstyles!$C:$C,MATCH($B102,Hairstyles!$F:$F,0)),"" "",""""),""'"",""""),""("",""""),"")"",""""),""-"",""_"")&amp;""_""&amp;$A$2)"),"DintBDORHair\Human\Female\DintBDOR_Ellajane_Human_Female")</f>
        <v>DintBDORHair\Human\Female\DintBDOR_Ellajane_Human_Female</v>
      </c>
      <c r="D102" s="12" t="str">
        <f t="shared" si="1"/>
        <v>Uvi_Wig_Spell_DintBDOR_Ellajane,DintBDORHair\Human\Female\DintBDOR_Ellajane_Human_Female</v>
      </c>
    </row>
    <row r="103">
      <c r="B103" s="12" t="str">
        <f>IFERROR(__xludf.DUMMYFUNCTION("""COMPUTED_VALUE"""),"Uvi_Wig_Spell_DintBDOR_Ellaia")</f>
        <v>Uvi_Wig_Spell_DintBDOR_Ellaia</v>
      </c>
      <c r="C103" s="12" t="str">
        <f>IFERROR(__xludf.DUMMYFUNCTION("IF($B103="""","""",SUBSTITUTE(SUBSTITUTE(SUBSTITUTE(SUBSTITUTE(INDEX(Hairstyles!$A:$A,MATCH($B103,Hairstyles!$F:$F,0)),"" "",""""),""'"",""""),""("",""""),"")"","""")&amp;""\""&amp;INDEX(SPLIT($A$2,""_""),1)&amp;""\""&amp;INDEX(SPLIT($A$2,""_""),2)&amp;""\""&amp;SUBSTITUTE(SUBST"&amp;"ITUTE(SUBSTITUTE(SUBSTITUTE(SUBSTITUTE(INDEX(Hairstyles!$C:$C,MATCH($B103,Hairstyles!$F:$F,0)),"" "",""""),""'"",""""),""("",""""),"")"",""""),""-"",""_"")&amp;""_""&amp;$A$2)"),"DintBDORHair\Human\Female\DintBDOR_Ellaia_Human_Female")</f>
        <v>DintBDORHair\Human\Female\DintBDOR_Ellaia_Human_Female</v>
      </c>
      <c r="D103" s="12" t="str">
        <f t="shared" si="1"/>
        <v>Uvi_Wig_Spell_DintBDOR_Ellaia,DintBDORHair\Human\Female\DintBDOR_Ellaia_Human_Female</v>
      </c>
    </row>
    <row r="104">
      <c r="B104" s="12" t="str">
        <f>IFERROR(__xludf.DUMMYFUNCTION("""COMPUTED_VALUE"""),"Uvi_Wig_Spell_DintBDOR_Ellamedji")</f>
        <v>Uvi_Wig_Spell_DintBDOR_Ellamedji</v>
      </c>
      <c r="C104" s="12" t="str">
        <f>IFERROR(__xludf.DUMMYFUNCTION("IF($B104="""","""",SUBSTITUTE(SUBSTITUTE(SUBSTITUTE(SUBSTITUTE(INDEX(Hairstyles!$A:$A,MATCH($B104,Hairstyles!$F:$F,0)),"" "",""""),""'"",""""),""("",""""),"")"","""")&amp;""\""&amp;INDEX(SPLIT($A$2,""_""),1)&amp;""\""&amp;INDEX(SPLIT($A$2,""_""),2)&amp;""\""&amp;SUBSTITUTE(SUBST"&amp;"ITUTE(SUBSTITUTE(SUBSTITUTE(SUBSTITUTE(INDEX(Hairstyles!$C:$C,MATCH($B104,Hairstyles!$F:$F,0)),"" "",""""),""'"",""""),""("",""""),"")"",""""),""-"",""_"")&amp;""_""&amp;$A$2)"),"DintBDORHair\Human\Female\DintBDOR_Ellamedji_Human_Female")</f>
        <v>DintBDORHair\Human\Female\DintBDOR_Ellamedji_Human_Female</v>
      </c>
      <c r="D104" s="12" t="str">
        <f t="shared" si="1"/>
        <v>Uvi_Wig_Spell_DintBDOR_Ellamedji,DintBDORHair\Human\Female\DintBDOR_Ellamedji_Human_Female</v>
      </c>
    </row>
    <row r="105">
      <c r="B105" s="12" t="str">
        <f>IFERROR(__xludf.DUMMYFUNCTION("""COMPUTED_VALUE"""),"Uvi_Wig_Spell_DintBDOR_Emmerin")</f>
        <v>Uvi_Wig_Spell_DintBDOR_Emmerin</v>
      </c>
      <c r="C105" s="12" t="str">
        <f>IFERROR(__xludf.DUMMYFUNCTION("IF($B105="""","""",SUBSTITUTE(SUBSTITUTE(SUBSTITUTE(SUBSTITUTE(INDEX(Hairstyles!$A:$A,MATCH($B105,Hairstyles!$F:$F,0)),"" "",""""),""'"",""""),""("",""""),"")"","""")&amp;""\""&amp;INDEX(SPLIT($A$2,""_""),1)&amp;""\""&amp;INDEX(SPLIT($A$2,""_""),2)&amp;""\""&amp;SUBSTITUTE(SUBST"&amp;"ITUTE(SUBSTITUTE(SUBSTITUTE(SUBSTITUTE(INDEX(Hairstyles!$C:$C,MATCH($B105,Hairstyles!$F:$F,0)),"" "",""""),""'"",""""),""("",""""),"")"",""""),""-"",""_"")&amp;""_""&amp;$A$2)"),"DintBDORHair\Human\Female\DintBDOR_Emmerin_Human_Female")</f>
        <v>DintBDORHair\Human\Female\DintBDOR_Emmerin_Human_Female</v>
      </c>
      <c r="D105" s="12" t="str">
        <f t="shared" si="1"/>
        <v>Uvi_Wig_Spell_DintBDOR_Emmerin,DintBDORHair\Human\Female\DintBDOR_Emmerin_Human_Female</v>
      </c>
    </row>
    <row r="106">
      <c r="B106" s="12" t="str">
        <f>IFERROR(__xludf.DUMMYFUNCTION("""COMPUTED_VALUE"""),"Uvi_Wig_Spell_DintBDOR_Evalen")</f>
        <v>Uvi_Wig_Spell_DintBDOR_Evalen</v>
      </c>
      <c r="C106" s="12" t="str">
        <f>IFERROR(__xludf.DUMMYFUNCTION("IF($B106="""","""",SUBSTITUTE(SUBSTITUTE(SUBSTITUTE(SUBSTITUTE(INDEX(Hairstyles!$A:$A,MATCH($B106,Hairstyles!$F:$F,0)),"" "",""""),""'"",""""),""("",""""),"")"","""")&amp;""\""&amp;INDEX(SPLIT($A$2,""_""),1)&amp;""\""&amp;INDEX(SPLIT($A$2,""_""),2)&amp;""\""&amp;SUBSTITUTE(SUBST"&amp;"ITUTE(SUBSTITUTE(SUBSTITUTE(SUBSTITUTE(INDEX(Hairstyles!$C:$C,MATCH($B106,Hairstyles!$F:$F,0)),"" "",""""),""'"",""""),""("",""""),"")"",""""),""-"",""_"")&amp;""_""&amp;$A$2)"),"DintBDORHair\Human\Female\DintBDOR_Evalen_Human_Female")</f>
        <v>DintBDORHair\Human\Female\DintBDOR_Evalen_Human_Female</v>
      </c>
      <c r="D106" s="12" t="str">
        <f t="shared" si="1"/>
        <v>Uvi_Wig_Spell_DintBDOR_Evalen,DintBDORHair\Human\Female\DintBDOR_Evalen_Human_Female</v>
      </c>
    </row>
    <row r="107">
      <c r="B107" s="12" t="str">
        <f>IFERROR(__xludf.DUMMYFUNCTION("""COMPUTED_VALUE"""),"Uvi_Wig_Spell_DintBDOR_Fliex")</f>
        <v>Uvi_Wig_Spell_DintBDOR_Fliex</v>
      </c>
      <c r="C107" s="12" t="str">
        <f>IFERROR(__xludf.DUMMYFUNCTION("IF($B107="""","""",SUBSTITUTE(SUBSTITUTE(SUBSTITUTE(SUBSTITUTE(INDEX(Hairstyles!$A:$A,MATCH($B107,Hairstyles!$F:$F,0)),"" "",""""),""'"",""""),""("",""""),"")"","""")&amp;""\""&amp;INDEX(SPLIT($A$2,""_""),1)&amp;""\""&amp;INDEX(SPLIT($A$2,""_""),2)&amp;""\""&amp;SUBSTITUTE(SUBST"&amp;"ITUTE(SUBSTITUTE(SUBSTITUTE(SUBSTITUTE(INDEX(Hairstyles!$C:$C,MATCH($B107,Hairstyles!$F:$F,0)),"" "",""""),""'"",""""),""("",""""),"")"",""""),""-"",""_"")&amp;""_""&amp;$A$2)"),"DintBDORHair\Human\Female\DintBDOR_Fliex_Human_Female")</f>
        <v>DintBDORHair\Human\Female\DintBDOR_Fliex_Human_Female</v>
      </c>
      <c r="D107" s="12" t="str">
        <f t="shared" si="1"/>
        <v>Uvi_Wig_Spell_DintBDOR_Fliex,DintBDORHair\Human\Female\DintBDOR_Fliex_Human_Female</v>
      </c>
    </row>
    <row r="108">
      <c r="B108" s="12" t="str">
        <f>IFERROR(__xludf.DUMMYFUNCTION("""COMPUTED_VALUE"""),"Uvi_Wig_Spell_DintBDOR_Fullmewei")</f>
        <v>Uvi_Wig_Spell_DintBDOR_Fullmewei</v>
      </c>
      <c r="C108" s="12" t="str">
        <f>IFERROR(__xludf.DUMMYFUNCTION("IF($B108="""","""",SUBSTITUTE(SUBSTITUTE(SUBSTITUTE(SUBSTITUTE(INDEX(Hairstyles!$A:$A,MATCH($B108,Hairstyles!$F:$F,0)),"" "",""""),""'"",""""),""("",""""),"")"","""")&amp;""\""&amp;INDEX(SPLIT($A$2,""_""),1)&amp;""\""&amp;INDEX(SPLIT($A$2,""_""),2)&amp;""\""&amp;SUBSTITUTE(SUBST"&amp;"ITUTE(SUBSTITUTE(SUBSTITUTE(SUBSTITUTE(INDEX(Hairstyles!$C:$C,MATCH($B108,Hairstyles!$F:$F,0)),"" "",""""),""'"",""""),""("",""""),"")"",""""),""-"",""_"")&amp;""_""&amp;$A$2)"),"DintBDORHair\Human\Female\DintBDOR_Fullmewei_Human_Female")</f>
        <v>DintBDORHair\Human\Female\DintBDOR_Fullmewei_Human_Female</v>
      </c>
      <c r="D108" s="12" t="str">
        <f t="shared" si="1"/>
        <v>Uvi_Wig_Spell_DintBDOR_Fullmewei,DintBDORHair\Human\Female\DintBDOR_Fullmewei_Human_Female</v>
      </c>
    </row>
    <row r="109">
      <c r="B109" s="12" t="str">
        <f>IFERROR(__xludf.DUMMYFUNCTION("""COMPUTED_VALUE"""),"Uvi_Wig_Spell_DintBDOR_Grendfelhna")</f>
        <v>Uvi_Wig_Spell_DintBDOR_Grendfelhna</v>
      </c>
      <c r="C109" s="12" t="str">
        <f>IFERROR(__xludf.DUMMYFUNCTION("IF($B109="""","""",SUBSTITUTE(SUBSTITUTE(SUBSTITUTE(SUBSTITUTE(INDEX(Hairstyles!$A:$A,MATCH($B109,Hairstyles!$F:$F,0)),"" "",""""),""'"",""""),""("",""""),"")"","""")&amp;""\""&amp;INDEX(SPLIT($A$2,""_""),1)&amp;""\""&amp;INDEX(SPLIT($A$2,""_""),2)&amp;""\""&amp;SUBSTITUTE(SUBST"&amp;"ITUTE(SUBSTITUTE(SUBSTITUTE(SUBSTITUTE(INDEX(Hairstyles!$C:$C,MATCH($B109,Hairstyles!$F:$F,0)),"" "",""""),""'"",""""),""("",""""),"")"",""""),""-"",""_"")&amp;""_""&amp;$A$2)"),"DintBDORHair\Human\Female\DintBDOR_Grendfelhna_Human_Female")</f>
        <v>DintBDORHair\Human\Female\DintBDOR_Grendfelhna_Human_Female</v>
      </c>
      <c r="D109" s="12" t="str">
        <f t="shared" si="1"/>
        <v>Uvi_Wig_Spell_DintBDOR_Grendfelhna,DintBDORHair\Human\Female\DintBDOR_Grendfelhna_Human_Female</v>
      </c>
    </row>
    <row r="110">
      <c r="B110" s="12" t="str">
        <f>IFERROR(__xludf.DUMMYFUNCTION("""COMPUTED_VALUE"""),"Uvi_Wig_Spell_DintBDOR_Groony")</f>
        <v>Uvi_Wig_Spell_DintBDOR_Groony</v>
      </c>
      <c r="C110" s="12" t="str">
        <f>IFERROR(__xludf.DUMMYFUNCTION("IF($B110="""","""",SUBSTITUTE(SUBSTITUTE(SUBSTITUTE(SUBSTITUTE(INDEX(Hairstyles!$A:$A,MATCH($B110,Hairstyles!$F:$F,0)),"" "",""""),""'"",""""),""("",""""),"")"","""")&amp;""\""&amp;INDEX(SPLIT($A$2,""_""),1)&amp;""\""&amp;INDEX(SPLIT($A$2,""_""),2)&amp;""\""&amp;SUBSTITUTE(SUBST"&amp;"ITUTE(SUBSTITUTE(SUBSTITUTE(SUBSTITUTE(INDEX(Hairstyles!$C:$C,MATCH($B110,Hairstyles!$F:$F,0)),"" "",""""),""'"",""""),""("",""""),"")"",""""),""-"",""_"")&amp;""_""&amp;$A$2)"),"DintBDORHair\Human\Female\DintBDOR_Groony_Human_Female")</f>
        <v>DintBDORHair\Human\Female\DintBDOR_Groony_Human_Female</v>
      </c>
      <c r="D110" s="12" t="str">
        <f t="shared" si="1"/>
        <v>Uvi_Wig_Spell_DintBDOR_Groony,DintBDORHair\Human\Female\DintBDOR_Groony_Human_Female</v>
      </c>
    </row>
    <row r="111">
      <c r="B111" s="12" t="str">
        <f>IFERROR(__xludf.DUMMYFUNCTION("""COMPUTED_VALUE"""),"Uvi_Wig_Spell_DintBDOR_Hemi")</f>
        <v>Uvi_Wig_Spell_DintBDOR_Hemi</v>
      </c>
      <c r="C111" s="12" t="str">
        <f>IFERROR(__xludf.DUMMYFUNCTION("IF($B111="""","""",SUBSTITUTE(SUBSTITUTE(SUBSTITUTE(SUBSTITUTE(INDEX(Hairstyles!$A:$A,MATCH($B111,Hairstyles!$F:$F,0)),"" "",""""),""'"",""""),""("",""""),"")"","""")&amp;""\""&amp;INDEX(SPLIT($A$2,""_""),1)&amp;""\""&amp;INDEX(SPLIT($A$2,""_""),2)&amp;""\""&amp;SUBSTITUTE(SUBST"&amp;"ITUTE(SUBSTITUTE(SUBSTITUTE(SUBSTITUTE(INDEX(Hairstyles!$C:$C,MATCH($B111,Hairstyles!$F:$F,0)),"" "",""""),""'"",""""),""("",""""),"")"",""""),""-"",""_"")&amp;""_""&amp;$A$2)"),"DintBDORHair\Human\Female\DintBDOR_Hemi_Human_Female")</f>
        <v>DintBDORHair\Human\Female\DintBDOR_Hemi_Human_Female</v>
      </c>
      <c r="D111" s="12" t="str">
        <f t="shared" si="1"/>
        <v>Uvi_Wig_Spell_DintBDOR_Hemi,DintBDORHair\Human\Female\DintBDOR_Hemi_Human_Female</v>
      </c>
    </row>
    <row r="112">
      <c r="B112" s="12" t="str">
        <f>IFERROR(__xludf.DUMMYFUNCTION("""COMPUTED_VALUE"""),"Uvi_Wig_Spell_DintBDOR_Homny")</f>
        <v>Uvi_Wig_Spell_DintBDOR_Homny</v>
      </c>
      <c r="C112" s="12" t="str">
        <f>IFERROR(__xludf.DUMMYFUNCTION("IF($B112="""","""",SUBSTITUTE(SUBSTITUTE(SUBSTITUTE(SUBSTITUTE(INDEX(Hairstyles!$A:$A,MATCH($B112,Hairstyles!$F:$F,0)),"" "",""""),""'"",""""),""("",""""),"")"","""")&amp;""\""&amp;INDEX(SPLIT($A$2,""_""),1)&amp;""\""&amp;INDEX(SPLIT($A$2,""_""),2)&amp;""\""&amp;SUBSTITUTE(SUBST"&amp;"ITUTE(SUBSTITUTE(SUBSTITUTE(SUBSTITUTE(INDEX(Hairstyles!$C:$C,MATCH($B112,Hairstyles!$F:$F,0)),"" "",""""),""'"",""""),""("",""""),"")"",""""),""-"",""_"")&amp;""_""&amp;$A$2)"),"DintBDORHair\Human\Female\DintBDOR_Homny_Human_Female")</f>
        <v>DintBDORHair\Human\Female\DintBDOR_Homny_Human_Female</v>
      </c>
      <c r="D112" s="12" t="str">
        <f t="shared" si="1"/>
        <v>Uvi_Wig_Spell_DintBDOR_Homny,DintBDORHair\Human\Female\DintBDOR_Homny_Human_Female</v>
      </c>
    </row>
    <row r="113">
      <c r="B113" s="12" t="str">
        <f>IFERROR(__xludf.DUMMYFUNCTION("""COMPUTED_VALUE"""),"Uvi_Wig_Spell_DintBDOR_Innira")</f>
        <v>Uvi_Wig_Spell_DintBDOR_Innira</v>
      </c>
      <c r="C113" s="12" t="str">
        <f>IFERROR(__xludf.DUMMYFUNCTION("IF($B113="""","""",SUBSTITUTE(SUBSTITUTE(SUBSTITUTE(SUBSTITUTE(INDEX(Hairstyles!$A:$A,MATCH($B113,Hairstyles!$F:$F,0)),"" "",""""),""'"",""""),""("",""""),"")"","""")&amp;""\""&amp;INDEX(SPLIT($A$2,""_""),1)&amp;""\""&amp;INDEX(SPLIT($A$2,""_""),2)&amp;""\""&amp;SUBSTITUTE(SUBST"&amp;"ITUTE(SUBSTITUTE(SUBSTITUTE(SUBSTITUTE(INDEX(Hairstyles!$C:$C,MATCH($B113,Hairstyles!$F:$F,0)),"" "",""""),""'"",""""),""("",""""),"")"",""""),""-"",""_"")&amp;""_""&amp;$A$2)"),"DintBDORHair\Human\Female\DintBDOR_Innira_Human_Female")</f>
        <v>DintBDORHair\Human\Female\DintBDOR_Innira_Human_Female</v>
      </c>
      <c r="D113" s="12" t="str">
        <f t="shared" si="1"/>
        <v>Uvi_Wig_Spell_DintBDOR_Innira,DintBDORHair\Human\Female\DintBDOR_Innira_Human_Female</v>
      </c>
    </row>
    <row r="114">
      <c r="B114" s="12" t="str">
        <f>IFERROR(__xludf.DUMMYFUNCTION("""COMPUTED_VALUE"""),"Uvi_Wig_Spell_DintBDOR_Janny")</f>
        <v>Uvi_Wig_Spell_DintBDOR_Janny</v>
      </c>
      <c r="C114" s="12" t="str">
        <f>IFERROR(__xludf.DUMMYFUNCTION("IF($B114="""","""",SUBSTITUTE(SUBSTITUTE(SUBSTITUTE(SUBSTITUTE(INDEX(Hairstyles!$A:$A,MATCH($B114,Hairstyles!$F:$F,0)),"" "",""""),""'"",""""),""("",""""),"")"","""")&amp;""\""&amp;INDEX(SPLIT($A$2,""_""),1)&amp;""\""&amp;INDEX(SPLIT($A$2,""_""),2)&amp;""\""&amp;SUBSTITUTE(SUBST"&amp;"ITUTE(SUBSTITUTE(SUBSTITUTE(SUBSTITUTE(INDEX(Hairstyles!$C:$C,MATCH($B114,Hairstyles!$F:$F,0)),"" "",""""),""'"",""""),""("",""""),"")"",""""),""-"",""_"")&amp;""_""&amp;$A$2)"),"DintBDORHair\Human\Female\DintBDOR_Janny_Human_Female")</f>
        <v>DintBDORHair\Human\Female\DintBDOR_Janny_Human_Female</v>
      </c>
      <c r="D114" s="12" t="str">
        <f t="shared" si="1"/>
        <v>Uvi_Wig_Spell_DintBDOR_Janny,DintBDORHair\Human\Female\DintBDOR_Janny_Human_Female</v>
      </c>
    </row>
    <row r="115">
      <c r="B115" s="12" t="str">
        <f>IFERROR(__xludf.DUMMYFUNCTION("""COMPUTED_VALUE"""),"Uvi_Wig_Spell_DintBDOR_Kami")</f>
        <v>Uvi_Wig_Spell_DintBDOR_Kami</v>
      </c>
      <c r="C115" s="12" t="str">
        <f>IFERROR(__xludf.DUMMYFUNCTION("IF($B115="""","""",SUBSTITUTE(SUBSTITUTE(SUBSTITUTE(SUBSTITUTE(INDEX(Hairstyles!$A:$A,MATCH($B115,Hairstyles!$F:$F,0)),"" "",""""),""'"",""""),""("",""""),"")"","""")&amp;""\""&amp;INDEX(SPLIT($A$2,""_""),1)&amp;""\""&amp;INDEX(SPLIT($A$2,""_""),2)&amp;""\""&amp;SUBSTITUTE(SUBST"&amp;"ITUTE(SUBSTITUTE(SUBSTITUTE(SUBSTITUTE(INDEX(Hairstyles!$C:$C,MATCH($B115,Hairstyles!$F:$F,0)),"" "",""""),""'"",""""),""("",""""),"")"",""""),""-"",""_"")&amp;""_""&amp;$A$2)"),"DintBDORHair\Human\Female\DintBDOR_Kami_Human_Female")</f>
        <v>DintBDORHair\Human\Female\DintBDOR_Kami_Human_Female</v>
      </c>
      <c r="D115" s="12" t="str">
        <f t="shared" si="1"/>
        <v>Uvi_Wig_Spell_DintBDOR_Kami,DintBDORHair\Human\Female\DintBDOR_Kami_Human_Female</v>
      </c>
    </row>
    <row r="116">
      <c r="B116" s="12" t="str">
        <f>IFERROR(__xludf.DUMMYFUNCTION("""COMPUTED_VALUE"""),"Uvi_Wig_Spell_DintBDOR_Kao")</f>
        <v>Uvi_Wig_Spell_DintBDOR_Kao</v>
      </c>
      <c r="C116" s="12" t="str">
        <f>IFERROR(__xludf.DUMMYFUNCTION("IF($B116="""","""",SUBSTITUTE(SUBSTITUTE(SUBSTITUTE(SUBSTITUTE(INDEX(Hairstyles!$A:$A,MATCH($B116,Hairstyles!$F:$F,0)),"" "",""""),""'"",""""),""("",""""),"")"","""")&amp;""\""&amp;INDEX(SPLIT($A$2,""_""),1)&amp;""\""&amp;INDEX(SPLIT($A$2,""_""),2)&amp;""\""&amp;SUBSTITUTE(SUBST"&amp;"ITUTE(SUBSTITUTE(SUBSTITUTE(SUBSTITUTE(INDEX(Hairstyles!$C:$C,MATCH($B116,Hairstyles!$F:$F,0)),"" "",""""),""'"",""""),""("",""""),"")"",""""),""-"",""_"")&amp;""_""&amp;$A$2)"),"DintBDORHair\Human\Female\DintBDOR_Kao_Human_Female")</f>
        <v>DintBDORHair\Human\Female\DintBDOR_Kao_Human_Female</v>
      </c>
      <c r="D116" s="12" t="str">
        <f t="shared" si="1"/>
        <v>Uvi_Wig_Spell_DintBDOR_Kao,DintBDORHair\Human\Female\DintBDOR_Kao_Human_Female</v>
      </c>
    </row>
    <row r="117">
      <c r="B117" s="12" t="str">
        <f>IFERROR(__xludf.DUMMYFUNCTION("""COMPUTED_VALUE"""),"Uvi_Wig_Spell_DintBDOR_Kara")</f>
        <v>Uvi_Wig_Spell_DintBDOR_Kara</v>
      </c>
      <c r="C117" s="12" t="str">
        <f>IFERROR(__xludf.DUMMYFUNCTION("IF($B117="""","""",SUBSTITUTE(SUBSTITUTE(SUBSTITUTE(SUBSTITUTE(INDEX(Hairstyles!$A:$A,MATCH($B117,Hairstyles!$F:$F,0)),"" "",""""),""'"",""""),""("",""""),"")"","""")&amp;""\""&amp;INDEX(SPLIT($A$2,""_""),1)&amp;""\""&amp;INDEX(SPLIT($A$2,""_""),2)&amp;""\""&amp;SUBSTITUTE(SUBST"&amp;"ITUTE(SUBSTITUTE(SUBSTITUTE(SUBSTITUTE(INDEX(Hairstyles!$C:$C,MATCH($B117,Hairstyles!$F:$F,0)),"" "",""""),""'"",""""),""("",""""),"")"",""""),""-"",""_"")&amp;""_""&amp;$A$2)"),"DintBDORHair\Human\Female\DintBDOR_Kara_Human_Female")</f>
        <v>DintBDORHair\Human\Female\DintBDOR_Kara_Human_Female</v>
      </c>
      <c r="D117" s="12" t="str">
        <f t="shared" si="1"/>
        <v>Uvi_Wig_Spell_DintBDOR_Kara,DintBDORHair\Human\Female\DintBDOR_Kara_Human_Female</v>
      </c>
    </row>
    <row r="118">
      <c r="B118" s="12" t="str">
        <f>IFERROR(__xludf.DUMMYFUNCTION("""COMPUTED_VALUE"""),"Uvi_Wig_Spell_DintBDOR_Karamella")</f>
        <v>Uvi_Wig_Spell_DintBDOR_Karamella</v>
      </c>
      <c r="C118" s="12" t="str">
        <f>IFERROR(__xludf.DUMMYFUNCTION("IF($B118="""","""",SUBSTITUTE(SUBSTITUTE(SUBSTITUTE(SUBSTITUTE(INDEX(Hairstyles!$A:$A,MATCH($B118,Hairstyles!$F:$F,0)),"" "",""""),""'"",""""),""("",""""),"")"","""")&amp;""\""&amp;INDEX(SPLIT($A$2,""_""),1)&amp;""\""&amp;INDEX(SPLIT($A$2,""_""),2)&amp;""\""&amp;SUBSTITUTE(SUBST"&amp;"ITUTE(SUBSTITUTE(SUBSTITUTE(SUBSTITUTE(INDEX(Hairstyles!$C:$C,MATCH($B118,Hairstyles!$F:$F,0)),"" "",""""),""'"",""""),""("",""""),"")"",""""),""-"",""_"")&amp;""_""&amp;$A$2)"),"DintBDORHair\Human\Female\DintBDOR_Karamella_Human_Female")</f>
        <v>DintBDORHair\Human\Female\DintBDOR_Karamella_Human_Female</v>
      </c>
      <c r="D118" s="12" t="str">
        <f t="shared" si="1"/>
        <v>Uvi_Wig_Spell_DintBDOR_Karamella,DintBDORHair\Human\Female\DintBDOR_Karamella_Human_Female</v>
      </c>
    </row>
    <row r="119">
      <c r="B119" s="12" t="str">
        <f>IFERROR(__xludf.DUMMYFUNCTION("""COMPUTED_VALUE"""),"Uvi_Wig_Spell_DintBDOR_Kayris")</f>
        <v>Uvi_Wig_Spell_DintBDOR_Kayris</v>
      </c>
      <c r="C119" s="12" t="str">
        <f>IFERROR(__xludf.DUMMYFUNCTION("IF($B119="""","""",SUBSTITUTE(SUBSTITUTE(SUBSTITUTE(SUBSTITUTE(INDEX(Hairstyles!$A:$A,MATCH($B119,Hairstyles!$F:$F,0)),"" "",""""),""'"",""""),""("",""""),"")"","""")&amp;""\""&amp;INDEX(SPLIT($A$2,""_""),1)&amp;""\""&amp;INDEX(SPLIT($A$2,""_""),2)&amp;""\""&amp;SUBSTITUTE(SUBST"&amp;"ITUTE(SUBSTITUTE(SUBSTITUTE(SUBSTITUTE(INDEX(Hairstyles!$C:$C,MATCH($B119,Hairstyles!$F:$F,0)),"" "",""""),""'"",""""),""("",""""),"")"",""""),""-"",""_"")&amp;""_""&amp;$A$2)"),"DintBDORHair\Human\Female\DintBDOR_Kayris_Human_Female")</f>
        <v>DintBDORHair\Human\Female\DintBDOR_Kayris_Human_Female</v>
      </c>
      <c r="D119" s="12" t="str">
        <f t="shared" si="1"/>
        <v>Uvi_Wig_Spell_DintBDOR_Kayris,DintBDORHair\Human\Female\DintBDOR_Kayris_Human_Female</v>
      </c>
    </row>
    <row r="120">
      <c r="B120" s="12" t="str">
        <f>IFERROR(__xludf.DUMMYFUNCTION("""COMPUTED_VALUE"""),"Uvi_Wig_Spell_DintBDOR_Khyon")</f>
        <v>Uvi_Wig_Spell_DintBDOR_Khyon</v>
      </c>
      <c r="C120" s="12" t="str">
        <f>IFERROR(__xludf.DUMMYFUNCTION("IF($B120="""","""",SUBSTITUTE(SUBSTITUTE(SUBSTITUTE(SUBSTITUTE(INDEX(Hairstyles!$A:$A,MATCH($B120,Hairstyles!$F:$F,0)),"" "",""""),""'"",""""),""("",""""),"")"","""")&amp;""\""&amp;INDEX(SPLIT($A$2,""_""),1)&amp;""\""&amp;INDEX(SPLIT($A$2,""_""),2)&amp;""\""&amp;SUBSTITUTE(SUBST"&amp;"ITUTE(SUBSTITUTE(SUBSTITUTE(SUBSTITUTE(INDEX(Hairstyles!$C:$C,MATCH($B120,Hairstyles!$F:$F,0)),"" "",""""),""'"",""""),""("",""""),"")"",""""),""-"",""_"")&amp;""_""&amp;$A$2)"),"DintBDORHair\Human\Female\DintBDOR_Khyon_Human_Female")</f>
        <v>DintBDORHair\Human\Female\DintBDOR_Khyon_Human_Female</v>
      </c>
      <c r="D120" s="12" t="str">
        <f t="shared" si="1"/>
        <v>Uvi_Wig_Spell_DintBDOR_Khyon,DintBDORHair\Human\Female\DintBDOR_Khyon_Human_Female</v>
      </c>
    </row>
    <row r="121">
      <c r="B121" s="12" t="str">
        <f>IFERROR(__xludf.DUMMYFUNCTION("""COMPUTED_VALUE"""),"Uvi_Wig_Spell_DintBDOR_Klary")</f>
        <v>Uvi_Wig_Spell_DintBDOR_Klary</v>
      </c>
      <c r="C121" s="12" t="str">
        <f>IFERROR(__xludf.DUMMYFUNCTION("IF($B121="""","""",SUBSTITUTE(SUBSTITUTE(SUBSTITUTE(SUBSTITUTE(INDEX(Hairstyles!$A:$A,MATCH($B121,Hairstyles!$F:$F,0)),"" "",""""),""'"",""""),""("",""""),"")"","""")&amp;""\""&amp;INDEX(SPLIT($A$2,""_""),1)&amp;""\""&amp;INDEX(SPLIT($A$2,""_""),2)&amp;""\""&amp;SUBSTITUTE(SUBST"&amp;"ITUTE(SUBSTITUTE(SUBSTITUTE(SUBSTITUTE(INDEX(Hairstyles!$C:$C,MATCH($B121,Hairstyles!$F:$F,0)),"" "",""""),""'"",""""),""("",""""),"")"",""""),""-"",""_"")&amp;""_""&amp;$A$2)"),"DintBDORHair\Human\Female\DintBDOR_Klary_Human_Female")</f>
        <v>DintBDORHair\Human\Female\DintBDOR_Klary_Human_Female</v>
      </c>
      <c r="D121" s="12" t="str">
        <f t="shared" si="1"/>
        <v>Uvi_Wig_Spell_DintBDOR_Klary,DintBDORHair\Human\Female\DintBDOR_Klary_Human_Female</v>
      </c>
    </row>
    <row r="122">
      <c r="B122" s="12" t="str">
        <f>IFERROR(__xludf.DUMMYFUNCTION("""COMPUTED_VALUE"""),"Uvi_Wig_Spell_DintBDOR_Lambretta")</f>
        <v>Uvi_Wig_Spell_DintBDOR_Lambretta</v>
      </c>
      <c r="C122" s="12" t="str">
        <f>IFERROR(__xludf.DUMMYFUNCTION("IF($B122="""","""",SUBSTITUTE(SUBSTITUTE(SUBSTITUTE(SUBSTITUTE(INDEX(Hairstyles!$A:$A,MATCH($B122,Hairstyles!$F:$F,0)),"" "",""""),""'"",""""),""("",""""),"")"","""")&amp;""\""&amp;INDEX(SPLIT($A$2,""_""),1)&amp;""\""&amp;INDEX(SPLIT($A$2,""_""),2)&amp;""\""&amp;SUBSTITUTE(SUBST"&amp;"ITUTE(SUBSTITUTE(SUBSTITUTE(SUBSTITUTE(INDEX(Hairstyles!$C:$C,MATCH($B122,Hairstyles!$F:$F,0)),"" "",""""),""'"",""""),""("",""""),"")"",""""),""-"",""_"")&amp;""_""&amp;$A$2)"),"DintBDORHair\Human\Female\DintBDOR_Lambretta_Human_Female")</f>
        <v>DintBDORHair\Human\Female\DintBDOR_Lambretta_Human_Female</v>
      </c>
      <c r="D122" s="12" t="str">
        <f t="shared" si="1"/>
        <v>Uvi_Wig_Spell_DintBDOR_Lambretta,DintBDORHair\Human\Female\DintBDOR_Lambretta_Human_Female</v>
      </c>
    </row>
    <row r="123">
      <c r="B123" s="12" t="str">
        <f>IFERROR(__xludf.DUMMYFUNCTION("""COMPUTED_VALUE"""),"Uvi_Wig_Spell_DintBDOR_Lankra")</f>
        <v>Uvi_Wig_Spell_DintBDOR_Lankra</v>
      </c>
      <c r="C123" s="12" t="str">
        <f>IFERROR(__xludf.DUMMYFUNCTION("IF($B123="""","""",SUBSTITUTE(SUBSTITUTE(SUBSTITUTE(SUBSTITUTE(INDEX(Hairstyles!$A:$A,MATCH($B123,Hairstyles!$F:$F,0)),"" "",""""),""'"",""""),""("",""""),"")"","""")&amp;""\""&amp;INDEX(SPLIT($A$2,""_""),1)&amp;""\""&amp;INDEX(SPLIT($A$2,""_""),2)&amp;""\""&amp;SUBSTITUTE(SUBST"&amp;"ITUTE(SUBSTITUTE(SUBSTITUTE(SUBSTITUTE(INDEX(Hairstyles!$C:$C,MATCH($B123,Hairstyles!$F:$F,0)),"" "",""""),""'"",""""),""("",""""),"")"",""""),""-"",""_"")&amp;""_""&amp;$A$2)"),"DintBDORHair\Human\Female\DintBDOR_Lankra_Human_Female")</f>
        <v>DintBDORHair\Human\Female\DintBDOR_Lankra_Human_Female</v>
      </c>
      <c r="D123" s="12" t="str">
        <f t="shared" si="1"/>
        <v>Uvi_Wig_Spell_DintBDOR_Lankra,DintBDORHair\Human\Female\DintBDOR_Lankra_Human_Female</v>
      </c>
    </row>
    <row r="124">
      <c r="B124" s="12" t="str">
        <f>IFERROR(__xludf.DUMMYFUNCTION("""COMPUTED_VALUE"""),"Uvi_Wig_Spell_DintBDOR_Leesie")</f>
        <v>Uvi_Wig_Spell_DintBDOR_Leesie</v>
      </c>
      <c r="C124" s="12" t="str">
        <f>IFERROR(__xludf.DUMMYFUNCTION("IF($B124="""","""",SUBSTITUTE(SUBSTITUTE(SUBSTITUTE(SUBSTITUTE(INDEX(Hairstyles!$A:$A,MATCH($B124,Hairstyles!$F:$F,0)),"" "",""""),""'"",""""),""("",""""),"")"","""")&amp;""\""&amp;INDEX(SPLIT($A$2,""_""),1)&amp;""\""&amp;INDEX(SPLIT($A$2,""_""),2)&amp;""\""&amp;SUBSTITUTE(SUBST"&amp;"ITUTE(SUBSTITUTE(SUBSTITUTE(SUBSTITUTE(INDEX(Hairstyles!$C:$C,MATCH($B124,Hairstyles!$F:$F,0)),"" "",""""),""'"",""""),""("",""""),"")"",""""),""-"",""_"")&amp;""_""&amp;$A$2)"),"DintBDORHair\Human\Female\DintBDOR_Leesie_Human_Female")</f>
        <v>DintBDORHair\Human\Female\DintBDOR_Leesie_Human_Female</v>
      </c>
      <c r="D124" s="12" t="str">
        <f t="shared" si="1"/>
        <v>Uvi_Wig_Spell_DintBDOR_Leesie,DintBDORHair\Human\Female\DintBDOR_Leesie_Human_Female</v>
      </c>
    </row>
    <row r="125">
      <c r="B125" s="12" t="str">
        <f>IFERROR(__xludf.DUMMYFUNCTION("""COMPUTED_VALUE"""),"Uvi_Wig_Spell_DintBDOR_Leona")</f>
        <v>Uvi_Wig_Spell_DintBDOR_Leona</v>
      </c>
      <c r="C125" s="12" t="str">
        <f>IFERROR(__xludf.DUMMYFUNCTION("IF($B125="""","""",SUBSTITUTE(SUBSTITUTE(SUBSTITUTE(SUBSTITUTE(INDEX(Hairstyles!$A:$A,MATCH($B125,Hairstyles!$F:$F,0)),"" "",""""),""'"",""""),""("",""""),"")"","""")&amp;""\""&amp;INDEX(SPLIT($A$2,""_""),1)&amp;""\""&amp;INDEX(SPLIT($A$2,""_""),2)&amp;""\""&amp;SUBSTITUTE(SUBST"&amp;"ITUTE(SUBSTITUTE(SUBSTITUTE(SUBSTITUTE(INDEX(Hairstyles!$C:$C,MATCH($B125,Hairstyles!$F:$F,0)),"" "",""""),""'"",""""),""("",""""),"")"",""""),""-"",""_"")&amp;""_""&amp;$A$2)"),"DintBDORHair\Human\Female\DintBDOR_Leona_Human_Female")</f>
        <v>DintBDORHair\Human\Female\DintBDOR_Leona_Human_Female</v>
      </c>
      <c r="D125" s="12" t="str">
        <f t="shared" si="1"/>
        <v>Uvi_Wig_Spell_DintBDOR_Leona,DintBDORHair\Human\Female\DintBDOR_Leona_Human_Female</v>
      </c>
    </row>
    <row r="126">
      <c r="B126" s="12" t="str">
        <f>IFERROR(__xludf.DUMMYFUNCTION("""COMPUTED_VALUE"""),"Uvi_Wig_Spell_DintBDOR_Lexar")</f>
        <v>Uvi_Wig_Spell_DintBDOR_Lexar</v>
      </c>
      <c r="C126" s="12" t="str">
        <f>IFERROR(__xludf.DUMMYFUNCTION("IF($B126="""","""",SUBSTITUTE(SUBSTITUTE(SUBSTITUTE(SUBSTITUTE(INDEX(Hairstyles!$A:$A,MATCH($B126,Hairstyles!$F:$F,0)),"" "",""""),""'"",""""),""("",""""),"")"","""")&amp;""\""&amp;INDEX(SPLIT($A$2,""_""),1)&amp;""\""&amp;INDEX(SPLIT($A$2,""_""),2)&amp;""\""&amp;SUBSTITUTE(SUBST"&amp;"ITUTE(SUBSTITUTE(SUBSTITUTE(SUBSTITUTE(INDEX(Hairstyles!$C:$C,MATCH($B126,Hairstyles!$F:$F,0)),"" "",""""),""'"",""""),""("",""""),"")"",""""),""-"",""_"")&amp;""_""&amp;$A$2)"),"DintBDORHair\Human\Female\DintBDOR_Lexar_Human_Female")</f>
        <v>DintBDORHair\Human\Female\DintBDOR_Lexar_Human_Female</v>
      </c>
      <c r="D126" s="12" t="str">
        <f t="shared" si="1"/>
        <v>Uvi_Wig_Spell_DintBDOR_Lexar,DintBDORHair\Human\Female\DintBDOR_Lexar_Human_Female</v>
      </c>
    </row>
    <row r="127">
      <c r="B127" s="12" t="str">
        <f>IFERROR(__xludf.DUMMYFUNCTION("""COMPUTED_VALUE"""),"Uvi_Wig_Spell_DintBDOR_Limn")</f>
        <v>Uvi_Wig_Spell_DintBDOR_Limn</v>
      </c>
      <c r="C127" s="12" t="str">
        <f>IFERROR(__xludf.DUMMYFUNCTION("IF($B127="""","""",SUBSTITUTE(SUBSTITUTE(SUBSTITUTE(SUBSTITUTE(INDEX(Hairstyles!$A:$A,MATCH($B127,Hairstyles!$F:$F,0)),"" "",""""),""'"",""""),""("",""""),"")"","""")&amp;""\""&amp;INDEX(SPLIT($A$2,""_""),1)&amp;""\""&amp;INDEX(SPLIT($A$2,""_""),2)&amp;""\""&amp;SUBSTITUTE(SUBST"&amp;"ITUTE(SUBSTITUTE(SUBSTITUTE(SUBSTITUTE(INDEX(Hairstyles!$C:$C,MATCH($B127,Hairstyles!$F:$F,0)),"" "",""""),""'"",""""),""("",""""),"")"",""""),""-"",""_"")&amp;""_""&amp;$A$2)"),"DintBDORHair\Human\Female\DintBDOR_Limn_Human_Female")</f>
        <v>DintBDORHair\Human\Female\DintBDOR_Limn_Human_Female</v>
      </c>
      <c r="D127" s="12" t="str">
        <f t="shared" si="1"/>
        <v>Uvi_Wig_Spell_DintBDOR_Limn,DintBDORHair\Human\Female\DintBDOR_Limn_Human_Female</v>
      </c>
    </row>
    <row r="128">
      <c r="B128" s="12" t="str">
        <f>IFERROR(__xludf.DUMMYFUNCTION("""COMPUTED_VALUE"""),"Uvi_Wig_Spell_DintBDOR_Luanda")</f>
        <v>Uvi_Wig_Spell_DintBDOR_Luanda</v>
      </c>
      <c r="C128" s="12" t="str">
        <f>IFERROR(__xludf.DUMMYFUNCTION("IF($B128="""","""",SUBSTITUTE(SUBSTITUTE(SUBSTITUTE(SUBSTITUTE(INDEX(Hairstyles!$A:$A,MATCH($B128,Hairstyles!$F:$F,0)),"" "",""""),""'"",""""),""("",""""),"")"","""")&amp;""\""&amp;INDEX(SPLIT($A$2,""_""),1)&amp;""\""&amp;INDEX(SPLIT($A$2,""_""),2)&amp;""\""&amp;SUBSTITUTE(SUBST"&amp;"ITUTE(SUBSTITUTE(SUBSTITUTE(SUBSTITUTE(INDEX(Hairstyles!$C:$C,MATCH($B128,Hairstyles!$F:$F,0)),"" "",""""),""'"",""""),""("",""""),"")"",""""),""-"",""_"")&amp;""_""&amp;$A$2)"),"DintBDORHair\Human\Female\DintBDOR_Luanda_Human_Female")</f>
        <v>DintBDORHair\Human\Female\DintBDOR_Luanda_Human_Female</v>
      </c>
      <c r="D128" s="12" t="str">
        <f t="shared" si="1"/>
        <v>Uvi_Wig_Spell_DintBDOR_Luanda,DintBDORHair\Human\Female\DintBDOR_Luanda_Human_Female</v>
      </c>
    </row>
    <row r="129">
      <c r="B129" s="12" t="str">
        <f>IFERROR(__xludf.DUMMYFUNCTION("""COMPUTED_VALUE"""),"Uvi_Wig_Spell_DintBDOR_Maarin")</f>
        <v>Uvi_Wig_Spell_DintBDOR_Maarin</v>
      </c>
      <c r="C129" s="12" t="str">
        <f>IFERROR(__xludf.DUMMYFUNCTION("IF($B129="""","""",SUBSTITUTE(SUBSTITUTE(SUBSTITUTE(SUBSTITUTE(INDEX(Hairstyles!$A:$A,MATCH($B129,Hairstyles!$F:$F,0)),"" "",""""),""'"",""""),""("",""""),"")"","""")&amp;""\""&amp;INDEX(SPLIT($A$2,""_""),1)&amp;""\""&amp;INDEX(SPLIT($A$2,""_""),2)&amp;""\""&amp;SUBSTITUTE(SUBST"&amp;"ITUTE(SUBSTITUTE(SUBSTITUTE(SUBSTITUTE(INDEX(Hairstyles!$C:$C,MATCH($B129,Hairstyles!$F:$F,0)),"" "",""""),""'"",""""),""("",""""),"")"",""""),""-"",""_"")&amp;""_""&amp;$A$2)"),"DintBDORHair\Human\Female\DintBDOR_Maarin_Human_Female")</f>
        <v>DintBDORHair\Human\Female\DintBDOR_Maarin_Human_Female</v>
      </c>
      <c r="D129" s="12" t="str">
        <f t="shared" si="1"/>
        <v>Uvi_Wig_Spell_DintBDOR_Maarin,DintBDORHair\Human\Female\DintBDOR_Maarin_Human_Female</v>
      </c>
    </row>
    <row r="130">
      <c r="B130" s="12" t="str">
        <f>IFERROR(__xludf.DUMMYFUNCTION("""COMPUTED_VALUE"""),"Uvi_Wig_Spell_DintBDOR_Magdalena")</f>
        <v>Uvi_Wig_Spell_DintBDOR_Magdalena</v>
      </c>
      <c r="C130" s="12" t="str">
        <f>IFERROR(__xludf.DUMMYFUNCTION("IF($B130="""","""",SUBSTITUTE(SUBSTITUTE(SUBSTITUTE(SUBSTITUTE(INDEX(Hairstyles!$A:$A,MATCH($B130,Hairstyles!$F:$F,0)),"" "",""""),""'"",""""),""("",""""),"")"","""")&amp;""\""&amp;INDEX(SPLIT($A$2,""_""),1)&amp;""\""&amp;INDEX(SPLIT($A$2,""_""),2)&amp;""\""&amp;SUBSTITUTE(SUBST"&amp;"ITUTE(SUBSTITUTE(SUBSTITUTE(SUBSTITUTE(INDEX(Hairstyles!$C:$C,MATCH($B130,Hairstyles!$F:$F,0)),"" "",""""),""'"",""""),""("",""""),"")"",""""),""-"",""_"")&amp;""_""&amp;$A$2)"),"DintBDORHair\Human\Female\DintBDOR_Magdalena_Human_Female")</f>
        <v>DintBDORHair\Human\Female\DintBDOR_Magdalena_Human_Female</v>
      </c>
      <c r="D130" s="12" t="str">
        <f t="shared" si="1"/>
        <v>Uvi_Wig_Spell_DintBDOR_Magdalena,DintBDORHair\Human\Female\DintBDOR_Magdalena_Human_Female</v>
      </c>
    </row>
    <row r="131">
      <c r="B131" s="12" t="str">
        <f>IFERROR(__xludf.DUMMYFUNCTION("""COMPUTED_VALUE"""),"Uvi_Wig_Spell_DintBDOR_Magnifeta")</f>
        <v>Uvi_Wig_Spell_DintBDOR_Magnifeta</v>
      </c>
      <c r="C131" s="12" t="str">
        <f>IFERROR(__xludf.DUMMYFUNCTION("IF($B131="""","""",SUBSTITUTE(SUBSTITUTE(SUBSTITUTE(SUBSTITUTE(INDEX(Hairstyles!$A:$A,MATCH($B131,Hairstyles!$F:$F,0)),"" "",""""),""'"",""""),""("",""""),"")"","""")&amp;""\""&amp;INDEX(SPLIT($A$2,""_""),1)&amp;""\""&amp;INDEX(SPLIT($A$2,""_""),2)&amp;""\""&amp;SUBSTITUTE(SUBST"&amp;"ITUTE(SUBSTITUTE(SUBSTITUTE(SUBSTITUTE(INDEX(Hairstyles!$C:$C,MATCH($B131,Hairstyles!$F:$F,0)),"" "",""""),""'"",""""),""("",""""),"")"",""""),""-"",""_"")&amp;""_""&amp;$A$2)"),"DintBDORHair\Human\Female\DintBDOR_Magnifeta_Human_Female")</f>
        <v>DintBDORHair\Human\Female\DintBDOR_Magnifeta_Human_Female</v>
      </c>
      <c r="D131" s="12" t="str">
        <f t="shared" si="1"/>
        <v>Uvi_Wig_Spell_DintBDOR_Magnifeta,DintBDORHair\Human\Female\DintBDOR_Magnifeta_Human_Female</v>
      </c>
    </row>
    <row r="132">
      <c r="B132" s="12" t="str">
        <f>IFERROR(__xludf.DUMMYFUNCTION("""COMPUTED_VALUE"""),"Uvi_Wig_Spell_DintBDOR_Magnolia")</f>
        <v>Uvi_Wig_Spell_DintBDOR_Magnolia</v>
      </c>
      <c r="C132" s="12" t="str">
        <f>IFERROR(__xludf.DUMMYFUNCTION("IF($B132="""","""",SUBSTITUTE(SUBSTITUTE(SUBSTITUTE(SUBSTITUTE(INDEX(Hairstyles!$A:$A,MATCH($B132,Hairstyles!$F:$F,0)),"" "",""""),""'"",""""),""("",""""),"")"","""")&amp;""\""&amp;INDEX(SPLIT($A$2,""_""),1)&amp;""\""&amp;INDEX(SPLIT($A$2,""_""),2)&amp;""\""&amp;SUBSTITUTE(SUBST"&amp;"ITUTE(SUBSTITUTE(SUBSTITUTE(SUBSTITUTE(INDEX(Hairstyles!$C:$C,MATCH($B132,Hairstyles!$F:$F,0)),"" "",""""),""'"",""""),""("",""""),"")"",""""),""-"",""_"")&amp;""_""&amp;$A$2)"),"DintBDORHair\Human\Female\DintBDOR_Magnolia_Human_Female")</f>
        <v>DintBDORHair\Human\Female\DintBDOR_Magnolia_Human_Female</v>
      </c>
      <c r="D132" s="12" t="str">
        <f t="shared" si="1"/>
        <v>Uvi_Wig_Spell_DintBDOR_Magnolia,DintBDORHair\Human\Female\DintBDOR_Magnolia_Human_Female</v>
      </c>
    </row>
    <row r="133">
      <c r="B133" s="12" t="str">
        <f>IFERROR(__xludf.DUMMYFUNCTION("""COMPUTED_VALUE"""),"Uvi_Wig_Spell_DintBDOR_Marianne")</f>
        <v>Uvi_Wig_Spell_DintBDOR_Marianne</v>
      </c>
      <c r="C133" s="12" t="str">
        <f>IFERROR(__xludf.DUMMYFUNCTION("IF($B133="""","""",SUBSTITUTE(SUBSTITUTE(SUBSTITUTE(SUBSTITUTE(INDEX(Hairstyles!$A:$A,MATCH($B133,Hairstyles!$F:$F,0)),"" "",""""),""'"",""""),""("",""""),"")"","""")&amp;""\""&amp;INDEX(SPLIT($A$2,""_""),1)&amp;""\""&amp;INDEX(SPLIT($A$2,""_""),2)&amp;""\""&amp;SUBSTITUTE(SUBST"&amp;"ITUTE(SUBSTITUTE(SUBSTITUTE(SUBSTITUTE(INDEX(Hairstyles!$C:$C,MATCH($B133,Hairstyles!$F:$F,0)),"" "",""""),""'"",""""),""("",""""),"")"",""""),""-"",""_"")&amp;""_""&amp;$A$2)"),"DintBDORHair\Human\Female\DintBDOR_Marianne_Human_Female")</f>
        <v>DintBDORHair\Human\Female\DintBDOR_Marianne_Human_Female</v>
      </c>
      <c r="D133" s="12" t="str">
        <f t="shared" si="1"/>
        <v>Uvi_Wig_Spell_DintBDOR_Marianne,DintBDORHair\Human\Female\DintBDOR_Marianne_Human_Female</v>
      </c>
    </row>
    <row r="134">
      <c r="B134" s="12" t="str">
        <f>IFERROR(__xludf.DUMMYFUNCTION("""COMPUTED_VALUE"""),"Uvi_Wig_Spell_DintBDOR_Maverna")</f>
        <v>Uvi_Wig_Spell_DintBDOR_Maverna</v>
      </c>
      <c r="C134" s="12" t="str">
        <f>IFERROR(__xludf.DUMMYFUNCTION("IF($B134="""","""",SUBSTITUTE(SUBSTITUTE(SUBSTITUTE(SUBSTITUTE(INDEX(Hairstyles!$A:$A,MATCH($B134,Hairstyles!$F:$F,0)),"" "",""""),""'"",""""),""("",""""),"")"","""")&amp;""\""&amp;INDEX(SPLIT($A$2,""_""),1)&amp;""\""&amp;INDEX(SPLIT($A$2,""_""),2)&amp;""\""&amp;SUBSTITUTE(SUBST"&amp;"ITUTE(SUBSTITUTE(SUBSTITUTE(SUBSTITUTE(INDEX(Hairstyles!$C:$C,MATCH($B134,Hairstyles!$F:$F,0)),"" "",""""),""'"",""""),""("",""""),"")"",""""),""-"",""_"")&amp;""_""&amp;$A$2)"),"DintBDORHair\Human\Female\DintBDOR_Maverna_Human_Female")</f>
        <v>DintBDORHair\Human\Female\DintBDOR_Maverna_Human_Female</v>
      </c>
      <c r="D134" s="12" t="str">
        <f t="shared" si="1"/>
        <v>Uvi_Wig_Spell_DintBDOR_Maverna,DintBDORHair\Human\Female\DintBDOR_Maverna_Human_Female</v>
      </c>
    </row>
    <row r="135">
      <c r="B135" s="12" t="str">
        <f>IFERROR(__xludf.DUMMYFUNCTION("""COMPUTED_VALUE"""),"Uvi_Wig_Spell_DintBDOR_May")</f>
        <v>Uvi_Wig_Spell_DintBDOR_May</v>
      </c>
      <c r="C135" s="12" t="str">
        <f>IFERROR(__xludf.DUMMYFUNCTION("IF($B135="""","""",SUBSTITUTE(SUBSTITUTE(SUBSTITUTE(SUBSTITUTE(INDEX(Hairstyles!$A:$A,MATCH($B135,Hairstyles!$F:$F,0)),"" "",""""),""'"",""""),""("",""""),"")"","""")&amp;""\""&amp;INDEX(SPLIT($A$2,""_""),1)&amp;""\""&amp;INDEX(SPLIT($A$2,""_""),2)&amp;""\""&amp;SUBSTITUTE(SUBST"&amp;"ITUTE(SUBSTITUTE(SUBSTITUTE(SUBSTITUTE(INDEX(Hairstyles!$C:$C,MATCH($B135,Hairstyles!$F:$F,0)),"" "",""""),""'"",""""),""("",""""),"")"",""""),""-"",""_"")&amp;""_""&amp;$A$2)"),"DintBDORHair\Human\Female\DintBDOR_May_Human_Female")</f>
        <v>DintBDORHair\Human\Female\DintBDOR_May_Human_Female</v>
      </c>
      <c r="D135" s="12" t="str">
        <f t="shared" si="1"/>
        <v>Uvi_Wig_Spell_DintBDOR_May,DintBDORHair\Human\Female\DintBDOR_May_Human_Female</v>
      </c>
    </row>
    <row r="136">
      <c r="B136" s="12" t="str">
        <f>IFERROR(__xludf.DUMMYFUNCTION("""COMPUTED_VALUE"""),"Uvi_Wig_Spell_DintBDOR_Meyvet")</f>
        <v>Uvi_Wig_Spell_DintBDOR_Meyvet</v>
      </c>
      <c r="C136" s="12" t="str">
        <f>IFERROR(__xludf.DUMMYFUNCTION("IF($B136="""","""",SUBSTITUTE(SUBSTITUTE(SUBSTITUTE(SUBSTITUTE(INDEX(Hairstyles!$A:$A,MATCH($B136,Hairstyles!$F:$F,0)),"" "",""""),""'"",""""),""("",""""),"")"","""")&amp;""\""&amp;INDEX(SPLIT($A$2,""_""),1)&amp;""\""&amp;INDEX(SPLIT($A$2,""_""),2)&amp;""\""&amp;SUBSTITUTE(SUBST"&amp;"ITUTE(SUBSTITUTE(SUBSTITUTE(SUBSTITUTE(INDEX(Hairstyles!$C:$C,MATCH($B136,Hairstyles!$F:$F,0)),"" "",""""),""'"",""""),""("",""""),"")"",""""),""-"",""_"")&amp;""_""&amp;$A$2)"),"DintBDORHair\Human\Female\DintBDOR_Meyvet_Human_Female")</f>
        <v>DintBDORHair\Human\Female\DintBDOR_Meyvet_Human_Female</v>
      </c>
      <c r="D136" s="12" t="str">
        <f t="shared" si="1"/>
        <v>Uvi_Wig_Spell_DintBDOR_Meyvet,DintBDORHair\Human\Female\DintBDOR_Meyvet_Human_Female</v>
      </c>
    </row>
    <row r="137">
      <c r="B137" s="12" t="str">
        <f>IFERROR(__xludf.DUMMYFUNCTION("""COMPUTED_VALUE"""),"Uvi_Wig_Spell_DintBDOR_Millay")</f>
        <v>Uvi_Wig_Spell_DintBDOR_Millay</v>
      </c>
      <c r="C137" s="12" t="str">
        <f>IFERROR(__xludf.DUMMYFUNCTION("IF($B137="""","""",SUBSTITUTE(SUBSTITUTE(SUBSTITUTE(SUBSTITUTE(INDEX(Hairstyles!$A:$A,MATCH($B137,Hairstyles!$F:$F,0)),"" "",""""),""'"",""""),""("",""""),"")"","""")&amp;""\""&amp;INDEX(SPLIT($A$2,""_""),1)&amp;""\""&amp;INDEX(SPLIT($A$2,""_""),2)&amp;""\""&amp;SUBSTITUTE(SUBST"&amp;"ITUTE(SUBSTITUTE(SUBSTITUTE(SUBSTITUTE(INDEX(Hairstyles!$C:$C,MATCH($B137,Hairstyles!$F:$F,0)),"" "",""""),""'"",""""),""("",""""),"")"",""""),""-"",""_"")&amp;""_""&amp;$A$2)"),"DintBDORHair\Human\Female\DintBDOR_Millay_Human_Female")</f>
        <v>DintBDORHair\Human\Female\DintBDOR_Millay_Human_Female</v>
      </c>
      <c r="D137" s="12" t="str">
        <f t="shared" si="1"/>
        <v>Uvi_Wig_Spell_DintBDOR_Millay,DintBDORHair\Human\Female\DintBDOR_Millay_Human_Female</v>
      </c>
    </row>
    <row r="138">
      <c r="B138" s="12" t="str">
        <f>IFERROR(__xludf.DUMMYFUNCTION("""COMPUTED_VALUE"""),"Uvi_Wig_Spell_DintBDOR_Mivileya")</f>
        <v>Uvi_Wig_Spell_DintBDOR_Mivileya</v>
      </c>
      <c r="C138" s="12" t="str">
        <f>IFERROR(__xludf.DUMMYFUNCTION("IF($B138="""","""",SUBSTITUTE(SUBSTITUTE(SUBSTITUTE(SUBSTITUTE(INDEX(Hairstyles!$A:$A,MATCH($B138,Hairstyles!$F:$F,0)),"" "",""""),""'"",""""),""("",""""),"")"","""")&amp;""\""&amp;INDEX(SPLIT($A$2,""_""),1)&amp;""\""&amp;INDEX(SPLIT($A$2,""_""),2)&amp;""\""&amp;SUBSTITUTE(SUBST"&amp;"ITUTE(SUBSTITUTE(SUBSTITUTE(SUBSTITUTE(INDEX(Hairstyles!$C:$C,MATCH($B138,Hairstyles!$F:$F,0)),"" "",""""),""'"",""""),""("",""""),"")"",""""),""-"",""_"")&amp;""_""&amp;$A$2)"),"DintBDORHair\Human\Female\DintBDOR_Mivileya_Human_Female")</f>
        <v>DintBDORHair\Human\Female\DintBDOR_Mivileya_Human_Female</v>
      </c>
      <c r="D138" s="12" t="str">
        <f t="shared" si="1"/>
        <v>Uvi_Wig_Spell_DintBDOR_Mivileya,DintBDORHair\Human\Female\DintBDOR_Mivileya_Human_Female</v>
      </c>
    </row>
    <row r="139">
      <c r="B139" s="12" t="str">
        <f>IFERROR(__xludf.DUMMYFUNCTION("""COMPUTED_VALUE"""),"Uvi_Wig_Spell_DintBDOR_Mowol")</f>
        <v>Uvi_Wig_Spell_DintBDOR_Mowol</v>
      </c>
      <c r="C139" s="12" t="str">
        <f>IFERROR(__xludf.DUMMYFUNCTION("IF($B139="""","""",SUBSTITUTE(SUBSTITUTE(SUBSTITUTE(SUBSTITUTE(INDEX(Hairstyles!$A:$A,MATCH($B139,Hairstyles!$F:$F,0)),"" "",""""),""'"",""""),""("",""""),"")"","""")&amp;""\""&amp;INDEX(SPLIT($A$2,""_""),1)&amp;""\""&amp;INDEX(SPLIT($A$2,""_""),2)&amp;""\""&amp;SUBSTITUTE(SUBST"&amp;"ITUTE(SUBSTITUTE(SUBSTITUTE(SUBSTITUTE(INDEX(Hairstyles!$C:$C,MATCH($B139,Hairstyles!$F:$F,0)),"" "",""""),""'"",""""),""("",""""),"")"",""""),""-"",""_"")&amp;""_""&amp;$A$2)"),"DintBDORHair\Human\Female\DintBDOR_Mowol_Human_Female")</f>
        <v>DintBDORHair\Human\Female\DintBDOR_Mowol_Human_Female</v>
      </c>
      <c r="D139" s="12" t="str">
        <f t="shared" si="1"/>
        <v>Uvi_Wig_Spell_DintBDOR_Mowol,DintBDORHair\Human\Female\DintBDOR_Mowol_Human_Female</v>
      </c>
    </row>
    <row r="140">
      <c r="B140" s="12" t="str">
        <f>IFERROR(__xludf.DUMMYFUNCTION("""COMPUTED_VALUE"""),"Uvi_Wig_Spell_DintBDOR_Myriad")</f>
        <v>Uvi_Wig_Spell_DintBDOR_Myriad</v>
      </c>
      <c r="C140" s="12" t="str">
        <f>IFERROR(__xludf.DUMMYFUNCTION("IF($B140="""","""",SUBSTITUTE(SUBSTITUTE(SUBSTITUTE(SUBSTITUTE(INDEX(Hairstyles!$A:$A,MATCH($B140,Hairstyles!$F:$F,0)),"" "",""""),""'"",""""),""("",""""),"")"","""")&amp;""\""&amp;INDEX(SPLIT($A$2,""_""),1)&amp;""\""&amp;INDEX(SPLIT($A$2,""_""),2)&amp;""\""&amp;SUBSTITUTE(SUBST"&amp;"ITUTE(SUBSTITUTE(SUBSTITUTE(SUBSTITUTE(INDEX(Hairstyles!$C:$C,MATCH($B140,Hairstyles!$F:$F,0)),"" "",""""),""'"",""""),""("",""""),"")"",""""),""-"",""_"")&amp;""_""&amp;$A$2)"),"DintBDORHair\Human\Female\DintBDOR_Myriad_Human_Female")</f>
        <v>DintBDORHair\Human\Female\DintBDOR_Myriad_Human_Female</v>
      </c>
      <c r="D140" s="12" t="str">
        <f t="shared" si="1"/>
        <v>Uvi_Wig_Spell_DintBDOR_Myriad,DintBDORHair\Human\Female\DintBDOR_Myriad_Human_Female</v>
      </c>
    </row>
    <row r="141">
      <c r="B141" s="12" t="str">
        <f>IFERROR(__xludf.DUMMYFUNCTION("""COMPUTED_VALUE"""),"Uvi_Wig_Spell_DintBDOR_Naniri")</f>
        <v>Uvi_Wig_Spell_DintBDOR_Naniri</v>
      </c>
      <c r="C141" s="12" t="str">
        <f>IFERROR(__xludf.DUMMYFUNCTION("IF($B141="""","""",SUBSTITUTE(SUBSTITUTE(SUBSTITUTE(SUBSTITUTE(INDEX(Hairstyles!$A:$A,MATCH($B141,Hairstyles!$F:$F,0)),"" "",""""),""'"",""""),""("",""""),"")"","""")&amp;""\""&amp;INDEX(SPLIT($A$2,""_""),1)&amp;""\""&amp;INDEX(SPLIT($A$2,""_""),2)&amp;""\""&amp;SUBSTITUTE(SUBST"&amp;"ITUTE(SUBSTITUTE(SUBSTITUTE(SUBSTITUTE(INDEX(Hairstyles!$C:$C,MATCH($B141,Hairstyles!$F:$F,0)),"" "",""""),""'"",""""),""("",""""),"")"",""""),""-"",""_"")&amp;""_""&amp;$A$2)"),"DintBDORHair\Human\Female\DintBDOR_Naniri_Human_Female")</f>
        <v>DintBDORHair\Human\Female\DintBDOR_Naniri_Human_Female</v>
      </c>
      <c r="D141" s="12" t="str">
        <f t="shared" si="1"/>
        <v>Uvi_Wig_Spell_DintBDOR_Naniri,DintBDORHair\Human\Female\DintBDOR_Naniri_Human_Female</v>
      </c>
    </row>
    <row r="142">
      <c r="B142" s="12" t="str">
        <f>IFERROR(__xludf.DUMMYFUNCTION("""COMPUTED_VALUE"""),"Uvi_Wig_Spell_DintBDOR_Nerane")</f>
        <v>Uvi_Wig_Spell_DintBDOR_Nerane</v>
      </c>
      <c r="C142" s="12" t="str">
        <f>IFERROR(__xludf.DUMMYFUNCTION("IF($B142="""","""",SUBSTITUTE(SUBSTITUTE(SUBSTITUTE(SUBSTITUTE(INDEX(Hairstyles!$A:$A,MATCH($B142,Hairstyles!$F:$F,0)),"" "",""""),""'"",""""),""("",""""),"")"","""")&amp;""\""&amp;INDEX(SPLIT($A$2,""_""),1)&amp;""\""&amp;INDEX(SPLIT($A$2,""_""),2)&amp;""\""&amp;SUBSTITUTE(SUBST"&amp;"ITUTE(SUBSTITUTE(SUBSTITUTE(SUBSTITUTE(INDEX(Hairstyles!$C:$C,MATCH($B142,Hairstyles!$F:$F,0)),"" "",""""),""'"",""""),""("",""""),"")"",""""),""-"",""_"")&amp;""_""&amp;$A$2)"),"DintBDORHair\Human\Female\DintBDOR_Nerane_Human_Female")</f>
        <v>DintBDORHair\Human\Female\DintBDOR_Nerane_Human_Female</v>
      </c>
      <c r="D142" s="12" t="str">
        <f t="shared" si="1"/>
        <v>Uvi_Wig_Spell_DintBDOR_Nerane,DintBDORHair\Human\Female\DintBDOR_Nerane_Human_Female</v>
      </c>
    </row>
    <row r="143">
      <c r="B143" s="12" t="str">
        <f>IFERROR(__xludf.DUMMYFUNCTION("""COMPUTED_VALUE"""),"Uvi_Wig_Spell_DintBDOR_Nerra")</f>
        <v>Uvi_Wig_Spell_DintBDOR_Nerra</v>
      </c>
      <c r="C143" s="12" t="str">
        <f>IFERROR(__xludf.DUMMYFUNCTION("IF($B143="""","""",SUBSTITUTE(SUBSTITUTE(SUBSTITUTE(SUBSTITUTE(INDEX(Hairstyles!$A:$A,MATCH($B143,Hairstyles!$F:$F,0)),"" "",""""),""'"",""""),""("",""""),"")"","""")&amp;""\""&amp;INDEX(SPLIT($A$2,""_""),1)&amp;""\""&amp;INDEX(SPLIT($A$2,""_""),2)&amp;""\""&amp;SUBSTITUTE(SUBST"&amp;"ITUTE(SUBSTITUTE(SUBSTITUTE(SUBSTITUTE(INDEX(Hairstyles!$C:$C,MATCH($B143,Hairstyles!$F:$F,0)),"" "",""""),""'"",""""),""("",""""),"")"",""""),""-"",""_"")&amp;""_""&amp;$A$2)"),"DintBDORHair\Human\Female\DintBDOR_Nerra_Human_Female")</f>
        <v>DintBDORHair\Human\Female\DintBDOR_Nerra_Human_Female</v>
      </c>
      <c r="D143" s="12" t="str">
        <f t="shared" si="1"/>
        <v>Uvi_Wig_Spell_DintBDOR_Nerra,DintBDORHair\Human\Female\DintBDOR_Nerra_Human_Female</v>
      </c>
    </row>
    <row r="144">
      <c r="B144" s="12" t="str">
        <f>IFERROR(__xludf.DUMMYFUNCTION("""COMPUTED_VALUE"""),"Uvi_Wig_Spell_DintBDOR_Norren")</f>
        <v>Uvi_Wig_Spell_DintBDOR_Norren</v>
      </c>
      <c r="C144" s="12" t="str">
        <f>IFERROR(__xludf.DUMMYFUNCTION("IF($B144="""","""",SUBSTITUTE(SUBSTITUTE(SUBSTITUTE(SUBSTITUTE(INDEX(Hairstyles!$A:$A,MATCH($B144,Hairstyles!$F:$F,0)),"" "",""""),""'"",""""),""("",""""),"")"","""")&amp;""\""&amp;INDEX(SPLIT($A$2,""_""),1)&amp;""\""&amp;INDEX(SPLIT($A$2,""_""),2)&amp;""\""&amp;SUBSTITUTE(SUBST"&amp;"ITUTE(SUBSTITUTE(SUBSTITUTE(SUBSTITUTE(INDEX(Hairstyles!$C:$C,MATCH($B144,Hairstyles!$F:$F,0)),"" "",""""),""'"",""""),""("",""""),"")"",""""),""-"",""_"")&amp;""_""&amp;$A$2)"),"DintBDORHair\Human\Female\DintBDOR_Norren_Human_Female")</f>
        <v>DintBDORHair\Human\Female\DintBDOR_Norren_Human_Female</v>
      </c>
      <c r="D144" s="12" t="str">
        <f t="shared" si="1"/>
        <v>Uvi_Wig_Spell_DintBDOR_Norren,DintBDORHair\Human\Female\DintBDOR_Norren_Human_Female</v>
      </c>
    </row>
    <row r="145">
      <c r="B145" s="12" t="str">
        <f>IFERROR(__xludf.DUMMYFUNCTION("""COMPUTED_VALUE"""),"Uvi_Wig_Spell_DintBDOR_Nyx")</f>
        <v>Uvi_Wig_Spell_DintBDOR_Nyx</v>
      </c>
      <c r="C145" s="12" t="str">
        <f>IFERROR(__xludf.DUMMYFUNCTION("IF($B145="""","""",SUBSTITUTE(SUBSTITUTE(SUBSTITUTE(SUBSTITUTE(INDEX(Hairstyles!$A:$A,MATCH($B145,Hairstyles!$F:$F,0)),"" "",""""),""'"",""""),""("",""""),"")"","""")&amp;""\""&amp;INDEX(SPLIT($A$2,""_""),1)&amp;""\""&amp;INDEX(SPLIT($A$2,""_""),2)&amp;""\""&amp;SUBSTITUTE(SUBST"&amp;"ITUTE(SUBSTITUTE(SUBSTITUTE(SUBSTITUTE(INDEX(Hairstyles!$C:$C,MATCH($B145,Hairstyles!$F:$F,0)),"" "",""""),""'"",""""),""("",""""),"")"",""""),""-"",""_"")&amp;""_""&amp;$A$2)"),"DintBDORHair\Human\Female\DintBDOR_Nyx_Human_Female")</f>
        <v>DintBDORHair\Human\Female\DintBDOR_Nyx_Human_Female</v>
      </c>
      <c r="D145" s="12" t="str">
        <f t="shared" si="1"/>
        <v>Uvi_Wig_Spell_DintBDOR_Nyx,DintBDORHair\Human\Female\DintBDOR_Nyx_Human_Female</v>
      </c>
    </row>
    <row r="146">
      <c r="B146" s="12" t="str">
        <f>IFERROR(__xludf.DUMMYFUNCTION("""COMPUTED_VALUE"""),"Uvi_Wig_Spell_DintBDOR_Ollivfiera")</f>
        <v>Uvi_Wig_Spell_DintBDOR_Ollivfiera</v>
      </c>
      <c r="C146" s="12" t="str">
        <f>IFERROR(__xludf.DUMMYFUNCTION("IF($B146="""","""",SUBSTITUTE(SUBSTITUTE(SUBSTITUTE(SUBSTITUTE(INDEX(Hairstyles!$A:$A,MATCH($B146,Hairstyles!$F:$F,0)),"" "",""""),""'"",""""),""("",""""),"")"","""")&amp;""\""&amp;INDEX(SPLIT($A$2,""_""),1)&amp;""\""&amp;INDEX(SPLIT($A$2,""_""),2)&amp;""\""&amp;SUBSTITUTE(SUBST"&amp;"ITUTE(SUBSTITUTE(SUBSTITUTE(SUBSTITUTE(INDEX(Hairstyles!$C:$C,MATCH($B146,Hairstyles!$F:$F,0)),"" "",""""),""'"",""""),""("",""""),"")"",""""),""-"",""_"")&amp;""_""&amp;$A$2)"),"DintBDORHair\Human\Female\DintBDOR_Ollivfiera_Human_Female")</f>
        <v>DintBDORHair\Human\Female\DintBDOR_Ollivfiera_Human_Female</v>
      </c>
      <c r="D146" s="12" t="str">
        <f t="shared" si="1"/>
        <v>Uvi_Wig_Spell_DintBDOR_Ollivfiera,DintBDORHair\Human\Female\DintBDOR_Ollivfiera_Human_Female</v>
      </c>
    </row>
    <row r="147">
      <c r="B147" s="12" t="str">
        <f>IFERROR(__xludf.DUMMYFUNCTION("""COMPUTED_VALUE"""),"Uvi_Wig_Spell_DintBDOR_Palnm")</f>
        <v>Uvi_Wig_Spell_DintBDOR_Palnm</v>
      </c>
      <c r="C147" s="12" t="str">
        <f>IFERROR(__xludf.DUMMYFUNCTION("IF($B147="""","""",SUBSTITUTE(SUBSTITUTE(SUBSTITUTE(SUBSTITUTE(INDEX(Hairstyles!$A:$A,MATCH($B147,Hairstyles!$F:$F,0)),"" "",""""),""'"",""""),""("",""""),"")"","""")&amp;""\""&amp;INDEX(SPLIT($A$2,""_""),1)&amp;""\""&amp;INDEX(SPLIT($A$2,""_""),2)&amp;""\""&amp;SUBSTITUTE(SUBST"&amp;"ITUTE(SUBSTITUTE(SUBSTITUTE(SUBSTITUTE(INDEX(Hairstyles!$C:$C,MATCH($B147,Hairstyles!$F:$F,0)),"" "",""""),""'"",""""),""("",""""),"")"",""""),""-"",""_"")&amp;""_""&amp;$A$2)"),"DintBDORHair\Human\Female\DintBDOR_Palnm_Human_Female")</f>
        <v>DintBDORHair\Human\Female\DintBDOR_Palnm_Human_Female</v>
      </c>
      <c r="D147" s="12" t="str">
        <f t="shared" si="1"/>
        <v>Uvi_Wig_Spell_DintBDOR_Palnm,DintBDORHair\Human\Female\DintBDOR_Palnm_Human_Female</v>
      </c>
    </row>
    <row r="148">
      <c r="B148" s="12" t="str">
        <f>IFERROR(__xludf.DUMMYFUNCTION("""COMPUTED_VALUE"""),"Uvi_Wig_Spell_DintBDOR_Paramella")</f>
        <v>Uvi_Wig_Spell_DintBDOR_Paramella</v>
      </c>
      <c r="C148" s="12" t="str">
        <f>IFERROR(__xludf.DUMMYFUNCTION("IF($B148="""","""",SUBSTITUTE(SUBSTITUTE(SUBSTITUTE(SUBSTITUTE(INDEX(Hairstyles!$A:$A,MATCH($B148,Hairstyles!$F:$F,0)),"" "",""""),""'"",""""),""("",""""),"")"","""")&amp;""\""&amp;INDEX(SPLIT($A$2,""_""),1)&amp;""\""&amp;INDEX(SPLIT($A$2,""_""),2)&amp;""\""&amp;SUBSTITUTE(SUBST"&amp;"ITUTE(SUBSTITUTE(SUBSTITUTE(SUBSTITUTE(INDEX(Hairstyles!$C:$C,MATCH($B148,Hairstyles!$F:$F,0)),"" "",""""),""'"",""""),""("",""""),"")"",""""),""-"",""_"")&amp;""_""&amp;$A$2)"),"DintBDORHair\Human\Female\DintBDOR_Paramella_Human_Female")</f>
        <v>DintBDORHair\Human\Female\DintBDOR_Paramella_Human_Female</v>
      </c>
      <c r="D148" s="12" t="str">
        <f t="shared" si="1"/>
        <v>Uvi_Wig_Spell_DintBDOR_Paramella,DintBDORHair\Human\Female\DintBDOR_Paramella_Human_Female</v>
      </c>
    </row>
    <row r="149">
      <c r="B149" s="12" t="str">
        <f>IFERROR(__xludf.DUMMYFUNCTION("""COMPUTED_VALUE"""),"Uvi_Wig_Spell_DintBDOR_Pimpy")</f>
        <v>Uvi_Wig_Spell_DintBDOR_Pimpy</v>
      </c>
      <c r="C149" s="12" t="str">
        <f>IFERROR(__xludf.DUMMYFUNCTION("IF($B149="""","""",SUBSTITUTE(SUBSTITUTE(SUBSTITUTE(SUBSTITUTE(INDEX(Hairstyles!$A:$A,MATCH($B149,Hairstyles!$F:$F,0)),"" "",""""),""'"",""""),""("",""""),"")"","""")&amp;""\""&amp;INDEX(SPLIT($A$2,""_""),1)&amp;""\""&amp;INDEX(SPLIT($A$2,""_""),2)&amp;""\""&amp;SUBSTITUTE(SUBST"&amp;"ITUTE(SUBSTITUTE(SUBSTITUTE(SUBSTITUTE(INDEX(Hairstyles!$C:$C,MATCH($B149,Hairstyles!$F:$F,0)),"" "",""""),""'"",""""),""("",""""),"")"",""""),""-"",""_"")&amp;""_""&amp;$A$2)"),"DintBDORHair\Human\Female\DintBDOR_Pimpy_Human_Female")</f>
        <v>DintBDORHair\Human\Female\DintBDOR_Pimpy_Human_Female</v>
      </c>
      <c r="D149" s="12" t="str">
        <f t="shared" si="1"/>
        <v>Uvi_Wig_Spell_DintBDOR_Pimpy,DintBDORHair\Human\Female\DintBDOR_Pimpy_Human_Female</v>
      </c>
    </row>
    <row r="150">
      <c r="B150" s="12" t="str">
        <f>IFERROR(__xludf.DUMMYFUNCTION("""COMPUTED_VALUE"""),"Uvi_Wig_Spell_DintBDOR_Plennie")</f>
        <v>Uvi_Wig_Spell_DintBDOR_Plennie</v>
      </c>
      <c r="C150" s="12" t="str">
        <f>IFERROR(__xludf.DUMMYFUNCTION("IF($B150="""","""",SUBSTITUTE(SUBSTITUTE(SUBSTITUTE(SUBSTITUTE(INDEX(Hairstyles!$A:$A,MATCH($B150,Hairstyles!$F:$F,0)),"" "",""""),""'"",""""),""("",""""),"")"","""")&amp;""\""&amp;INDEX(SPLIT($A$2,""_""),1)&amp;""\""&amp;INDEX(SPLIT($A$2,""_""),2)&amp;""\""&amp;SUBSTITUTE(SUBST"&amp;"ITUTE(SUBSTITUTE(SUBSTITUTE(SUBSTITUTE(INDEX(Hairstyles!$C:$C,MATCH($B150,Hairstyles!$F:$F,0)),"" "",""""),""'"",""""),""("",""""),"")"",""""),""-"",""_"")&amp;""_""&amp;$A$2)"),"DintBDORHair\Human\Female\DintBDOR_Plennie_Human_Female")</f>
        <v>DintBDORHair\Human\Female\DintBDOR_Plennie_Human_Female</v>
      </c>
      <c r="D150" s="12" t="str">
        <f t="shared" si="1"/>
        <v>Uvi_Wig_Spell_DintBDOR_Plennie,DintBDORHair\Human\Female\DintBDOR_Plennie_Human_Female</v>
      </c>
    </row>
    <row r="151">
      <c r="B151" s="12" t="str">
        <f>IFERROR(__xludf.DUMMYFUNCTION("""COMPUTED_VALUE"""),"Uvi_Wig_Spell_DintBDOR_Rhine")</f>
        <v>Uvi_Wig_Spell_DintBDOR_Rhine</v>
      </c>
      <c r="C151" s="12" t="str">
        <f>IFERROR(__xludf.DUMMYFUNCTION("IF($B151="""","""",SUBSTITUTE(SUBSTITUTE(SUBSTITUTE(SUBSTITUTE(INDEX(Hairstyles!$A:$A,MATCH($B151,Hairstyles!$F:$F,0)),"" "",""""),""'"",""""),""("",""""),"")"","""")&amp;""\""&amp;INDEX(SPLIT($A$2,""_""),1)&amp;""\""&amp;INDEX(SPLIT($A$2,""_""),2)&amp;""\""&amp;SUBSTITUTE(SUBST"&amp;"ITUTE(SUBSTITUTE(SUBSTITUTE(SUBSTITUTE(INDEX(Hairstyles!$C:$C,MATCH($B151,Hairstyles!$F:$F,0)),"" "",""""),""'"",""""),""("",""""),"")"",""""),""-"",""_"")&amp;""_""&amp;$A$2)"),"DintBDORHair\Human\Female\DintBDOR_Rhine_Human_Female")</f>
        <v>DintBDORHair\Human\Female\DintBDOR_Rhine_Human_Female</v>
      </c>
      <c r="D151" s="12" t="str">
        <f t="shared" si="1"/>
        <v>Uvi_Wig_Spell_DintBDOR_Rhine,DintBDORHair\Human\Female\DintBDOR_Rhine_Human_Female</v>
      </c>
    </row>
    <row r="152">
      <c r="B152" s="12" t="str">
        <f>IFERROR(__xludf.DUMMYFUNCTION("""COMPUTED_VALUE"""),"Uvi_Wig_Spell_DintBDOR_Rosally")</f>
        <v>Uvi_Wig_Spell_DintBDOR_Rosally</v>
      </c>
      <c r="C152" s="12" t="str">
        <f>IFERROR(__xludf.DUMMYFUNCTION("IF($B152="""","""",SUBSTITUTE(SUBSTITUTE(SUBSTITUTE(SUBSTITUTE(INDEX(Hairstyles!$A:$A,MATCH($B152,Hairstyles!$F:$F,0)),"" "",""""),""'"",""""),""("",""""),"")"","""")&amp;""\""&amp;INDEX(SPLIT($A$2,""_""),1)&amp;""\""&amp;INDEX(SPLIT($A$2,""_""),2)&amp;""\""&amp;SUBSTITUTE(SUBST"&amp;"ITUTE(SUBSTITUTE(SUBSTITUTE(SUBSTITUTE(INDEX(Hairstyles!$C:$C,MATCH($B152,Hairstyles!$F:$F,0)),"" "",""""),""'"",""""),""("",""""),"")"",""""),""-"",""_"")&amp;""_""&amp;$A$2)"),"DintBDORHair\Human\Female\DintBDOR_Rosally_Human_Female")</f>
        <v>DintBDORHair\Human\Female\DintBDOR_Rosally_Human_Female</v>
      </c>
      <c r="D152" s="12" t="str">
        <f t="shared" si="1"/>
        <v>Uvi_Wig_Spell_DintBDOR_Rosally,DintBDORHair\Human\Female\DintBDOR_Rosally_Human_Female</v>
      </c>
    </row>
    <row r="153">
      <c r="B153" s="12" t="str">
        <f>IFERROR(__xludf.DUMMYFUNCTION("""COMPUTED_VALUE"""),"Uvi_Wig_Spell_DintBDOR_Roxy")</f>
        <v>Uvi_Wig_Spell_DintBDOR_Roxy</v>
      </c>
      <c r="C153" s="12" t="str">
        <f>IFERROR(__xludf.DUMMYFUNCTION("IF($B153="""","""",SUBSTITUTE(SUBSTITUTE(SUBSTITUTE(SUBSTITUTE(INDEX(Hairstyles!$A:$A,MATCH($B153,Hairstyles!$F:$F,0)),"" "",""""),""'"",""""),""("",""""),"")"","""")&amp;""\""&amp;INDEX(SPLIT($A$2,""_""),1)&amp;""\""&amp;INDEX(SPLIT($A$2,""_""),2)&amp;""\""&amp;SUBSTITUTE(SUBST"&amp;"ITUTE(SUBSTITUTE(SUBSTITUTE(SUBSTITUTE(INDEX(Hairstyles!$C:$C,MATCH($B153,Hairstyles!$F:$F,0)),"" "",""""),""'"",""""),""("",""""),"")"",""""),""-"",""_"")&amp;""_""&amp;$A$2)"),"DintBDORHair\Human\Female\DintBDOR_Roxy_Human_Female")</f>
        <v>DintBDORHair\Human\Female\DintBDOR_Roxy_Human_Female</v>
      </c>
      <c r="D153" s="12" t="str">
        <f t="shared" si="1"/>
        <v>Uvi_Wig_Spell_DintBDOR_Roxy,DintBDORHair\Human\Female\DintBDOR_Roxy_Human_Female</v>
      </c>
    </row>
    <row r="154">
      <c r="B154" s="12" t="str">
        <f>IFERROR(__xludf.DUMMYFUNCTION("""COMPUTED_VALUE"""),"Uvi_Wig_Spell_DintBDOR_Saphira")</f>
        <v>Uvi_Wig_Spell_DintBDOR_Saphira</v>
      </c>
      <c r="C154" s="12" t="str">
        <f>IFERROR(__xludf.DUMMYFUNCTION("IF($B154="""","""",SUBSTITUTE(SUBSTITUTE(SUBSTITUTE(SUBSTITUTE(INDEX(Hairstyles!$A:$A,MATCH($B154,Hairstyles!$F:$F,0)),"" "",""""),""'"",""""),""("",""""),"")"","""")&amp;""\""&amp;INDEX(SPLIT($A$2,""_""),1)&amp;""\""&amp;INDEX(SPLIT($A$2,""_""),2)&amp;""\""&amp;SUBSTITUTE(SUBST"&amp;"ITUTE(SUBSTITUTE(SUBSTITUTE(SUBSTITUTE(INDEX(Hairstyles!$C:$C,MATCH($B154,Hairstyles!$F:$F,0)),"" "",""""),""'"",""""),""("",""""),"")"",""""),""-"",""_"")&amp;""_""&amp;$A$2)"),"DintBDORHair\Human\Female\DintBDOR_Saphira_Human_Female")</f>
        <v>DintBDORHair\Human\Female\DintBDOR_Saphira_Human_Female</v>
      </c>
      <c r="D154" s="12" t="str">
        <f t="shared" si="1"/>
        <v>Uvi_Wig_Spell_DintBDOR_Saphira,DintBDORHair\Human\Female\DintBDOR_Saphira_Human_Female</v>
      </c>
    </row>
    <row r="155">
      <c r="B155" s="12" t="str">
        <f>IFERROR(__xludf.DUMMYFUNCTION("""COMPUTED_VALUE"""),"Uvi_Wig_Spell_DintBDOR_Sharwin")</f>
        <v>Uvi_Wig_Spell_DintBDOR_Sharwin</v>
      </c>
      <c r="C155" s="12" t="str">
        <f>IFERROR(__xludf.DUMMYFUNCTION("IF($B155="""","""",SUBSTITUTE(SUBSTITUTE(SUBSTITUTE(SUBSTITUTE(INDEX(Hairstyles!$A:$A,MATCH($B155,Hairstyles!$F:$F,0)),"" "",""""),""'"",""""),""("",""""),"")"","""")&amp;""\""&amp;INDEX(SPLIT($A$2,""_""),1)&amp;""\""&amp;INDEX(SPLIT($A$2,""_""),2)&amp;""\""&amp;SUBSTITUTE(SUBST"&amp;"ITUTE(SUBSTITUTE(SUBSTITUTE(SUBSTITUTE(INDEX(Hairstyles!$C:$C,MATCH($B155,Hairstyles!$F:$F,0)),"" "",""""),""'"",""""),""("",""""),"")"",""""),""-"",""_"")&amp;""_""&amp;$A$2)"),"DintBDORHair\Human\Female\DintBDOR_Sharwin_Human_Female")</f>
        <v>DintBDORHair\Human\Female\DintBDOR_Sharwin_Human_Female</v>
      </c>
      <c r="D155" s="12" t="str">
        <f t="shared" si="1"/>
        <v>Uvi_Wig_Spell_DintBDOR_Sharwin,DintBDORHair\Human\Female\DintBDOR_Sharwin_Human_Female</v>
      </c>
    </row>
    <row r="156">
      <c r="B156" s="12" t="str">
        <f>IFERROR(__xludf.DUMMYFUNCTION("""COMPUTED_VALUE"""),"Uvi_Wig_Spell_DintBDOR_Shelvey")</f>
        <v>Uvi_Wig_Spell_DintBDOR_Shelvey</v>
      </c>
      <c r="C156" s="12" t="str">
        <f>IFERROR(__xludf.DUMMYFUNCTION("IF($B156="""","""",SUBSTITUTE(SUBSTITUTE(SUBSTITUTE(SUBSTITUTE(INDEX(Hairstyles!$A:$A,MATCH($B156,Hairstyles!$F:$F,0)),"" "",""""),""'"",""""),""("",""""),"")"","""")&amp;""\""&amp;INDEX(SPLIT($A$2,""_""),1)&amp;""\""&amp;INDEX(SPLIT($A$2,""_""),2)&amp;""\""&amp;SUBSTITUTE(SUBST"&amp;"ITUTE(SUBSTITUTE(SUBSTITUTE(SUBSTITUTE(INDEX(Hairstyles!$C:$C,MATCH($B156,Hairstyles!$F:$F,0)),"" "",""""),""'"",""""),""("",""""),"")"",""""),""-"",""_"")&amp;""_""&amp;$A$2)"),"DintBDORHair\Human\Female\DintBDOR_Shelvey_Human_Female")</f>
        <v>DintBDORHair\Human\Female\DintBDOR_Shelvey_Human_Female</v>
      </c>
      <c r="D156" s="12" t="str">
        <f t="shared" si="1"/>
        <v>Uvi_Wig_Spell_DintBDOR_Shelvey,DintBDORHair\Human\Female\DintBDOR_Shelvey_Human_Female</v>
      </c>
    </row>
    <row r="157">
      <c r="B157" s="12" t="str">
        <f>IFERROR(__xludf.DUMMYFUNCTION("""COMPUTED_VALUE"""),"Uvi_Wig_Spell_DintBDOR_Shounoby")</f>
        <v>Uvi_Wig_Spell_DintBDOR_Shounoby</v>
      </c>
      <c r="C157" s="12" t="str">
        <f>IFERROR(__xludf.DUMMYFUNCTION("IF($B157="""","""",SUBSTITUTE(SUBSTITUTE(SUBSTITUTE(SUBSTITUTE(INDEX(Hairstyles!$A:$A,MATCH($B157,Hairstyles!$F:$F,0)),"" "",""""),""'"",""""),""("",""""),"")"","""")&amp;""\""&amp;INDEX(SPLIT($A$2,""_""),1)&amp;""\""&amp;INDEX(SPLIT($A$2,""_""),2)&amp;""\""&amp;SUBSTITUTE(SUBST"&amp;"ITUTE(SUBSTITUTE(SUBSTITUTE(SUBSTITUTE(INDEX(Hairstyles!$C:$C,MATCH($B157,Hairstyles!$F:$F,0)),"" "",""""),""'"",""""),""("",""""),"")"",""""),""-"",""_"")&amp;""_""&amp;$A$2)"),"DintBDORHair\Human\Female\DintBDOR_Shounoby_Human_Female")</f>
        <v>DintBDORHair\Human\Female\DintBDOR_Shounoby_Human_Female</v>
      </c>
      <c r="D157" s="12" t="str">
        <f t="shared" si="1"/>
        <v>Uvi_Wig_Spell_DintBDOR_Shounoby,DintBDORHair\Human\Female\DintBDOR_Shounoby_Human_Female</v>
      </c>
    </row>
    <row r="158">
      <c r="B158" s="12" t="str">
        <f>IFERROR(__xludf.DUMMYFUNCTION("""COMPUTED_VALUE"""),"Uvi_Wig_Spell_DintBDOR_Skaady")</f>
        <v>Uvi_Wig_Spell_DintBDOR_Skaady</v>
      </c>
      <c r="C158" s="12" t="str">
        <f>IFERROR(__xludf.DUMMYFUNCTION("IF($B158="""","""",SUBSTITUTE(SUBSTITUTE(SUBSTITUTE(SUBSTITUTE(INDEX(Hairstyles!$A:$A,MATCH($B158,Hairstyles!$F:$F,0)),"" "",""""),""'"",""""),""("",""""),"")"","""")&amp;""\""&amp;INDEX(SPLIT($A$2,""_""),1)&amp;""\""&amp;INDEX(SPLIT($A$2,""_""),2)&amp;""\""&amp;SUBSTITUTE(SUBST"&amp;"ITUTE(SUBSTITUTE(SUBSTITUTE(SUBSTITUTE(INDEX(Hairstyles!$C:$C,MATCH($B158,Hairstyles!$F:$F,0)),"" "",""""),""'"",""""),""("",""""),"")"",""""),""-"",""_"")&amp;""_""&amp;$A$2)"),"DintBDORHair\Human\Female\DintBDOR_Skaady_Human_Female")</f>
        <v>DintBDORHair\Human\Female\DintBDOR_Skaady_Human_Female</v>
      </c>
      <c r="D158" s="12" t="str">
        <f t="shared" si="1"/>
        <v>Uvi_Wig_Spell_DintBDOR_Skaady,DintBDORHair\Human\Female\DintBDOR_Skaady_Human_Female</v>
      </c>
    </row>
    <row r="159">
      <c r="B159" s="12" t="str">
        <f>IFERROR(__xludf.DUMMYFUNCTION("""COMPUTED_VALUE"""),"Uvi_Wig_Spell_DintBDOR_Smeare")</f>
        <v>Uvi_Wig_Spell_DintBDOR_Smeare</v>
      </c>
      <c r="C159" s="12" t="str">
        <f>IFERROR(__xludf.DUMMYFUNCTION("IF($B159="""","""",SUBSTITUTE(SUBSTITUTE(SUBSTITUTE(SUBSTITUTE(INDEX(Hairstyles!$A:$A,MATCH($B159,Hairstyles!$F:$F,0)),"" "",""""),""'"",""""),""("",""""),"")"","""")&amp;""\""&amp;INDEX(SPLIT($A$2,""_""),1)&amp;""\""&amp;INDEX(SPLIT($A$2,""_""),2)&amp;""\""&amp;SUBSTITUTE(SUBST"&amp;"ITUTE(SUBSTITUTE(SUBSTITUTE(SUBSTITUTE(INDEX(Hairstyles!$C:$C,MATCH($B159,Hairstyles!$F:$F,0)),"" "",""""),""'"",""""),""("",""""),"")"",""""),""-"",""_"")&amp;""_""&amp;$A$2)"),"DintBDORHair\Human\Female\DintBDOR_Smeare_Human_Female")</f>
        <v>DintBDORHair\Human\Female\DintBDOR_Smeare_Human_Female</v>
      </c>
      <c r="D159" s="12" t="str">
        <f t="shared" si="1"/>
        <v>Uvi_Wig_Spell_DintBDOR_Smeare,DintBDORHair\Human\Female\DintBDOR_Smeare_Human_Female</v>
      </c>
    </row>
    <row r="160">
      <c r="B160" s="12" t="str">
        <f>IFERROR(__xludf.DUMMYFUNCTION("""COMPUTED_VALUE"""),"Uvi_Wig_Spell_DintBDOR_Smyx")</f>
        <v>Uvi_Wig_Spell_DintBDOR_Smyx</v>
      </c>
      <c r="C160" s="12" t="str">
        <f>IFERROR(__xludf.DUMMYFUNCTION("IF($B160="""","""",SUBSTITUTE(SUBSTITUTE(SUBSTITUTE(SUBSTITUTE(INDEX(Hairstyles!$A:$A,MATCH($B160,Hairstyles!$F:$F,0)),"" "",""""),""'"",""""),""("",""""),"")"","""")&amp;""\""&amp;INDEX(SPLIT($A$2,""_""),1)&amp;""\""&amp;INDEX(SPLIT($A$2,""_""),2)&amp;""\""&amp;SUBSTITUTE(SUBST"&amp;"ITUTE(SUBSTITUTE(SUBSTITUTE(SUBSTITUTE(INDEX(Hairstyles!$C:$C,MATCH($B160,Hairstyles!$F:$F,0)),"" "",""""),""'"",""""),""("",""""),"")"",""""),""-"",""_"")&amp;""_""&amp;$A$2)"),"DintBDORHair\Human\Female\DintBDOR_Smyx_Human_Female")</f>
        <v>DintBDORHair\Human\Female\DintBDOR_Smyx_Human_Female</v>
      </c>
      <c r="D160" s="12" t="str">
        <f t="shared" si="1"/>
        <v>Uvi_Wig_Spell_DintBDOR_Smyx,DintBDORHair\Human\Female\DintBDOR_Smyx_Human_Female</v>
      </c>
    </row>
    <row r="161">
      <c r="B161" s="12" t="str">
        <f>IFERROR(__xludf.DUMMYFUNCTION("""COMPUTED_VALUE"""),"Uvi_Wig_Spell_DintBDOR_Stacy")</f>
        <v>Uvi_Wig_Spell_DintBDOR_Stacy</v>
      </c>
      <c r="C161" s="12" t="str">
        <f>IFERROR(__xludf.DUMMYFUNCTION("IF($B161="""","""",SUBSTITUTE(SUBSTITUTE(SUBSTITUTE(SUBSTITUTE(INDEX(Hairstyles!$A:$A,MATCH($B161,Hairstyles!$F:$F,0)),"" "",""""),""'"",""""),""("",""""),"")"","""")&amp;""\""&amp;INDEX(SPLIT($A$2,""_""),1)&amp;""\""&amp;INDEX(SPLIT($A$2,""_""),2)&amp;""\""&amp;SUBSTITUTE(SUBST"&amp;"ITUTE(SUBSTITUTE(SUBSTITUTE(SUBSTITUTE(INDEX(Hairstyles!$C:$C,MATCH($B161,Hairstyles!$F:$F,0)),"" "",""""),""'"",""""),""("",""""),"")"",""""),""-"",""_"")&amp;""_""&amp;$A$2)"),"DintBDORHair\Human\Female\DintBDOR_Stacy_Human_Female")</f>
        <v>DintBDORHair\Human\Female\DintBDOR_Stacy_Human_Female</v>
      </c>
      <c r="D161" s="12" t="str">
        <f t="shared" si="1"/>
        <v>Uvi_Wig_Spell_DintBDOR_Stacy,DintBDORHair\Human\Female\DintBDOR_Stacy_Human_Female</v>
      </c>
    </row>
    <row r="162">
      <c r="B162" s="12" t="str">
        <f>IFERROR(__xludf.DUMMYFUNCTION("""COMPUTED_VALUE"""),"Uvi_Wig_Spell_DintBDOR_Stafy")</f>
        <v>Uvi_Wig_Spell_DintBDOR_Stafy</v>
      </c>
      <c r="C162" s="12" t="str">
        <f>IFERROR(__xludf.DUMMYFUNCTION("IF($B162="""","""",SUBSTITUTE(SUBSTITUTE(SUBSTITUTE(SUBSTITUTE(INDEX(Hairstyles!$A:$A,MATCH($B162,Hairstyles!$F:$F,0)),"" "",""""),""'"",""""),""("",""""),"")"","""")&amp;""\""&amp;INDEX(SPLIT($A$2,""_""),1)&amp;""\""&amp;INDEX(SPLIT($A$2,""_""),2)&amp;""\""&amp;SUBSTITUTE(SUBST"&amp;"ITUTE(SUBSTITUTE(SUBSTITUTE(SUBSTITUTE(INDEX(Hairstyles!$C:$C,MATCH($B162,Hairstyles!$F:$F,0)),"" "",""""),""'"",""""),""("",""""),"")"",""""),""-"",""_"")&amp;""_""&amp;$A$2)"),"DintBDORHair\Human\Female\DintBDOR_Stafy_Human_Female")</f>
        <v>DintBDORHair\Human\Female\DintBDOR_Stafy_Human_Female</v>
      </c>
      <c r="D162" s="12" t="str">
        <f t="shared" si="1"/>
        <v>Uvi_Wig_Spell_DintBDOR_Stafy,DintBDORHair\Human\Female\DintBDOR_Stafy_Human_Female</v>
      </c>
    </row>
    <row r="163">
      <c r="B163" s="12" t="str">
        <f>IFERROR(__xludf.DUMMYFUNCTION("""COMPUTED_VALUE"""),"Uvi_Wig_Spell_DintBDOR_Stenshi")</f>
        <v>Uvi_Wig_Spell_DintBDOR_Stenshi</v>
      </c>
      <c r="C163" s="12" t="str">
        <f>IFERROR(__xludf.DUMMYFUNCTION("IF($B163="""","""",SUBSTITUTE(SUBSTITUTE(SUBSTITUTE(SUBSTITUTE(INDEX(Hairstyles!$A:$A,MATCH($B163,Hairstyles!$F:$F,0)),"" "",""""),""'"",""""),""("",""""),"")"","""")&amp;""\""&amp;INDEX(SPLIT($A$2,""_""),1)&amp;""\""&amp;INDEX(SPLIT($A$2,""_""),2)&amp;""\""&amp;SUBSTITUTE(SUBST"&amp;"ITUTE(SUBSTITUTE(SUBSTITUTE(SUBSTITUTE(INDEX(Hairstyles!$C:$C,MATCH($B163,Hairstyles!$F:$F,0)),"" "",""""),""'"",""""),""("",""""),"")"",""""),""-"",""_"")&amp;""_""&amp;$A$2)"),"DintBDORHair\Human\Female\DintBDOR_Stenshi_Human_Female")</f>
        <v>DintBDORHair\Human\Female\DintBDOR_Stenshi_Human_Female</v>
      </c>
      <c r="D163" s="12" t="str">
        <f t="shared" si="1"/>
        <v>Uvi_Wig_Spell_DintBDOR_Stenshi,DintBDORHair\Human\Female\DintBDOR_Stenshi_Human_Female</v>
      </c>
    </row>
    <row r="164">
      <c r="B164" s="12" t="str">
        <f>IFERROR(__xludf.DUMMYFUNCTION("""COMPUTED_VALUE"""),"Uvi_Wig_Spell_DintBDOR_Tira")</f>
        <v>Uvi_Wig_Spell_DintBDOR_Tira</v>
      </c>
      <c r="C164" s="12" t="str">
        <f>IFERROR(__xludf.DUMMYFUNCTION("IF($B164="""","""",SUBSTITUTE(SUBSTITUTE(SUBSTITUTE(SUBSTITUTE(INDEX(Hairstyles!$A:$A,MATCH($B164,Hairstyles!$F:$F,0)),"" "",""""),""'"",""""),""("",""""),"")"","""")&amp;""\""&amp;INDEX(SPLIT($A$2,""_""),1)&amp;""\""&amp;INDEX(SPLIT($A$2,""_""),2)&amp;""\""&amp;SUBSTITUTE(SUBST"&amp;"ITUTE(SUBSTITUTE(SUBSTITUTE(SUBSTITUTE(INDEX(Hairstyles!$C:$C,MATCH($B164,Hairstyles!$F:$F,0)),"" "",""""),""'"",""""),""("",""""),"")"",""""),""-"",""_"")&amp;""_""&amp;$A$2)"),"DintBDORHair\Human\Female\DintBDOR_Tira_Human_Female")</f>
        <v>DintBDORHair\Human\Female\DintBDOR_Tira_Human_Female</v>
      </c>
      <c r="D164" s="12" t="str">
        <f t="shared" si="1"/>
        <v>Uvi_Wig_Spell_DintBDOR_Tira,DintBDORHair\Human\Female\DintBDOR_Tira_Human_Female</v>
      </c>
    </row>
    <row r="165">
      <c r="B165" s="12" t="str">
        <f>IFERROR(__xludf.DUMMYFUNCTION("""COMPUTED_VALUE"""),"Uvi_Wig_Spell_DintBDOR_Tumerlin")</f>
        <v>Uvi_Wig_Spell_DintBDOR_Tumerlin</v>
      </c>
      <c r="C165" s="12" t="str">
        <f>IFERROR(__xludf.DUMMYFUNCTION("IF($B165="""","""",SUBSTITUTE(SUBSTITUTE(SUBSTITUTE(SUBSTITUTE(INDEX(Hairstyles!$A:$A,MATCH($B165,Hairstyles!$F:$F,0)),"" "",""""),""'"",""""),""("",""""),"")"","""")&amp;""\""&amp;INDEX(SPLIT($A$2,""_""),1)&amp;""\""&amp;INDEX(SPLIT($A$2,""_""),2)&amp;""\""&amp;SUBSTITUTE(SUBST"&amp;"ITUTE(SUBSTITUTE(SUBSTITUTE(SUBSTITUTE(INDEX(Hairstyles!$C:$C,MATCH($B165,Hairstyles!$F:$F,0)),"" "",""""),""'"",""""),""("",""""),"")"",""""),""-"",""_"")&amp;""_""&amp;$A$2)"),"DintBDORHair\Human\Female\DintBDOR_Tumerlin_Human_Female")</f>
        <v>DintBDORHair\Human\Female\DintBDOR_Tumerlin_Human_Female</v>
      </c>
      <c r="D165" s="12" t="str">
        <f t="shared" si="1"/>
        <v>Uvi_Wig_Spell_DintBDOR_Tumerlin,DintBDORHair\Human\Female\DintBDOR_Tumerlin_Human_Female</v>
      </c>
    </row>
    <row r="166">
      <c r="B166" s="12" t="str">
        <f>IFERROR(__xludf.DUMMYFUNCTION("""COMPUTED_VALUE"""),"Uvi_Wig_Spell_DintBDOR_Velina")</f>
        <v>Uvi_Wig_Spell_DintBDOR_Velina</v>
      </c>
      <c r="C166" s="12" t="str">
        <f>IFERROR(__xludf.DUMMYFUNCTION("IF($B166="""","""",SUBSTITUTE(SUBSTITUTE(SUBSTITUTE(SUBSTITUTE(INDEX(Hairstyles!$A:$A,MATCH($B166,Hairstyles!$F:$F,0)),"" "",""""),""'"",""""),""("",""""),"")"","""")&amp;""\""&amp;INDEX(SPLIT($A$2,""_""),1)&amp;""\""&amp;INDEX(SPLIT($A$2,""_""),2)&amp;""\""&amp;SUBSTITUTE(SUBST"&amp;"ITUTE(SUBSTITUTE(SUBSTITUTE(SUBSTITUTE(INDEX(Hairstyles!$C:$C,MATCH($B166,Hairstyles!$F:$F,0)),"" "",""""),""'"",""""),""("",""""),"")"",""""),""-"",""_"")&amp;""_""&amp;$A$2)"),"DintBDORHair\Human\Female\DintBDOR_Velina_Human_Female")</f>
        <v>DintBDORHair\Human\Female\DintBDOR_Velina_Human_Female</v>
      </c>
      <c r="D166" s="12" t="str">
        <f t="shared" si="1"/>
        <v>Uvi_Wig_Spell_DintBDOR_Velina,DintBDORHair\Human\Female\DintBDOR_Velina_Human_Female</v>
      </c>
    </row>
    <row r="167">
      <c r="B167" s="12" t="str">
        <f>IFERROR(__xludf.DUMMYFUNCTION("""COMPUTED_VALUE"""),"Uvi_Wig_Spell_DintBDOR_Vex")</f>
        <v>Uvi_Wig_Spell_DintBDOR_Vex</v>
      </c>
      <c r="C167" s="12" t="str">
        <f>IFERROR(__xludf.DUMMYFUNCTION("IF($B167="""","""",SUBSTITUTE(SUBSTITUTE(SUBSTITUTE(SUBSTITUTE(INDEX(Hairstyles!$A:$A,MATCH($B167,Hairstyles!$F:$F,0)),"" "",""""),""'"",""""),""("",""""),"")"","""")&amp;""\""&amp;INDEX(SPLIT($A$2,""_""),1)&amp;""\""&amp;INDEX(SPLIT($A$2,""_""),2)&amp;""\""&amp;SUBSTITUTE(SUBST"&amp;"ITUTE(SUBSTITUTE(SUBSTITUTE(SUBSTITUTE(INDEX(Hairstyles!$C:$C,MATCH($B167,Hairstyles!$F:$F,0)),"" "",""""),""'"",""""),""("",""""),"")"",""""),""-"",""_"")&amp;""_""&amp;$A$2)"),"DintBDORHair\Human\Female\DintBDOR_Vex_Human_Female")</f>
        <v>DintBDORHair\Human\Female\DintBDOR_Vex_Human_Female</v>
      </c>
      <c r="D167" s="12" t="str">
        <f t="shared" si="1"/>
        <v>Uvi_Wig_Spell_DintBDOR_Vex,DintBDORHair\Human\Female\DintBDOR_Vex_Human_Female</v>
      </c>
    </row>
    <row r="168">
      <c r="B168" s="12" t="str">
        <f>IFERROR(__xludf.DUMMYFUNCTION("""COMPUTED_VALUE"""),"Uvi_Wig_Spell_DintBDOR_Vienne")</f>
        <v>Uvi_Wig_Spell_DintBDOR_Vienne</v>
      </c>
      <c r="C168" s="12" t="str">
        <f>IFERROR(__xludf.DUMMYFUNCTION("IF($B168="""","""",SUBSTITUTE(SUBSTITUTE(SUBSTITUTE(SUBSTITUTE(INDEX(Hairstyles!$A:$A,MATCH($B168,Hairstyles!$F:$F,0)),"" "",""""),""'"",""""),""("",""""),"")"","""")&amp;""\""&amp;INDEX(SPLIT($A$2,""_""),1)&amp;""\""&amp;INDEX(SPLIT($A$2,""_""),2)&amp;""\""&amp;SUBSTITUTE(SUBST"&amp;"ITUTE(SUBSTITUTE(SUBSTITUTE(SUBSTITUTE(INDEX(Hairstyles!$C:$C,MATCH($B168,Hairstyles!$F:$F,0)),"" "",""""),""'"",""""),""("",""""),"")"",""""),""-"",""_"")&amp;""_""&amp;$A$2)"),"DintBDORHair\Human\Female\DintBDOR_Vienne_Human_Female")</f>
        <v>DintBDORHair\Human\Female\DintBDOR_Vienne_Human_Female</v>
      </c>
      <c r="D168" s="12" t="str">
        <f t="shared" si="1"/>
        <v>Uvi_Wig_Spell_DintBDOR_Vienne,DintBDORHair\Human\Female\DintBDOR_Vienne_Human_Female</v>
      </c>
    </row>
    <row r="169">
      <c r="B169" s="12" t="str">
        <f>IFERROR(__xludf.DUMMYFUNCTION("""COMPUTED_VALUE"""),"Uvi_Wig_Spell_DintBDOR_Wavey")</f>
        <v>Uvi_Wig_Spell_DintBDOR_Wavey</v>
      </c>
      <c r="C169" s="12" t="str">
        <f>IFERROR(__xludf.DUMMYFUNCTION("IF($B169="""","""",SUBSTITUTE(SUBSTITUTE(SUBSTITUTE(SUBSTITUTE(INDEX(Hairstyles!$A:$A,MATCH($B169,Hairstyles!$F:$F,0)),"" "",""""),""'"",""""),""("",""""),"")"","""")&amp;""\""&amp;INDEX(SPLIT($A$2,""_""),1)&amp;""\""&amp;INDEX(SPLIT($A$2,""_""),2)&amp;""\""&amp;SUBSTITUTE(SUBST"&amp;"ITUTE(SUBSTITUTE(SUBSTITUTE(SUBSTITUTE(INDEX(Hairstyles!$C:$C,MATCH($B169,Hairstyles!$F:$F,0)),"" "",""""),""'"",""""),""("",""""),"")"",""""),""-"",""_"")&amp;""_""&amp;$A$2)"),"DintBDORHair\Human\Female\DintBDOR_Wavey_Human_Female")</f>
        <v>DintBDORHair\Human\Female\DintBDOR_Wavey_Human_Female</v>
      </c>
      <c r="D169" s="12" t="str">
        <f t="shared" si="1"/>
        <v>Uvi_Wig_Spell_DintBDOR_Wavey,DintBDORHair\Human\Female\DintBDOR_Wavey_Human_Female</v>
      </c>
    </row>
    <row r="170">
      <c r="B170" s="12" t="str">
        <f>IFERROR(__xludf.DUMMYFUNCTION("""COMPUTED_VALUE"""),"Uvi_Wig_Spell_DintBDOR_Yaommi")</f>
        <v>Uvi_Wig_Spell_DintBDOR_Yaommi</v>
      </c>
      <c r="C170" s="12" t="str">
        <f>IFERROR(__xludf.DUMMYFUNCTION("IF($B170="""","""",SUBSTITUTE(SUBSTITUTE(SUBSTITUTE(SUBSTITUTE(INDEX(Hairstyles!$A:$A,MATCH($B170,Hairstyles!$F:$F,0)),"" "",""""),""'"",""""),""("",""""),"")"","""")&amp;""\""&amp;INDEX(SPLIT($A$2,""_""),1)&amp;""\""&amp;INDEX(SPLIT($A$2,""_""),2)&amp;""\""&amp;SUBSTITUTE(SUBST"&amp;"ITUTE(SUBSTITUTE(SUBSTITUTE(SUBSTITUTE(INDEX(Hairstyles!$C:$C,MATCH($B170,Hairstyles!$F:$F,0)),"" "",""""),""'"",""""),""("",""""),"")"",""""),""-"",""_"")&amp;""_""&amp;$A$2)"),"DintBDORHair\Human\Female\DintBDOR_Yaommi_Human_Female")</f>
        <v>DintBDORHair\Human\Female\DintBDOR_Yaommi_Human_Female</v>
      </c>
      <c r="D170" s="12" t="str">
        <f t="shared" si="1"/>
        <v>Uvi_Wig_Spell_DintBDOR_Yaommi,DintBDORHair\Human\Female\DintBDOR_Yaommi_Human_Female</v>
      </c>
    </row>
    <row r="171">
      <c r="B171" s="12" t="str">
        <f>IFERROR(__xludf.DUMMYFUNCTION("""COMPUTED_VALUE"""),"Uvi_Wig_Spell_DintBDOR_Yarra")</f>
        <v>Uvi_Wig_Spell_DintBDOR_Yarra</v>
      </c>
      <c r="C171" s="12" t="str">
        <f>IFERROR(__xludf.DUMMYFUNCTION("IF($B171="""","""",SUBSTITUTE(SUBSTITUTE(SUBSTITUTE(SUBSTITUTE(INDEX(Hairstyles!$A:$A,MATCH($B171,Hairstyles!$F:$F,0)),"" "",""""),""'"",""""),""("",""""),"")"","""")&amp;""\""&amp;INDEX(SPLIT($A$2,""_""),1)&amp;""\""&amp;INDEX(SPLIT($A$2,""_""),2)&amp;""\""&amp;SUBSTITUTE(SUBST"&amp;"ITUTE(SUBSTITUTE(SUBSTITUTE(SUBSTITUTE(INDEX(Hairstyles!$C:$C,MATCH($B171,Hairstyles!$F:$F,0)),"" "",""""),""'"",""""),""("",""""),"")"",""""),""-"",""_"")&amp;""_""&amp;$A$2)"),"DintBDORHair\Human\Female\DintBDOR_Yarra_Human_Female")</f>
        <v>DintBDORHair\Human\Female\DintBDOR_Yarra_Human_Female</v>
      </c>
      <c r="D171" s="12" t="str">
        <f t="shared" si="1"/>
        <v>Uvi_Wig_Spell_DintBDOR_Yarra,DintBDORHair\Human\Female\DintBDOR_Yarra_Human_Female</v>
      </c>
    </row>
    <row r="172">
      <c r="B172" s="12" t="str">
        <f>IFERROR(__xludf.DUMMYFUNCTION("""COMPUTED_VALUE"""),"Uvi_Wig_Spell_DintBDOR_Yummy")</f>
        <v>Uvi_Wig_Spell_DintBDOR_Yummy</v>
      </c>
      <c r="C172" s="12" t="str">
        <f>IFERROR(__xludf.DUMMYFUNCTION("IF($B172="""","""",SUBSTITUTE(SUBSTITUTE(SUBSTITUTE(SUBSTITUTE(INDEX(Hairstyles!$A:$A,MATCH($B172,Hairstyles!$F:$F,0)),"" "",""""),""'"",""""),""("",""""),"")"","""")&amp;""\""&amp;INDEX(SPLIT($A$2,""_""),1)&amp;""\""&amp;INDEX(SPLIT($A$2,""_""),2)&amp;""\""&amp;SUBSTITUTE(SUBST"&amp;"ITUTE(SUBSTITUTE(SUBSTITUTE(SUBSTITUTE(INDEX(Hairstyles!$C:$C,MATCH($B172,Hairstyles!$F:$F,0)),"" "",""""),""'"",""""),""("",""""),"")"",""""),""-"",""_"")&amp;""_""&amp;$A$2)"),"DintBDORHair\Human\Female\DintBDOR_Yummy_Human_Female")</f>
        <v>DintBDORHair\Human\Female\DintBDOR_Yummy_Human_Female</v>
      </c>
      <c r="D172" s="12" t="str">
        <f t="shared" si="1"/>
        <v>Uvi_Wig_Spell_DintBDOR_Yummy,DintBDORHair\Human\Female\DintBDOR_Yummy_Human_Female</v>
      </c>
    </row>
    <row r="173">
      <c r="B173" s="12" t="str">
        <f>IFERROR(__xludf.DUMMYFUNCTION("""COMPUTED_VALUE"""),"Uvi_Wig_Spell_DintBDOR_Zetrin")</f>
        <v>Uvi_Wig_Spell_DintBDOR_Zetrin</v>
      </c>
      <c r="C173" s="12" t="str">
        <f>IFERROR(__xludf.DUMMYFUNCTION("IF($B173="""","""",SUBSTITUTE(SUBSTITUTE(SUBSTITUTE(SUBSTITUTE(INDEX(Hairstyles!$A:$A,MATCH($B173,Hairstyles!$F:$F,0)),"" "",""""),""'"",""""),""("",""""),"")"","""")&amp;""\""&amp;INDEX(SPLIT($A$2,""_""),1)&amp;""\""&amp;INDEX(SPLIT($A$2,""_""),2)&amp;""\""&amp;SUBSTITUTE(SUBST"&amp;"ITUTE(SUBSTITUTE(SUBSTITUTE(SUBSTITUTE(INDEX(Hairstyles!$C:$C,MATCH($B173,Hairstyles!$F:$F,0)),"" "",""""),""'"",""""),""("",""""),"")"",""""),""-"",""_"")&amp;""_""&amp;$A$2)"),"DintBDORHair\Human\Female\DintBDOR_Zetrin_Human_Female")</f>
        <v>DintBDORHair\Human\Female\DintBDOR_Zetrin_Human_Female</v>
      </c>
      <c r="D173" s="12" t="str">
        <f t="shared" si="1"/>
        <v>Uvi_Wig_Spell_DintBDOR_Zetrin,DintBDORHair\Human\Female\DintBDOR_Zetrin_Human_Female</v>
      </c>
    </row>
    <row r="174">
      <c r="B174" s="12" t="str">
        <f>IFERROR(__xludf.DUMMYFUNCTION("""COMPUTED_VALUE"""),"Uvi_Wig_Spell_DintBDOR_Zohya")</f>
        <v>Uvi_Wig_Spell_DintBDOR_Zohya</v>
      </c>
      <c r="C174" s="12" t="str">
        <f>IFERROR(__xludf.DUMMYFUNCTION("IF($B174="""","""",SUBSTITUTE(SUBSTITUTE(SUBSTITUTE(SUBSTITUTE(INDEX(Hairstyles!$A:$A,MATCH($B174,Hairstyles!$F:$F,0)),"" "",""""),""'"",""""),""("",""""),"")"","""")&amp;""\""&amp;INDEX(SPLIT($A$2,""_""),1)&amp;""\""&amp;INDEX(SPLIT($A$2,""_""),2)&amp;""\""&amp;SUBSTITUTE(SUBST"&amp;"ITUTE(SUBSTITUTE(SUBSTITUTE(SUBSTITUTE(INDEX(Hairstyles!$C:$C,MATCH($B174,Hairstyles!$F:$F,0)),"" "",""""),""'"",""""),""("",""""),"")"",""""),""-"",""_"")&amp;""_""&amp;$A$2)"),"DintBDORHair\Human\Female\DintBDOR_Zohya_Human_Female")</f>
        <v>DintBDORHair\Human\Female\DintBDOR_Zohya_Human_Female</v>
      </c>
      <c r="D174" s="12" t="str">
        <f t="shared" si="1"/>
        <v>Uvi_Wig_Spell_DintBDOR_Zohya,DintBDORHair\Human\Female\DintBDOR_Zohya_Human_Female</v>
      </c>
    </row>
    <row r="175">
      <c r="B175" s="12" t="str">
        <f>IFERROR(__xludf.DUMMYFUNCTION("""COMPUTED_VALUE"""),"Uvi_Wig_Spell_DintBDOR_Zubs")</f>
        <v>Uvi_Wig_Spell_DintBDOR_Zubs</v>
      </c>
      <c r="C175" s="12" t="str">
        <f>IFERROR(__xludf.DUMMYFUNCTION("IF($B175="""","""",SUBSTITUTE(SUBSTITUTE(SUBSTITUTE(SUBSTITUTE(INDEX(Hairstyles!$A:$A,MATCH($B175,Hairstyles!$F:$F,0)),"" "",""""),""'"",""""),""("",""""),"")"","""")&amp;""\""&amp;INDEX(SPLIT($A$2,""_""),1)&amp;""\""&amp;INDEX(SPLIT($A$2,""_""),2)&amp;""\""&amp;SUBSTITUTE(SUBST"&amp;"ITUTE(SUBSTITUTE(SUBSTITUTE(SUBSTITUTE(INDEX(Hairstyles!$C:$C,MATCH($B175,Hairstyles!$F:$F,0)),"" "",""""),""'"",""""),""("",""""),"")"",""""),""-"",""_"")&amp;""_""&amp;$A$2)"),"DintBDORHair\Human\Female\DintBDOR_Zubs_Human_Female")</f>
        <v>DintBDORHair\Human\Female\DintBDOR_Zubs_Human_Female</v>
      </c>
      <c r="D175" s="12" t="str">
        <f t="shared" si="1"/>
        <v>Uvi_Wig_Spell_DintBDOR_Zubs,DintBDORHair\Human\Female\DintBDOR_Zubs_Human_Female</v>
      </c>
    </row>
    <row r="176">
      <c r="B176" s="12" t="str">
        <f>IFERROR(__xludf.DUMMYFUNCTION("""COMPUTED_VALUE"""),"Uvi_Wig_Spell_DintBDORadd_Amelia")</f>
        <v>Uvi_Wig_Spell_DintBDORadd_Amelia</v>
      </c>
      <c r="C176" s="12" t="str">
        <f>IFERROR(__xludf.DUMMYFUNCTION("IF($B176="""","""",SUBSTITUTE(SUBSTITUTE(SUBSTITUTE(SUBSTITUTE(INDEX(Hairstyles!$A:$A,MATCH($B176,Hairstyles!$F:$F,0)),"" "",""""),""'"",""""),""("",""""),"")"","""")&amp;""\""&amp;INDEX(SPLIT($A$2,""_""),1)&amp;""\""&amp;INDEX(SPLIT($A$2,""_""),2)&amp;""\""&amp;SUBSTITUTE(SUBST"&amp;"ITUTE(SUBSTITUTE(SUBSTITUTE(SUBSTITUTE(INDEX(Hairstyles!$C:$C,MATCH($B176,Hairstyles!$F:$F,0)),"" "",""""),""'"",""""),""("",""""),"")"",""""),""-"",""_"")&amp;""_""&amp;$A$2)"),"DintBDORHairAddon\Human\Female\DintBDORAddon_Amelia_Human_Female")</f>
        <v>DintBDORHairAddon\Human\Female\DintBDORAddon_Amelia_Human_Female</v>
      </c>
      <c r="D176" s="12" t="str">
        <f t="shared" si="1"/>
        <v>Uvi_Wig_Spell_DintBDORadd_Amelia,DintBDORHairAddon\Human\Female\DintBDORAddon_Amelia_Human_Female</v>
      </c>
    </row>
    <row r="177">
      <c r="B177" s="12" t="str">
        <f>IFERROR(__xludf.DUMMYFUNCTION("""COMPUTED_VALUE"""),"Uvi_Wig_Spell_DintBDORadd_Asuna")</f>
        <v>Uvi_Wig_Spell_DintBDORadd_Asuna</v>
      </c>
      <c r="C177" s="12" t="str">
        <f>IFERROR(__xludf.DUMMYFUNCTION("IF($B177="""","""",SUBSTITUTE(SUBSTITUTE(SUBSTITUTE(SUBSTITUTE(INDEX(Hairstyles!$A:$A,MATCH($B177,Hairstyles!$F:$F,0)),"" "",""""),""'"",""""),""("",""""),"")"","""")&amp;""\""&amp;INDEX(SPLIT($A$2,""_""),1)&amp;""\""&amp;INDEX(SPLIT($A$2,""_""),2)&amp;""\""&amp;SUBSTITUTE(SUBST"&amp;"ITUTE(SUBSTITUTE(SUBSTITUTE(SUBSTITUTE(INDEX(Hairstyles!$C:$C,MATCH($B177,Hairstyles!$F:$F,0)),"" "",""""),""'"",""""),""("",""""),"")"",""""),""-"",""_"")&amp;""_""&amp;$A$2)"),"DintBDORHairAddon\Human\Female\DintBDORAddon_Asuna_Human_Female")</f>
        <v>DintBDORHairAddon\Human\Female\DintBDORAddon_Asuna_Human_Female</v>
      </c>
      <c r="D177" s="12" t="str">
        <f t="shared" si="1"/>
        <v>Uvi_Wig_Spell_DintBDORadd_Asuna,DintBDORHairAddon\Human\Female\DintBDORAddon_Asuna_Human_Female</v>
      </c>
    </row>
    <row r="178">
      <c r="B178" s="12" t="str">
        <f>IFERROR(__xludf.DUMMYFUNCTION("""COMPUTED_VALUE"""),"Uvi_Wig_Spell_DintBDORadd_Ellena")</f>
        <v>Uvi_Wig_Spell_DintBDORadd_Ellena</v>
      </c>
      <c r="C178" s="12" t="str">
        <f>IFERROR(__xludf.DUMMYFUNCTION("IF($B178="""","""",SUBSTITUTE(SUBSTITUTE(SUBSTITUTE(SUBSTITUTE(INDEX(Hairstyles!$A:$A,MATCH($B178,Hairstyles!$F:$F,0)),"" "",""""),""'"",""""),""("",""""),"")"","""")&amp;""\""&amp;INDEX(SPLIT($A$2,""_""),1)&amp;""\""&amp;INDEX(SPLIT($A$2,""_""),2)&amp;""\""&amp;SUBSTITUTE(SUBST"&amp;"ITUTE(SUBSTITUTE(SUBSTITUTE(SUBSTITUTE(INDEX(Hairstyles!$C:$C,MATCH($B178,Hairstyles!$F:$F,0)),"" "",""""),""'"",""""),""("",""""),"")"",""""),""-"",""_"")&amp;""_""&amp;$A$2)"),"DintBDORHairAddon\Human\Female\DintBDORAddon_Ellena_Human_Female")</f>
        <v>DintBDORHairAddon\Human\Female\DintBDORAddon_Ellena_Human_Female</v>
      </c>
      <c r="D178" s="12" t="str">
        <f t="shared" si="1"/>
        <v>Uvi_Wig_Spell_DintBDORadd_Ellena,DintBDORHairAddon\Human\Female\DintBDORAddon_Ellena_Human_Female</v>
      </c>
    </row>
    <row r="179">
      <c r="B179" s="12" t="str">
        <f>IFERROR(__xludf.DUMMYFUNCTION("""COMPUTED_VALUE"""),"Uvi_Wig_Spell_DintBDORadd_Hanna")</f>
        <v>Uvi_Wig_Spell_DintBDORadd_Hanna</v>
      </c>
      <c r="C179" s="12" t="str">
        <f>IFERROR(__xludf.DUMMYFUNCTION("IF($B179="""","""",SUBSTITUTE(SUBSTITUTE(SUBSTITUTE(SUBSTITUTE(INDEX(Hairstyles!$A:$A,MATCH($B179,Hairstyles!$F:$F,0)),"" "",""""),""'"",""""),""("",""""),"")"","""")&amp;""\""&amp;INDEX(SPLIT($A$2,""_""),1)&amp;""\""&amp;INDEX(SPLIT($A$2,""_""),2)&amp;""\""&amp;SUBSTITUTE(SUBST"&amp;"ITUTE(SUBSTITUTE(SUBSTITUTE(SUBSTITUTE(INDEX(Hairstyles!$C:$C,MATCH($B179,Hairstyles!$F:$F,0)),"" "",""""),""'"",""""),""("",""""),"")"",""""),""-"",""_"")&amp;""_""&amp;$A$2)"),"DintBDORHairAddon\Human\Female\DintBDORAddon_Hanna_Human_Female")</f>
        <v>DintBDORHairAddon\Human\Female\DintBDORAddon_Hanna_Human_Female</v>
      </c>
      <c r="D179" s="12" t="str">
        <f t="shared" si="1"/>
        <v>Uvi_Wig_Spell_DintBDORadd_Hanna,DintBDORHairAddon\Human\Female\DintBDORAddon_Hanna_Human_Female</v>
      </c>
    </row>
    <row r="180">
      <c r="B180" s="12" t="str">
        <f>IFERROR(__xludf.DUMMYFUNCTION("""COMPUTED_VALUE"""),"Uvi_Wig_Spell_DintBDORadd_Hime")</f>
        <v>Uvi_Wig_Spell_DintBDORadd_Hime</v>
      </c>
      <c r="C180" s="12" t="str">
        <f>IFERROR(__xludf.DUMMYFUNCTION("IF($B180="""","""",SUBSTITUTE(SUBSTITUTE(SUBSTITUTE(SUBSTITUTE(INDEX(Hairstyles!$A:$A,MATCH($B180,Hairstyles!$F:$F,0)),"" "",""""),""'"",""""),""("",""""),"")"","""")&amp;""\""&amp;INDEX(SPLIT($A$2,""_""),1)&amp;""\""&amp;INDEX(SPLIT($A$2,""_""),2)&amp;""\""&amp;SUBSTITUTE(SUBST"&amp;"ITUTE(SUBSTITUTE(SUBSTITUTE(SUBSTITUTE(INDEX(Hairstyles!$C:$C,MATCH($B180,Hairstyles!$F:$F,0)),"" "",""""),""'"",""""),""("",""""),"")"",""""),""-"",""_"")&amp;""_""&amp;$A$2)"),"DintBDORHairAddon\Human\Female\DintBDORAddon_Hime_Human_Female")</f>
        <v>DintBDORHairAddon\Human\Female\DintBDORAddon_Hime_Human_Female</v>
      </c>
      <c r="D180" s="12" t="str">
        <f t="shared" si="1"/>
        <v>Uvi_Wig_Spell_DintBDORadd_Hime,DintBDORHairAddon\Human\Female\DintBDORAddon_Hime_Human_Female</v>
      </c>
    </row>
    <row r="181">
      <c r="B181" s="12" t="str">
        <f>IFERROR(__xludf.DUMMYFUNCTION("""COMPUTED_VALUE"""),"Uvi_Wig_Spell_DintBDORadd_Illya")</f>
        <v>Uvi_Wig_Spell_DintBDORadd_Illya</v>
      </c>
      <c r="C181" s="12" t="str">
        <f>IFERROR(__xludf.DUMMYFUNCTION("IF($B181="""","""",SUBSTITUTE(SUBSTITUTE(SUBSTITUTE(SUBSTITUTE(INDEX(Hairstyles!$A:$A,MATCH($B181,Hairstyles!$F:$F,0)),"" "",""""),""'"",""""),""("",""""),"")"","""")&amp;""\""&amp;INDEX(SPLIT($A$2,""_""),1)&amp;""\""&amp;INDEX(SPLIT($A$2,""_""),2)&amp;""\""&amp;SUBSTITUTE(SUBST"&amp;"ITUTE(SUBSTITUTE(SUBSTITUTE(SUBSTITUTE(INDEX(Hairstyles!$C:$C,MATCH($B181,Hairstyles!$F:$F,0)),"" "",""""),""'"",""""),""("",""""),"")"",""""),""-"",""_"")&amp;""_""&amp;$A$2)"),"DintBDORHairAddon\Human\Female\DintBDORAddon_Illya_Human_Female")</f>
        <v>DintBDORHairAddon\Human\Female\DintBDORAddon_Illya_Human_Female</v>
      </c>
      <c r="D181" s="12" t="str">
        <f t="shared" si="1"/>
        <v>Uvi_Wig_Spell_DintBDORadd_Illya,DintBDORHairAddon\Human\Female\DintBDORAddon_Illya_Human_Female</v>
      </c>
    </row>
    <row r="182">
      <c r="B182" s="12" t="str">
        <f>IFERROR(__xludf.DUMMYFUNCTION("""COMPUTED_VALUE"""),"Uvi_Wig_Spell_DintBDORadd_Jack")</f>
        <v>Uvi_Wig_Spell_DintBDORadd_Jack</v>
      </c>
      <c r="C182" s="12" t="str">
        <f>IFERROR(__xludf.DUMMYFUNCTION("IF($B182="""","""",SUBSTITUTE(SUBSTITUTE(SUBSTITUTE(SUBSTITUTE(INDEX(Hairstyles!$A:$A,MATCH($B182,Hairstyles!$F:$F,0)),"" "",""""),""'"",""""),""("",""""),"")"","""")&amp;""\""&amp;INDEX(SPLIT($A$2,""_""),1)&amp;""\""&amp;INDEX(SPLIT($A$2,""_""),2)&amp;""\""&amp;SUBSTITUTE(SUBST"&amp;"ITUTE(SUBSTITUTE(SUBSTITUTE(SUBSTITUTE(INDEX(Hairstyles!$C:$C,MATCH($B182,Hairstyles!$F:$F,0)),"" "",""""),""'"",""""),""("",""""),"")"",""""),""-"",""_"")&amp;""_""&amp;$A$2)"),"DintBDORHairAddon\Human\Female\DintBDORAddon_Jack_Human_Female")</f>
        <v>DintBDORHairAddon\Human\Female\DintBDORAddon_Jack_Human_Female</v>
      </c>
      <c r="D182" s="12" t="str">
        <f t="shared" si="1"/>
        <v>Uvi_Wig_Spell_DintBDORadd_Jack,DintBDORHairAddon\Human\Female\DintBDORAddon_Jack_Human_Female</v>
      </c>
    </row>
    <row r="183">
      <c r="B183" s="12" t="str">
        <f>IFERROR(__xludf.DUMMYFUNCTION("""COMPUTED_VALUE"""),"Uvi_Wig_Spell_DintBDORadd_Karin")</f>
        <v>Uvi_Wig_Spell_DintBDORadd_Karin</v>
      </c>
      <c r="C183" s="12" t="str">
        <f>IFERROR(__xludf.DUMMYFUNCTION("IF($B183="""","""",SUBSTITUTE(SUBSTITUTE(SUBSTITUTE(SUBSTITUTE(INDEX(Hairstyles!$A:$A,MATCH($B183,Hairstyles!$F:$F,0)),"" "",""""),""'"",""""),""("",""""),"")"","""")&amp;""\""&amp;INDEX(SPLIT($A$2,""_""),1)&amp;""\""&amp;INDEX(SPLIT($A$2,""_""),2)&amp;""\""&amp;SUBSTITUTE(SUBST"&amp;"ITUTE(SUBSTITUTE(SUBSTITUTE(SUBSTITUTE(INDEX(Hairstyles!$C:$C,MATCH($B183,Hairstyles!$F:$F,0)),"" "",""""),""'"",""""),""("",""""),"")"",""""),""-"",""_"")&amp;""_""&amp;$A$2)"),"DintBDORHairAddon\Human\Female\DintBDORAddon_Karin_Human_Female")</f>
        <v>DintBDORHairAddon\Human\Female\DintBDORAddon_Karin_Human_Female</v>
      </c>
      <c r="D183" s="12" t="str">
        <f t="shared" si="1"/>
        <v>Uvi_Wig_Spell_DintBDORadd_Karin,DintBDORHairAddon\Human\Female\DintBDORAddon_Karin_Human_Female</v>
      </c>
    </row>
    <row r="184">
      <c r="B184" s="12" t="str">
        <f>IFERROR(__xludf.DUMMYFUNCTION("""COMPUTED_VALUE"""),"Uvi_Wig_Spell_DintBDORadd_Lin")</f>
        <v>Uvi_Wig_Spell_DintBDORadd_Lin</v>
      </c>
      <c r="C184" s="12" t="str">
        <f>IFERROR(__xludf.DUMMYFUNCTION("IF($B184="""","""",SUBSTITUTE(SUBSTITUTE(SUBSTITUTE(SUBSTITUTE(INDEX(Hairstyles!$A:$A,MATCH($B184,Hairstyles!$F:$F,0)),"" "",""""),""'"",""""),""("",""""),"")"","""")&amp;""\""&amp;INDEX(SPLIT($A$2,""_""),1)&amp;""\""&amp;INDEX(SPLIT($A$2,""_""),2)&amp;""\""&amp;SUBSTITUTE(SUBST"&amp;"ITUTE(SUBSTITUTE(SUBSTITUTE(SUBSTITUTE(INDEX(Hairstyles!$C:$C,MATCH($B184,Hairstyles!$F:$F,0)),"" "",""""),""'"",""""),""("",""""),"")"",""""),""-"",""_"")&amp;""_""&amp;$A$2)"),"DintBDORHairAddon\Human\Female\DintBDORAddon_Lin_Human_Female")</f>
        <v>DintBDORHairAddon\Human\Female\DintBDORAddon_Lin_Human_Female</v>
      </c>
      <c r="D184" s="12" t="str">
        <f t="shared" si="1"/>
        <v>Uvi_Wig_Spell_DintBDORadd_Lin,DintBDORHairAddon\Human\Female\DintBDORAddon_Lin_Human_Female</v>
      </c>
    </row>
    <row r="185">
      <c r="B185" s="12" t="str">
        <f>IFERROR(__xludf.DUMMYFUNCTION("""COMPUTED_VALUE"""),"Uvi_Wig_Spell_DintBDORadd_Liz")</f>
        <v>Uvi_Wig_Spell_DintBDORadd_Liz</v>
      </c>
      <c r="C185" s="12" t="str">
        <f>IFERROR(__xludf.DUMMYFUNCTION("IF($B185="""","""",SUBSTITUTE(SUBSTITUTE(SUBSTITUTE(SUBSTITUTE(INDEX(Hairstyles!$A:$A,MATCH($B185,Hairstyles!$F:$F,0)),"" "",""""),""'"",""""),""("",""""),"")"","""")&amp;""\""&amp;INDEX(SPLIT($A$2,""_""),1)&amp;""\""&amp;INDEX(SPLIT($A$2,""_""),2)&amp;""\""&amp;SUBSTITUTE(SUBST"&amp;"ITUTE(SUBSTITUTE(SUBSTITUTE(SUBSTITUTE(INDEX(Hairstyles!$C:$C,MATCH($B185,Hairstyles!$F:$F,0)),"" "",""""),""'"",""""),""("",""""),"")"",""""),""-"",""_"")&amp;""_""&amp;$A$2)"),"DintBDORHairAddon\Human\Female\DintBDORAddon_Liz_Human_Female")</f>
        <v>DintBDORHairAddon\Human\Female\DintBDORAddon_Liz_Human_Female</v>
      </c>
      <c r="D185" s="12" t="str">
        <f t="shared" si="1"/>
        <v>Uvi_Wig_Spell_DintBDORadd_Liz,DintBDORHairAddon\Human\Female\DintBDORAddon_Liz_Human_Female</v>
      </c>
    </row>
    <row r="186">
      <c r="B186" s="12" t="str">
        <f>IFERROR(__xludf.DUMMYFUNCTION("""COMPUTED_VALUE"""),"Uvi_Wig_Spell_DintBDORadd_Marseille")</f>
        <v>Uvi_Wig_Spell_DintBDORadd_Marseille</v>
      </c>
      <c r="C186" s="12" t="str">
        <f>IFERROR(__xludf.DUMMYFUNCTION("IF($B186="""","""",SUBSTITUTE(SUBSTITUTE(SUBSTITUTE(SUBSTITUTE(INDEX(Hairstyles!$A:$A,MATCH($B186,Hairstyles!$F:$F,0)),"" "",""""),""'"",""""),""("",""""),"")"","""")&amp;""\""&amp;INDEX(SPLIT($A$2,""_""),1)&amp;""\""&amp;INDEX(SPLIT($A$2,""_""),2)&amp;""\""&amp;SUBSTITUTE(SUBST"&amp;"ITUTE(SUBSTITUTE(SUBSTITUTE(SUBSTITUTE(INDEX(Hairstyles!$C:$C,MATCH($B186,Hairstyles!$F:$F,0)),"" "",""""),""'"",""""),""("",""""),"")"",""""),""-"",""_"")&amp;""_""&amp;$A$2)"),"DintBDORHairAddon\Human\Female\DintBDORAddon_Marseille_Human_Female")</f>
        <v>DintBDORHairAddon\Human\Female\DintBDORAddon_Marseille_Human_Female</v>
      </c>
      <c r="D186" s="12" t="str">
        <f t="shared" si="1"/>
        <v>Uvi_Wig_Spell_DintBDORadd_Marseille,DintBDORHairAddon\Human\Female\DintBDORAddon_Marseille_Human_Female</v>
      </c>
    </row>
    <row r="187">
      <c r="B187" s="12" t="str">
        <f>IFERROR(__xludf.DUMMYFUNCTION("""COMPUTED_VALUE"""),"Uvi_Wig_Spell_DintBDORadd_Nami")</f>
        <v>Uvi_Wig_Spell_DintBDORadd_Nami</v>
      </c>
      <c r="C187" s="12" t="str">
        <f>IFERROR(__xludf.DUMMYFUNCTION("IF($B187="""","""",SUBSTITUTE(SUBSTITUTE(SUBSTITUTE(SUBSTITUTE(INDEX(Hairstyles!$A:$A,MATCH($B187,Hairstyles!$F:$F,0)),"" "",""""),""'"",""""),""("",""""),"")"","""")&amp;""\""&amp;INDEX(SPLIT($A$2,""_""),1)&amp;""\""&amp;INDEX(SPLIT($A$2,""_""),2)&amp;""\""&amp;SUBSTITUTE(SUBST"&amp;"ITUTE(SUBSTITUTE(SUBSTITUTE(SUBSTITUTE(INDEX(Hairstyles!$C:$C,MATCH($B187,Hairstyles!$F:$F,0)),"" "",""""),""'"",""""),""("",""""),"")"",""""),""-"",""_"")&amp;""_""&amp;$A$2)"),"DintBDORHairAddon\Human\Female\DintBDORAddon_Nami_Human_Female")</f>
        <v>DintBDORHairAddon\Human\Female\DintBDORAddon_Nami_Human_Female</v>
      </c>
      <c r="D187" s="12" t="str">
        <f t="shared" si="1"/>
        <v>Uvi_Wig_Spell_DintBDORadd_Nami,DintBDORHairAddon\Human\Female\DintBDORAddon_Nami_Human_Female</v>
      </c>
    </row>
    <row r="188">
      <c r="B188" s="12" t="str">
        <f>IFERROR(__xludf.DUMMYFUNCTION("""COMPUTED_VALUE"""),"Uvi_Wig_Spell_DintBDORadd_Penny")</f>
        <v>Uvi_Wig_Spell_DintBDORadd_Penny</v>
      </c>
      <c r="C188" s="12" t="str">
        <f>IFERROR(__xludf.DUMMYFUNCTION("IF($B188="""","""",SUBSTITUTE(SUBSTITUTE(SUBSTITUTE(SUBSTITUTE(INDEX(Hairstyles!$A:$A,MATCH($B188,Hairstyles!$F:$F,0)),"" "",""""),""'"",""""),""("",""""),"")"","""")&amp;""\""&amp;INDEX(SPLIT($A$2,""_""),1)&amp;""\""&amp;INDEX(SPLIT($A$2,""_""),2)&amp;""\""&amp;SUBSTITUTE(SUBST"&amp;"ITUTE(SUBSTITUTE(SUBSTITUTE(SUBSTITUTE(INDEX(Hairstyles!$C:$C,MATCH($B188,Hairstyles!$F:$F,0)),"" "",""""),""'"",""""),""("",""""),"")"",""""),""-"",""_"")&amp;""_""&amp;$A$2)"),"DintBDORHairAddon\Human\Female\DintBDORAddon_Penny_Human_Female")</f>
        <v>DintBDORHairAddon\Human\Female\DintBDORAddon_Penny_Human_Female</v>
      </c>
      <c r="D188" s="12" t="str">
        <f t="shared" si="1"/>
        <v>Uvi_Wig_Spell_DintBDORadd_Penny,DintBDORHairAddon\Human\Female\DintBDORAddon_Penny_Human_Female</v>
      </c>
    </row>
    <row r="189">
      <c r="B189" s="12" t="str">
        <f>IFERROR(__xludf.DUMMYFUNCTION("""COMPUTED_VALUE"""),"Uvi_Wig_Spell_DintBDORadd_Ran")</f>
        <v>Uvi_Wig_Spell_DintBDORadd_Ran</v>
      </c>
      <c r="C189" s="12" t="str">
        <f>IFERROR(__xludf.DUMMYFUNCTION("IF($B189="""","""",SUBSTITUTE(SUBSTITUTE(SUBSTITUTE(SUBSTITUTE(INDEX(Hairstyles!$A:$A,MATCH($B189,Hairstyles!$F:$F,0)),"" "",""""),""'"",""""),""("",""""),"")"","""")&amp;""\""&amp;INDEX(SPLIT($A$2,""_""),1)&amp;""\""&amp;INDEX(SPLIT($A$2,""_""),2)&amp;""\""&amp;SUBSTITUTE(SUBST"&amp;"ITUTE(SUBSTITUTE(SUBSTITUTE(SUBSTITUTE(INDEX(Hairstyles!$C:$C,MATCH($B189,Hairstyles!$F:$F,0)),"" "",""""),""'"",""""),""("",""""),"")"",""""),""-"",""_"")&amp;""_""&amp;$A$2)"),"DintBDORHairAddon\Human\Female\DintBDORAddon_Ran_Human_Female")</f>
        <v>DintBDORHairAddon\Human\Female\DintBDORAddon_Ran_Human_Female</v>
      </c>
      <c r="D189" s="12" t="str">
        <f t="shared" si="1"/>
        <v>Uvi_Wig_Spell_DintBDORadd_Ran,DintBDORHairAddon\Human\Female\DintBDORAddon_Ran_Human_Female</v>
      </c>
    </row>
    <row r="190">
      <c r="B190" s="12" t="str">
        <f>IFERROR(__xludf.DUMMYFUNCTION("""COMPUTED_VALUE"""),"Uvi_Wig_Spell_DintBDORadd_Reina")</f>
        <v>Uvi_Wig_Spell_DintBDORadd_Reina</v>
      </c>
      <c r="C190" s="12" t="str">
        <f>IFERROR(__xludf.DUMMYFUNCTION("IF($B190="""","""",SUBSTITUTE(SUBSTITUTE(SUBSTITUTE(SUBSTITUTE(INDEX(Hairstyles!$A:$A,MATCH($B190,Hairstyles!$F:$F,0)),"" "",""""),""'"",""""),""("",""""),"")"","""")&amp;""\""&amp;INDEX(SPLIT($A$2,""_""),1)&amp;""\""&amp;INDEX(SPLIT($A$2,""_""),2)&amp;""\""&amp;SUBSTITUTE(SUBST"&amp;"ITUTE(SUBSTITUTE(SUBSTITUTE(SUBSTITUTE(INDEX(Hairstyles!$C:$C,MATCH($B190,Hairstyles!$F:$F,0)),"" "",""""),""'"",""""),""("",""""),"")"",""""),""-"",""_"")&amp;""_""&amp;$A$2)"),"DintBDORHairAddon\Human\Female\DintBDORAddon_Reina_Human_Female")</f>
        <v>DintBDORHairAddon\Human\Female\DintBDORAddon_Reina_Human_Female</v>
      </c>
      <c r="D190" s="12" t="str">
        <f t="shared" si="1"/>
        <v>Uvi_Wig_Spell_DintBDORadd_Reina,DintBDORHairAddon\Human\Female\DintBDORAddon_Reina_Human_Female</v>
      </c>
    </row>
    <row r="191">
      <c r="B191" s="12" t="str">
        <f>IFERROR(__xludf.DUMMYFUNCTION("""COMPUTED_VALUE"""),"Uvi_Wig_Spell_DintBDORadd_Riki")</f>
        <v>Uvi_Wig_Spell_DintBDORadd_Riki</v>
      </c>
      <c r="C191" s="12" t="str">
        <f>IFERROR(__xludf.DUMMYFUNCTION("IF($B191="""","""",SUBSTITUTE(SUBSTITUTE(SUBSTITUTE(SUBSTITUTE(INDEX(Hairstyles!$A:$A,MATCH($B191,Hairstyles!$F:$F,0)),"" "",""""),""'"",""""),""("",""""),"")"","""")&amp;""\""&amp;INDEX(SPLIT($A$2,""_""),1)&amp;""\""&amp;INDEX(SPLIT($A$2,""_""),2)&amp;""\""&amp;SUBSTITUTE(SUBST"&amp;"ITUTE(SUBSTITUTE(SUBSTITUTE(SUBSTITUTE(INDEX(Hairstyles!$C:$C,MATCH($B191,Hairstyles!$F:$F,0)),"" "",""""),""'"",""""),""("",""""),"")"",""""),""-"",""_"")&amp;""_""&amp;$A$2)"),"DintBDORHairAddon\Human\Female\DintBDORAddon_Riki_Human_Female")</f>
        <v>DintBDORHairAddon\Human\Female\DintBDORAddon_Riki_Human_Female</v>
      </c>
      <c r="D191" s="12" t="str">
        <f t="shared" si="1"/>
        <v>Uvi_Wig_Spell_DintBDORadd_Riki,DintBDORHairAddon\Human\Female\DintBDORAddon_Riki_Human_Female</v>
      </c>
    </row>
    <row r="192">
      <c r="B192" s="12" t="str">
        <f>IFERROR(__xludf.DUMMYFUNCTION("""COMPUTED_VALUE"""),"Uvi_Wig_Spell_DintBDORadd_Rio")</f>
        <v>Uvi_Wig_Spell_DintBDORadd_Rio</v>
      </c>
      <c r="C192" s="12" t="str">
        <f>IFERROR(__xludf.DUMMYFUNCTION("IF($B192="""","""",SUBSTITUTE(SUBSTITUTE(SUBSTITUTE(SUBSTITUTE(INDEX(Hairstyles!$A:$A,MATCH($B192,Hairstyles!$F:$F,0)),"" "",""""),""'"",""""),""("",""""),"")"","""")&amp;""\""&amp;INDEX(SPLIT($A$2,""_""),1)&amp;""\""&amp;INDEX(SPLIT($A$2,""_""),2)&amp;""\""&amp;SUBSTITUTE(SUBST"&amp;"ITUTE(SUBSTITUTE(SUBSTITUTE(SUBSTITUTE(INDEX(Hairstyles!$C:$C,MATCH($B192,Hairstyles!$F:$F,0)),"" "",""""),""'"",""""),""("",""""),"")"",""""),""-"",""_"")&amp;""_""&amp;$A$2)"),"DintBDORHairAddon\Human\Female\DintBDORAddon_Rio_Human_Female")</f>
        <v>DintBDORHairAddon\Human\Female\DintBDORAddon_Rio_Human_Female</v>
      </c>
      <c r="D192" s="12" t="str">
        <f t="shared" si="1"/>
        <v>Uvi_Wig_Spell_DintBDORadd_Rio,DintBDORHairAddon\Human\Female\DintBDORAddon_Rio_Human_Female</v>
      </c>
    </row>
    <row r="193">
      <c r="B193" s="12" t="str">
        <f>IFERROR(__xludf.DUMMYFUNCTION("""COMPUTED_VALUE"""),"Uvi_Wig_Spell_DintBDORadd_Toki")</f>
        <v>Uvi_Wig_Spell_DintBDORadd_Toki</v>
      </c>
      <c r="C193" s="12" t="str">
        <f>IFERROR(__xludf.DUMMYFUNCTION("IF($B193="""","""",SUBSTITUTE(SUBSTITUTE(SUBSTITUTE(SUBSTITUTE(INDEX(Hairstyles!$A:$A,MATCH($B193,Hairstyles!$F:$F,0)),"" "",""""),""'"",""""),""("",""""),"")"","""")&amp;""\""&amp;INDEX(SPLIT($A$2,""_""),1)&amp;""\""&amp;INDEX(SPLIT($A$2,""_""),2)&amp;""\""&amp;SUBSTITUTE(SUBST"&amp;"ITUTE(SUBSTITUTE(SUBSTITUTE(SUBSTITUTE(INDEX(Hairstyles!$C:$C,MATCH($B193,Hairstyles!$F:$F,0)),"" "",""""),""'"",""""),""("",""""),"")"",""""),""-"",""_"")&amp;""_""&amp;$A$2)"),"DintBDORHairAddon\Human\Female\DintBDORAddon_Toki_Human_Female")</f>
        <v>DintBDORHairAddon\Human\Female\DintBDORAddon_Toki_Human_Female</v>
      </c>
      <c r="D193" s="12" t="str">
        <f t="shared" si="1"/>
        <v>Uvi_Wig_Spell_DintBDORadd_Toki,DintBDORHairAddon\Human\Female\DintBDORAddon_Toki_Human_Female</v>
      </c>
    </row>
    <row r="194">
      <c r="B194" s="12" t="str">
        <f>IFERROR(__xludf.DUMMYFUNCTION("""COMPUTED_VALUE"""),"Uvi_Wig_Spell_DintBDORadd_Yuna")</f>
        <v>Uvi_Wig_Spell_DintBDORadd_Yuna</v>
      </c>
      <c r="C194" s="12" t="str">
        <f>IFERROR(__xludf.DUMMYFUNCTION("IF($B194="""","""",SUBSTITUTE(SUBSTITUTE(SUBSTITUTE(SUBSTITUTE(INDEX(Hairstyles!$A:$A,MATCH($B194,Hairstyles!$F:$F,0)),"" "",""""),""'"",""""),""("",""""),"")"","""")&amp;""\""&amp;INDEX(SPLIT($A$2,""_""),1)&amp;""\""&amp;INDEX(SPLIT($A$2,""_""),2)&amp;""\""&amp;SUBSTITUTE(SUBST"&amp;"ITUTE(SUBSTITUTE(SUBSTITUTE(SUBSTITUTE(INDEX(Hairstyles!$C:$C,MATCH($B194,Hairstyles!$F:$F,0)),"" "",""""),""'"",""""),""("",""""),"")"",""""),""-"",""_"")&amp;""_""&amp;$A$2)"),"DintBDORHairAddon\Human\Female\DintBDORAddon_Yuna_Human_Female")</f>
        <v>DintBDORHairAddon\Human\Female\DintBDORAddon_Yuna_Human_Female</v>
      </c>
      <c r="D194" s="12" t="str">
        <f t="shared" si="1"/>
        <v>Uvi_Wig_Spell_DintBDORadd_Yuna,DintBDORHairAddon\Human\Female\DintBDORAddon_Yuna_Human_Female</v>
      </c>
    </row>
    <row r="195">
      <c r="B195" s="12" t="str">
        <f>IFERROR(__xludf.DUMMYFUNCTION("""COMPUTED_VALUE"""),"Uvi_Wig_Spell_Dint02_01")</f>
        <v>Uvi_Wig_Spell_Dint02_01</v>
      </c>
      <c r="C195" s="12" t="str">
        <f>IFERROR(__xludf.DUMMYFUNCTION("IF($B195="""","""",SUBSTITUTE(SUBSTITUTE(SUBSTITUTE(SUBSTITUTE(INDEX(Hairstyles!$A:$A,MATCH($B195,Hairstyles!$F:$F,0)),"" "",""""),""'"",""""),""("",""""),"")"","""")&amp;""\""&amp;INDEX(SPLIT($A$2,""_""),1)&amp;""\""&amp;INDEX(SPLIT($A$2,""_""),2)&amp;""\""&amp;SUBSTITUTE(SUBST"&amp;"ITUTE(SUBSTITUTE(SUBSTITUTE(SUBSTITUTE(INDEX(Hairstyles!$C:$C,MATCH($B195,Hairstyles!$F:$F,0)),"" "",""""),""'"",""""),""("",""""),"")"",""""),""-"",""_"")&amp;""_""&amp;$A$2)"),"DintHairPack02\Human\Female\DintHairPack02_1_Human_Female")</f>
        <v>DintHairPack02\Human\Female\DintHairPack02_1_Human_Female</v>
      </c>
      <c r="D195" s="12" t="str">
        <f t="shared" si="1"/>
        <v>Uvi_Wig_Spell_Dint02_01,DintHairPack02\Human\Female\DintHairPack02_1_Human_Female</v>
      </c>
    </row>
    <row r="196">
      <c r="B196" s="12" t="str">
        <f>IFERROR(__xludf.DUMMYFUNCTION("""COMPUTED_VALUE"""),"Uvi_Wig_Spell_Dint02_02")</f>
        <v>Uvi_Wig_Spell_Dint02_02</v>
      </c>
      <c r="C196" s="12" t="str">
        <f>IFERROR(__xludf.DUMMYFUNCTION("IF($B196="""","""",SUBSTITUTE(SUBSTITUTE(SUBSTITUTE(SUBSTITUTE(INDEX(Hairstyles!$A:$A,MATCH($B196,Hairstyles!$F:$F,0)),"" "",""""),""'"",""""),""("",""""),"")"","""")&amp;""\""&amp;INDEX(SPLIT($A$2,""_""),1)&amp;""\""&amp;INDEX(SPLIT($A$2,""_""),2)&amp;""\""&amp;SUBSTITUTE(SUBST"&amp;"ITUTE(SUBSTITUTE(SUBSTITUTE(SUBSTITUTE(INDEX(Hairstyles!$C:$C,MATCH($B196,Hairstyles!$F:$F,0)),"" "",""""),""'"",""""),""("",""""),"")"",""""),""-"",""_"")&amp;""_""&amp;$A$2)"),"DintHairPack02\Human\Female\DintHairPack02_2_Human_Female")</f>
        <v>DintHairPack02\Human\Female\DintHairPack02_2_Human_Female</v>
      </c>
      <c r="D196" s="12" t="str">
        <f t="shared" si="1"/>
        <v>Uvi_Wig_Spell_Dint02_02,DintHairPack02\Human\Female\DintHairPack02_2_Human_Female</v>
      </c>
    </row>
    <row r="197">
      <c r="B197" s="12" t="str">
        <f>IFERROR(__xludf.DUMMYFUNCTION("""COMPUTED_VALUE"""),"Uvi_Wig_Spell_Dint02_03")</f>
        <v>Uvi_Wig_Spell_Dint02_03</v>
      </c>
      <c r="C197" s="12" t="str">
        <f>IFERROR(__xludf.DUMMYFUNCTION("IF($B197="""","""",SUBSTITUTE(SUBSTITUTE(SUBSTITUTE(SUBSTITUTE(INDEX(Hairstyles!$A:$A,MATCH($B197,Hairstyles!$F:$F,0)),"" "",""""),""'"",""""),""("",""""),"")"","""")&amp;""\""&amp;INDEX(SPLIT($A$2,""_""),1)&amp;""\""&amp;INDEX(SPLIT($A$2,""_""),2)&amp;""\""&amp;SUBSTITUTE(SUBST"&amp;"ITUTE(SUBSTITUTE(SUBSTITUTE(SUBSTITUTE(INDEX(Hairstyles!$C:$C,MATCH($B197,Hairstyles!$F:$F,0)),"" "",""""),""'"",""""),""("",""""),"")"",""""),""-"",""_"")&amp;""_""&amp;$A$2)"),"DintHairPack02\Human\Female\DintHairPack02_3_Human_Female")</f>
        <v>DintHairPack02\Human\Female\DintHairPack02_3_Human_Female</v>
      </c>
      <c r="D197" s="12" t="str">
        <f t="shared" si="1"/>
        <v>Uvi_Wig_Spell_Dint02_03,DintHairPack02\Human\Female\DintHairPack02_3_Human_Female</v>
      </c>
    </row>
    <row r="198">
      <c r="B198" s="12" t="str">
        <f>IFERROR(__xludf.DUMMYFUNCTION("""COMPUTED_VALUE"""),"Uvi_Wig_Spell_Dint02_03Long")</f>
        <v>Uvi_Wig_Spell_Dint02_03Long</v>
      </c>
      <c r="C198" s="12" t="str">
        <f>IFERROR(__xludf.DUMMYFUNCTION("IF($B198="""","""",SUBSTITUTE(SUBSTITUTE(SUBSTITUTE(SUBSTITUTE(INDEX(Hairstyles!$A:$A,MATCH($B198,Hairstyles!$F:$F,0)),"" "",""""),""'"",""""),""("",""""),"")"","""")&amp;""\""&amp;INDEX(SPLIT($A$2,""_""),1)&amp;""\""&amp;INDEX(SPLIT($A$2,""_""),2)&amp;""\""&amp;SUBSTITUTE(SUBST"&amp;"ITUTE(SUBSTITUTE(SUBSTITUTE(SUBSTITUTE(INDEX(Hairstyles!$C:$C,MATCH($B198,Hairstyles!$F:$F,0)),"" "",""""),""'"",""""),""("",""""),"")"",""""),""-"",""_"")&amp;""_""&amp;$A$2)"),"DintHairPack02\Human\Female\DintHairPack02_3Long_Human_Female")</f>
        <v>DintHairPack02\Human\Female\DintHairPack02_3Long_Human_Female</v>
      </c>
      <c r="D198" s="12" t="str">
        <f t="shared" si="1"/>
        <v>Uvi_Wig_Spell_Dint02_03Long,DintHairPack02\Human\Female\DintHairPack02_3Long_Human_Female</v>
      </c>
    </row>
    <row r="199">
      <c r="B199" s="12" t="str">
        <f>IFERROR(__xludf.DUMMYFUNCTION("""COMPUTED_VALUE"""),"Uvi_Wig_Spell_Dint02_04")</f>
        <v>Uvi_Wig_Spell_Dint02_04</v>
      </c>
      <c r="C199" s="12" t="str">
        <f>IFERROR(__xludf.DUMMYFUNCTION("IF($B199="""","""",SUBSTITUTE(SUBSTITUTE(SUBSTITUTE(SUBSTITUTE(INDEX(Hairstyles!$A:$A,MATCH($B199,Hairstyles!$F:$F,0)),"" "",""""),""'"",""""),""("",""""),"")"","""")&amp;""\""&amp;INDEX(SPLIT($A$2,""_""),1)&amp;""\""&amp;INDEX(SPLIT($A$2,""_""),2)&amp;""\""&amp;SUBSTITUTE(SUBST"&amp;"ITUTE(SUBSTITUTE(SUBSTITUTE(SUBSTITUTE(INDEX(Hairstyles!$C:$C,MATCH($B199,Hairstyles!$F:$F,0)),"" "",""""),""'"",""""),""("",""""),"")"",""""),""-"",""_"")&amp;""_""&amp;$A$2)"),"DintHairPack02\Human\Female\DintHairPack02_4_Human_Female")</f>
        <v>DintHairPack02\Human\Female\DintHairPack02_4_Human_Female</v>
      </c>
      <c r="D199" s="12" t="str">
        <f t="shared" si="1"/>
        <v>Uvi_Wig_Spell_Dint02_04,DintHairPack02\Human\Female\DintHairPack02_4_Human_Female</v>
      </c>
    </row>
    <row r="200">
      <c r="B200" s="12" t="str">
        <f>IFERROR(__xludf.DUMMYFUNCTION("""COMPUTED_VALUE"""),"Uvi_Wig_Spell_Dint02_05")</f>
        <v>Uvi_Wig_Spell_Dint02_05</v>
      </c>
      <c r="C200" s="12" t="str">
        <f>IFERROR(__xludf.DUMMYFUNCTION("IF($B200="""","""",SUBSTITUTE(SUBSTITUTE(SUBSTITUTE(SUBSTITUTE(INDEX(Hairstyles!$A:$A,MATCH($B200,Hairstyles!$F:$F,0)),"" "",""""),""'"",""""),""("",""""),"")"","""")&amp;""\""&amp;INDEX(SPLIT($A$2,""_""),1)&amp;""\""&amp;INDEX(SPLIT($A$2,""_""),2)&amp;""\""&amp;SUBSTITUTE(SUBST"&amp;"ITUTE(SUBSTITUTE(SUBSTITUTE(SUBSTITUTE(INDEX(Hairstyles!$C:$C,MATCH($B200,Hairstyles!$F:$F,0)),"" "",""""),""'"",""""),""("",""""),"")"",""""),""-"",""_"")&amp;""_""&amp;$A$2)"),"DintHairPack02\Human\Female\DintHairPack02_5_Human_Female")</f>
        <v>DintHairPack02\Human\Female\DintHairPack02_5_Human_Female</v>
      </c>
      <c r="D200" s="12" t="str">
        <f t="shared" si="1"/>
        <v>Uvi_Wig_Spell_Dint02_05,DintHairPack02\Human\Female\DintHairPack02_5_Human_Female</v>
      </c>
    </row>
    <row r="201">
      <c r="B201" s="12" t="str">
        <f>IFERROR(__xludf.DUMMYFUNCTION("""COMPUTED_VALUE"""),"Uvi_Wig_Spell_Dint02_06")</f>
        <v>Uvi_Wig_Spell_Dint02_06</v>
      </c>
      <c r="C201" s="12" t="str">
        <f>IFERROR(__xludf.DUMMYFUNCTION("IF($B201="""","""",SUBSTITUTE(SUBSTITUTE(SUBSTITUTE(SUBSTITUTE(INDEX(Hairstyles!$A:$A,MATCH($B201,Hairstyles!$F:$F,0)),"" "",""""),""'"",""""),""("",""""),"")"","""")&amp;""\""&amp;INDEX(SPLIT($A$2,""_""),1)&amp;""\""&amp;INDEX(SPLIT($A$2,""_""),2)&amp;""\""&amp;SUBSTITUTE(SUBST"&amp;"ITUTE(SUBSTITUTE(SUBSTITUTE(SUBSTITUTE(INDEX(Hairstyles!$C:$C,MATCH($B201,Hairstyles!$F:$F,0)),"" "",""""),""'"",""""),""("",""""),"")"",""""),""-"",""_"")&amp;""_""&amp;$A$2)"),"DintHairPack02\Human\Female\DintHairPack02_6_Human_Female")</f>
        <v>DintHairPack02\Human\Female\DintHairPack02_6_Human_Female</v>
      </c>
      <c r="D201" s="12" t="str">
        <f t="shared" si="1"/>
        <v>Uvi_Wig_Spell_Dint02_06,DintHairPack02\Human\Female\DintHairPack02_6_Human_Female</v>
      </c>
    </row>
    <row r="202">
      <c r="B202" s="12" t="str">
        <f>IFERROR(__xludf.DUMMYFUNCTION("""COMPUTED_VALUE"""),"Uvi_Wig_Spell_Dint02_07")</f>
        <v>Uvi_Wig_Spell_Dint02_07</v>
      </c>
      <c r="C202" s="12" t="str">
        <f>IFERROR(__xludf.DUMMYFUNCTION("IF($B202="""","""",SUBSTITUTE(SUBSTITUTE(SUBSTITUTE(SUBSTITUTE(INDEX(Hairstyles!$A:$A,MATCH($B202,Hairstyles!$F:$F,0)),"" "",""""),""'"",""""),""("",""""),"")"","""")&amp;""\""&amp;INDEX(SPLIT($A$2,""_""),1)&amp;""\""&amp;INDEX(SPLIT($A$2,""_""),2)&amp;""\""&amp;SUBSTITUTE(SUBST"&amp;"ITUTE(SUBSTITUTE(SUBSTITUTE(SUBSTITUTE(INDEX(Hairstyles!$C:$C,MATCH($B202,Hairstyles!$F:$F,0)),"" "",""""),""'"",""""),""("",""""),"")"",""""),""-"",""_"")&amp;""_""&amp;$A$2)"),"DintHairPack02\Human\Female\DintHairPack02_7_Human_Female")</f>
        <v>DintHairPack02\Human\Female\DintHairPack02_7_Human_Female</v>
      </c>
      <c r="D202" s="12" t="str">
        <f t="shared" si="1"/>
        <v>Uvi_Wig_Spell_Dint02_07,DintHairPack02\Human\Female\DintHairPack02_7_Human_Female</v>
      </c>
    </row>
    <row r="203">
      <c r="B203" s="12" t="str">
        <f>IFERROR(__xludf.DUMMYFUNCTION("""COMPUTED_VALUE"""),"Uvi_Wig_Spell_Dint02_08")</f>
        <v>Uvi_Wig_Spell_Dint02_08</v>
      </c>
      <c r="C203" s="12" t="str">
        <f>IFERROR(__xludf.DUMMYFUNCTION("IF($B203="""","""",SUBSTITUTE(SUBSTITUTE(SUBSTITUTE(SUBSTITUTE(INDEX(Hairstyles!$A:$A,MATCH($B203,Hairstyles!$F:$F,0)),"" "",""""),""'"",""""),""("",""""),"")"","""")&amp;""\""&amp;INDEX(SPLIT($A$2,""_""),1)&amp;""\""&amp;INDEX(SPLIT($A$2,""_""),2)&amp;""\""&amp;SUBSTITUTE(SUBST"&amp;"ITUTE(SUBSTITUTE(SUBSTITUTE(SUBSTITUTE(INDEX(Hairstyles!$C:$C,MATCH($B203,Hairstyles!$F:$F,0)),"" "",""""),""'"",""""),""("",""""),"")"",""""),""-"",""_"")&amp;""_""&amp;$A$2)"),"DintHairPack02\Human\Female\DintHairPack02_8_Human_Female")</f>
        <v>DintHairPack02\Human\Female\DintHairPack02_8_Human_Female</v>
      </c>
      <c r="D203" s="12" t="str">
        <f t="shared" si="1"/>
        <v>Uvi_Wig_Spell_Dint02_08,DintHairPack02\Human\Female\DintHairPack02_8_Human_Female</v>
      </c>
    </row>
    <row r="204">
      <c r="B204" s="12" t="str">
        <f>IFERROR(__xludf.DUMMYFUNCTION("""COMPUTED_VALUE"""),"Uvi_Wig_Spell_Dint02_09")</f>
        <v>Uvi_Wig_Spell_Dint02_09</v>
      </c>
      <c r="C204" s="12" t="str">
        <f>IFERROR(__xludf.DUMMYFUNCTION("IF($B204="""","""",SUBSTITUTE(SUBSTITUTE(SUBSTITUTE(SUBSTITUTE(INDEX(Hairstyles!$A:$A,MATCH($B204,Hairstyles!$F:$F,0)),"" "",""""),""'"",""""),""("",""""),"")"","""")&amp;""\""&amp;INDEX(SPLIT($A$2,""_""),1)&amp;""\""&amp;INDEX(SPLIT($A$2,""_""),2)&amp;""\""&amp;SUBSTITUTE(SUBST"&amp;"ITUTE(SUBSTITUTE(SUBSTITUTE(SUBSTITUTE(INDEX(Hairstyles!$C:$C,MATCH($B204,Hairstyles!$F:$F,0)),"" "",""""),""'"",""""),""("",""""),"")"",""""),""-"",""_"")&amp;""_""&amp;$A$2)"),"DintHairPack02\Human\Female\DintHairPack02_9_Human_Female")</f>
        <v>DintHairPack02\Human\Female\DintHairPack02_9_Human_Female</v>
      </c>
      <c r="D204" s="12" t="str">
        <f t="shared" si="1"/>
        <v>Uvi_Wig_Spell_Dint02_09,DintHairPack02\Human\Female\DintHairPack02_9_Human_Female</v>
      </c>
    </row>
    <row r="205">
      <c r="B205" s="12" t="str">
        <f>IFERROR(__xludf.DUMMYFUNCTION("""COMPUTED_VALUE"""),"Uvi_Wig_Spell_Dint02_10")</f>
        <v>Uvi_Wig_Spell_Dint02_10</v>
      </c>
      <c r="C205" s="12" t="str">
        <f>IFERROR(__xludf.DUMMYFUNCTION("IF($B205="""","""",SUBSTITUTE(SUBSTITUTE(SUBSTITUTE(SUBSTITUTE(INDEX(Hairstyles!$A:$A,MATCH($B205,Hairstyles!$F:$F,0)),"" "",""""),""'"",""""),""("",""""),"")"","""")&amp;""\""&amp;INDEX(SPLIT($A$2,""_""),1)&amp;""\""&amp;INDEX(SPLIT($A$2,""_""),2)&amp;""\""&amp;SUBSTITUTE(SUBST"&amp;"ITUTE(SUBSTITUTE(SUBSTITUTE(SUBSTITUTE(INDEX(Hairstyles!$C:$C,MATCH($B205,Hairstyles!$F:$F,0)),"" "",""""),""'"",""""),""("",""""),"")"",""""),""-"",""_"")&amp;""_""&amp;$A$2)"),"DintHairPack02\Human\Female\DintHairPack02_10_Human_Female")</f>
        <v>DintHairPack02\Human\Female\DintHairPack02_10_Human_Female</v>
      </c>
      <c r="D205" s="12" t="str">
        <f t="shared" si="1"/>
        <v>Uvi_Wig_Spell_Dint02_10,DintHairPack02\Human\Female\DintHairPack02_10_Human_Female</v>
      </c>
    </row>
    <row r="206">
      <c r="B206" s="12" t="str">
        <f>IFERROR(__xludf.DUMMYFUNCTION("""COMPUTED_VALUE"""),"Uvi_Wig_Spell_Dint02_11")</f>
        <v>Uvi_Wig_Spell_Dint02_11</v>
      </c>
      <c r="C206" s="12" t="str">
        <f>IFERROR(__xludf.DUMMYFUNCTION("IF($B206="""","""",SUBSTITUTE(SUBSTITUTE(SUBSTITUTE(SUBSTITUTE(INDEX(Hairstyles!$A:$A,MATCH($B206,Hairstyles!$F:$F,0)),"" "",""""),""'"",""""),""("",""""),"")"","""")&amp;""\""&amp;INDEX(SPLIT($A$2,""_""),1)&amp;""\""&amp;INDEX(SPLIT($A$2,""_""),2)&amp;""\""&amp;SUBSTITUTE(SUBST"&amp;"ITUTE(SUBSTITUTE(SUBSTITUTE(SUBSTITUTE(INDEX(Hairstyles!$C:$C,MATCH($B206,Hairstyles!$F:$F,0)),"" "",""""),""'"",""""),""("",""""),"")"",""""),""-"",""_"")&amp;""_""&amp;$A$2)"),"DintHairPack02\Human\Female\DintHairPack02_11_Human_Female")</f>
        <v>DintHairPack02\Human\Female\DintHairPack02_11_Human_Female</v>
      </c>
      <c r="D206" s="12" t="str">
        <f t="shared" si="1"/>
        <v>Uvi_Wig_Spell_Dint02_11,DintHairPack02\Human\Female\DintHairPack02_11_Human_Female</v>
      </c>
    </row>
    <row r="207">
      <c r="B207" s="12" t="str">
        <f>IFERROR(__xludf.DUMMYFUNCTION("""COMPUTED_VALUE"""),"Uvi_Wig_Spell_Dint02_12")</f>
        <v>Uvi_Wig_Spell_Dint02_12</v>
      </c>
      <c r="C207" s="12" t="str">
        <f>IFERROR(__xludf.DUMMYFUNCTION("IF($B207="""","""",SUBSTITUTE(SUBSTITUTE(SUBSTITUTE(SUBSTITUTE(INDEX(Hairstyles!$A:$A,MATCH($B207,Hairstyles!$F:$F,0)),"" "",""""),""'"",""""),""("",""""),"")"","""")&amp;""\""&amp;INDEX(SPLIT($A$2,""_""),1)&amp;""\""&amp;INDEX(SPLIT($A$2,""_""),2)&amp;""\""&amp;SUBSTITUTE(SUBST"&amp;"ITUTE(SUBSTITUTE(SUBSTITUTE(SUBSTITUTE(INDEX(Hairstyles!$C:$C,MATCH($B207,Hairstyles!$F:$F,0)),"" "",""""),""'"",""""),""("",""""),"")"",""""),""-"",""_"")&amp;""_""&amp;$A$2)"),"DintHairPack02\Human\Female\DintHairPack02_12_Human_Female")</f>
        <v>DintHairPack02\Human\Female\DintHairPack02_12_Human_Female</v>
      </c>
      <c r="D207" s="12" t="str">
        <f t="shared" si="1"/>
        <v>Uvi_Wig_Spell_Dint02_12,DintHairPack02\Human\Female\DintHairPack02_12_Human_Female</v>
      </c>
    </row>
    <row r="208">
      <c r="B208" s="12" t="str">
        <f>IFERROR(__xludf.DUMMYFUNCTION("""COMPUTED_VALUE"""),"Uvi_Wig_Spell_Dint02_13")</f>
        <v>Uvi_Wig_Spell_Dint02_13</v>
      </c>
      <c r="C208" s="12" t="str">
        <f>IFERROR(__xludf.DUMMYFUNCTION("IF($B208="""","""",SUBSTITUTE(SUBSTITUTE(SUBSTITUTE(SUBSTITUTE(INDEX(Hairstyles!$A:$A,MATCH($B208,Hairstyles!$F:$F,0)),"" "",""""),""'"",""""),""("",""""),"")"","""")&amp;""\""&amp;INDEX(SPLIT($A$2,""_""),1)&amp;""\""&amp;INDEX(SPLIT($A$2,""_""),2)&amp;""\""&amp;SUBSTITUTE(SUBST"&amp;"ITUTE(SUBSTITUTE(SUBSTITUTE(SUBSTITUTE(INDEX(Hairstyles!$C:$C,MATCH($B208,Hairstyles!$F:$F,0)),"" "",""""),""'"",""""),""("",""""),"")"",""""),""-"",""_"")&amp;""_""&amp;$A$2)"),"DintHairPack02\Human\Female\DintHairPack02_13_Human_Female")</f>
        <v>DintHairPack02\Human\Female\DintHairPack02_13_Human_Female</v>
      </c>
      <c r="D208" s="12" t="str">
        <f t="shared" si="1"/>
        <v>Uvi_Wig_Spell_Dint02_13,DintHairPack02\Human\Female\DintHairPack02_13_Human_Female</v>
      </c>
    </row>
    <row r="209">
      <c r="B209" s="12" t="str">
        <f>IFERROR(__xludf.DUMMYFUNCTION("""COMPUTED_VALUE"""),"Uvi_Wig_Spell_Dint02_14")</f>
        <v>Uvi_Wig_Spell_Dint02_14</v>
      </c>
      <c r="C209" s="12" t="str">
        <f>IFERROR(__xludf.DUMMYFUNCTION("IF($B209="""","""",SUBSTITUTE(SUBSTITUTE(SUBSTITUTE(SUBSTITUTE(INDEX(Hairstyles!$A:$A,MATCH($B209,Hairstyles!$F:$F,0)),"" "",""""),""'"",""""),""("",""""),"")"","""")&amp;""\""&amp;INDEX(SPLIT($A$2,""_""),1)&amp;""\""&amp;INDEX(SPLIT($A$2,""_""),2)&amp;""\""&amp;SUBSTITUTE(SUBST"&amp;"ITUTE(SUBSTITUTE(SUBSTITUTE(SUBSTITUTE(INDEX(Hairstyles!$C:$C,MATCH($B209,Hairstyles!$F:$F,0)),"" "",""""),""'"",""""),""("",""""),"")"",""""),""-"",""_"")&amp;""_""&amp;$A$2)"),"DintHairPack02\Human\Female\DintHairPack02_14_Human_Female")</f>
        <v>DintHairPack02\Human\Female\DintHairPack02_14_Human_Female</v>
      </c>
      <c r="D209" s="12" t="str">
        <f t="shared" si="1"/>
        <v>Uvi_Wig_Spell_Dint02_14,DintHairPack02\Human\Female\DintHairPack02_14_Human_Female</v>
      </c>
    </row>
    <row r="210">
      <c r="B210" s="12" t="str">
        <f>IFERROR(__xludf.DUMMYFUNCTION("""COMPUTED_VALUE"""),"Uvi_Wig_Spell_Dint02_15")</f>
        <v>Uvi_Wig_Spell_Dint02_15</v>
      </c>
      <c r="C210" s="12" t="str">
        <f>IFERROR(__xludf.DUMMYFUNCTION("IF($B210="""","""",SUBSTITUTE(SUBSTITUTE(SUBSTITUTE(SUBSTITUTE(INDEX(Hairstyles!$A:$A,MATCH($B210,Hairstyles!$F:$F,0)),"" "",""""),""'"",""""),""("",""""),"")"","""")&amp;""\""&amp;INDEX(SPLIT($A$2,""_""),1)&amp;""\""&amp;INDEX(SPLIT($A$2,""_""),2)&amp;""\""&amp;SUBSTITUTE(SUBST"&amp;"ITUTE(SUBSTITUTE(SUBSTITUTE(SUBSTITUTE(INDEX(Hairstyles!$C:$C,MATCH($B210,Hairstyles!$F:$F,0)),"" "",""""),""'"",""""),""("",""""),"")"",""""),""-"",""_"")&amp;""_""&amp;$A$2)"),"DintHairPack02\Human\Female\DintHairPack02_15_Human_Female")</f>
        <v>DintHairPack02\Human\Female\DintHairPack02_15_Human_Female</v>
      </c>
      <c r="D210" s="12" t="str">
        <f t="shared" si="1"/>
        <v>Uvi_Wig_Spell_Dint02_15,DintHairPack02\Human\Female\DintHairPack02_15_Human_Female</v>
      </c>
    </row>
    <row r="211">
      <c r="B211" s="12" t="str">
        <f>IFERROR(__xludf.DUMMYFUNCTION("""COMPUTED_VALUE"""),"Uvi_Wig_Spell_Dint02_16")</f>
        <v>Uvi_Wig_Spell_Dint02_16</v>
      </c>
      <c r="C211" s="12" t="str">
        <f>IFERROR(__xludf.DUMMYFUNCTION("IF($B211="""","""",SUBSTITUTE(SUBSTITUTE(SUBSTITUTE(SUBSTITUTE(INDEX(Hairstyles!$A:$A,MATCH($B211,Hairstyles!$F:$F,0)),"" "",""""),""'"",""""),""("",""""),"")"","""")&amp;""\""&amp;INDEX(SPLIT($A$2,""_""),1)&amp;""\""&amp;INDEX(SPLIT($A$2,""_""),2)&amp;""\""&amp;SUBSTITUTE(SUBST"&amp;"ITUTE(SUBSTITUTE(SUBSTITUTE(SUBSTITUTE(INDEX(Hairstyles!$C:$C,MATCH($B211,Hairstyles!$F:$F,0)),"" "",""""),""'"",""""),""("",""""),"")"",""""),""-"",""_"")&amp;""_""&amp;$A$2)"),"DintHairPack02\Human\Female\DintHairPack02_16_Human_Female")</f>
        <v>DintHairPack02\Human\Female\DintHairPack02_16_Human_Female</v>
      </c>
      <c r="D211" s="12" t="str">
        <f t="shared" si="1"/>
        <v>Uvi_Wig_Spell_Dint02_16,DintHairPack02\Human\Female\DintHairPack02_16_Human_Female</v>
      </c>
    </row>
    <row r="212">
      <c r="B212" s="12" t="str">
        <f>IFERROR(__xludf.DUMMYFUNCTION("""COMPUTED_VALUE"""),"Uvi_Wig_Spell_Dint02_17")</f>
        <v>Uvi_Wig_Spell_Dint02_17</v>
      </c>
      <c r="C212" s="12" t="str">
        <f>IFERROR(__xludf.DUMMYFUNCTION("IF($B212="""","""",SUBSTITUTE(SUBSTITUTE(SUBSTITUTE(SUBSTITUTE(INDEX(Hairstyles!$A:$A,MATCH($B212,Hairstyles!$F:$F,0)),"" "",""""),""'"",""""),""("",""""),"")"","""")&amp;""\""&amp;INDEX(SPLIT($A$2,""_""),1)&amp;""\""&amp;INDEX(SPLIT($A$2,""_""),2)&amp;""\""&amp;SUBSTITUTE(SUBST"&amp;"ITUTE(SUBSTITUTE(SUBSTITUTE(SUBSTITUTE(INDEX(Hairstyles!$C:$C,MATCH($B212,Hairstyles!$F:$F,0)),"" "",""""),""'"",""""),""("",""""),"")"",""""),""-"",""_"")&amp;""_""&amp;$A$2)"),"DintHairPack02\Human\Female\DintHairPack02_17_Human_Female")</f>
        <v>DintHairPack02\Human\Female\DintHairPack02_17_Human_Female</v>
      </c>
      <c r="D212" s="12" t="str">
        <f t="shared" si="1"/>
        <v>Uvi_Wig_Spell_Dint02_17,DintHairPack02\Human\Female\DintHairPack02_17_Human_Female</v>
      </c>
    </row>
    <row r="213">
      <c r="B213" s="12" t="str">
        <f>IFERROR(__xludf.DUMMYFUNCTION("""COMPUTED_VALUE"""),"Uvi_Wig_Spell_Dint02_18A")</f>
        <v>Uvi_Wig_Spell_Dint02_18A</v>
      </c>
      <c r="C213" s="12" t="str">
        <f>IFERROR(__xludf.DUMMYFUNCTION("IF($B213="""","""",SUBSTITUTE(SUBSTITUTE(SUBSTITUTE(SUBSTITUTE(INDEX(Hairstyles!$A:$A,MATCH($B213,Hairstyles!$F:$F,0)),"" "",""""),""'"",""""),""("",""""),"")"","""")&amp;""\""&amp;INDEX(SPLIT($A$2,""_""),1)&amp;""\""&amp;INDEX(SPLIT($A$2,""_""),2)&amp;""\""&amp;SUBSTITUTE(SUBST"&amp;"ITUTE(SUBSTITUTE(SUBSTITUTE(SUBSTITUTE(INDEX(Hairstyles!$C:$C,MATCH($B213,Hairstyles!$F:$F,0)),"" "",""""),""'"",""""),""("",""""),"")"",""""),""-"",""_"")&amp;""_""&amp;$A$2)"),"DintHairPack02\Human\Female\DintHairPack02_18A_Human_Female")</f>
        <v>DintHairPack02\Human\Female\DintHairPack02_18A_Human_Female</v>
      </c>
      <c r="D213" s="12" t="str">
        <f t="shared" si="1"/>
        <v>Uvi_Wig_Spell_Dint02_18A,DintHairPack02\Human\Female\DintHairPack02_18A_Human_Female</v>
      </c>
    </row>
    <row r="214">
      <c r="B214" s="12" t="str">
        <f>IFERROR(__xludf.DUMMYFUNCTION("""COMPUTED_VALUE"""),"Uvi_Wig_Spell_Dint02_18B")</f>
        <v>Uvi_Wig_Spell_Dint02_18B</v>
      </c>
      <c r="C214" s="12" t="str">
        <f>IFERROR(__xludf.DUMMYFUNCTION("IF($B214="""","""",SUBSTITUTE(SUBSTITUTE(SUBSTITUTE(SUBSTITUTE(INDEX(Hairstyles!$A:$A,MATCH($B214,Hairstyles!$F:$F,0)),"" "",""""),""'"",""""),""("",""""),"")"","""")&amp;""\""&amp;INDEX(SPLIT($A$2,""_""),1)&amp;""\""&amp;INDEX(SPLIT($A$2,""_""),2)&amp;""\""&amp;SUBSTITUTE(SUBST"&amp;"ITUTE(SUBSTITUTE(SUBSTITUTE(SUBSTITUTE(INDEX(Hairstyles!$C:$C,MATCH($B214,Hairstyles!$F:$F,0)),"" "",""""),""'"",""""),""("",""""),"")"",""""),""-"",""_"")&amp;""_""&amp;$A$2)"),"DintHairPack02\Human\Female\DintHairPack02_18B_Human_Female")</f>
        <v>DintHairPack02\Human\Female\DintHairPack02_18B_Human_Female</v>
      </c>
      <c r="D214" s="12" t="str">
        <f t="shared" si="1"/>
        <v>Uvi_Wig_Spell_Dint02_18B,DintHairPack02\Human\Female\DintHairPack02_18B_Human_Female</v>
      </c>
    </row>
    <row r="215">
      <c r="B215" s="12" t="str">
        <f>IFERROR(__xludf.DUMMYFUNCTION("""COMPUTED_VALUE"""),"Uvi_Wig_Spell_Dint02_18C")</f>
        <v>Uvi_Wig_Spell_Dint02_18C</v>
      </c>
      <c r="C215" s="12" t="str">
        <f>IFERROR(__xludf.DUMMYFUNCTION("IF($B215="""","""",SUBSTITUTE(SUBSTITUTE(SUBSTITUTE(SUBSTITUTE(INDEX(Hairstyles!$A:$A,MATCH($B215,Hairstyles!$F:$F,0)),"" "",""""),""'"",""""),""("",""""),"")"","""")&amp;""\""&amp;INDEX(SPLIT($A$2,""_""),1)&amp;""\""&amp;INDEX(SPLIT($A$2,""_""),2)&amp;""\""&amp;SUBSTITUTE(SUBST"&amp;"ITUTE(SUBSTITUTE(SUBSTITUTE(SUBSTITUTE(INDEX(Hairstyles!$C:$C,MATCH($B215,Hairstyles!$F:$F,0)),"" "",""""),""'"",""""),""("",""""),"")"",""""),""-"",""_"")&amp;""_""&amp;$A$2)"),"DintHairPack02\Human\Female\DintHairPack02_18C_Human_Female")</f>
        <v>DintHairPack02\Human\Female\DintHairPack02_18C_Human_Female</v>
      </c>
      <c r="D215" s="12" t="str">
        <f t="shared" si="1"/>
        <v>Uvi_Wig_Spell_Dint02_18C,DintHairPack02\Human\Female\DintHairPack02_18C_Human_Female</v>
      </c>
    </row>
    <row r="216">
      <c r="B216" s="12" t="str">
        <f>IFERROR(__xludf.DUMMYFUNCTION("""COMPUTED_VALUE"""),"Uvi_Wig_Spell_Dint02_19")</f>
        <v>Uvi_Wig_Spell_Dint02_19</v>
      </c>
      <c r="C216" s="12" t="str">
        <f>IFERROR(__xludf.DUMMYFUNCTION("IF($B216="""","""",SUBSTITUTE(SUBSTITUTE(SUBSTITUTE(SUBSTITUTE(INDEX(Hairstyles!$A:$A,MATCH($B216,Hairstyles!$F:$F,0)),"" "",""""),""'"",""""),""("",""""),"")"","""")&amp;""\""&amp;INDEX(SPLIT($A$2,""_""),1)&amp;""\""&amp;INDEX(SPLIT($A$2,""_""),2)&amp;""\""&amp;SUBSTITUTE(SUBST"&amp;"ITUTE(SUBSTITUTE(SUBSTITUTE(SUBSTITUTE(INDEX(Hairstyles!$C:$C,MATCH($B216,Hairstyles!$F:$F,0)),"" "",""""),""'"",""""),""("",""""),"")"",""""),""-"",""_"")&amp;""_""&amp;$A$2)"),"DintHairPack02\Human\Female\DintHairPack02_19_Human_Female")</f>
        <v>DintHairPack02\Human\Female\DintHairPack02_19_Human_Female</v>
      </c>
      <c r="D216" s="12" t="str">
        <f t="shared" si="1"/>
        <v>Uvi_Wig_Spell_Dint02_19,DintHairPack02\Human\Female\DintHairPack02_19_Human_Female</v>
      </c>
    </row>
    <row r="217">
      <c r="B217" s="12" t="str">
        <f>IFERROR(__xludf.DUMMYFUNCTION("""COMPUTED_VALUE"""),"Uvi_Wig_Spell_Dint02_20")</f>
        <v>Uvi_Wig_Spell_Dint02_20</v>
      </c>
      <c r="C217" s="12" t="str">
        <f>IFERROR(__xludf.DUMMYFUNCTION("IF($B217="""","""",SUBSTITUTE(SUBSTITUTE(SUBSTITUTE(SUBSTITUTE(INDEX(Hairstyles!$A:$A,MATCH($B217,Hairstyles!$F:$F,0)),"" "",""""),""'"",""""),""("",""""),"")"","""")&amp;""\""&amp;INDEX(SPLIT($A$2,""_""),1)&amp;""\""&amp;INDEX(SPLIT($A$2,""_""),2)&amp;""\""&amp;SUBSTITUTE(SUBST"&amp;"ITUTE(SUBSTITUTE(SUBSTITUTE(SUBSTITUTE(INDEX(Hairstyles!$C:$C,MATCH($B217,Hairstyles!$F:$F,0)),"" "",""""),""'"",""""),""("",""""),"")"",""""),""-"",""_"")&amp;""_""&amp;$A$2)"),"DintHairPack02\Human\Female\DintHairPack02_20_Human_Female")</f>
        <v>DintHairPack02\Human\Female\DintHairPack02_20_Human_Female</v>
      </c>
      <c r="D217" s="12" t="str">
        <f t="shared" si="1"/>
        <v>Uvi_Wig_Spell_Dint02_20,DintHairPack02\Human\Female\DintHairPack02_20_Human_Female</v>
      </c>
    </row>
    <row r="218">
      <c r="B218" s="12" t="str">
        <f>IFERROR(__xludf.DUMMYFUNCTION("""COMPUTED_VALUE"""),"Uvi_Wig_Spell_Dint02_21")</f>
        <v>Uvi_Wig_Spell_Dint02_21</v>
      </c>
      <c r="C218" s="12" t="str">
        <f>IFERROR(__xludf.DUMMYFUNCTION("IF($B218="""","""",SUBSTITUTE(SUBSTITUTE(SUBSTITUTE(SUBSTITUTE(INDEX(Hairstyles!$A:$A,MATCH($B218,Hairstyles!$F:$F,0)),"" "",""""),""'"",""""),""("",""""),"")"","""")&amp;""\""&amp;INDEX(SPLIT($A$2,""_""),1)&amp;""\""&amp;INDEX(SPLIT($A$2,""_""),2)&amp;""\""&amp;SUBSTITUTE(SUBST"&amp;"ITUTE(SUBSTITUTE(SUBSTITUTE(SUBSTITUTE(INDEX(Hairstyles!$C:$C,MATCH($B218,Hairstyles!$F:$F,0)),"" "",""""),""'"",""""),""("",""""),"")"",""""),""-"",""_"")&amp;""_""&amp;$A$2)"),"DintHairPack02\Human\Female\DintHairPack02_21_Human_Female")</f>
        <v>DintHairPack02\Human\Female\DintHairPack02_21_Human_Female</v>
      </c>
      <c r="D218" s="12" t="str">
        <f t="shared" si="1"/>
        <v>Uvi_Wig_Spell_Dint02_21,DintHairPack02\Human\Female\DintHairPack02_21_Human_Female</v>
      </c>
    </row>
    <row r="219">
      <c r="B219" s="12" t="str">
        <f>IFERROR(__xludf.DUMMYFUNCTION("""COMPUTED_VALUE"""),"Uvi_Wig_Spell_Dint02_22")</f>
        <v>Uvi_Wig_Spell_Dint02_22</v>
      </c>
      <c r="C219" s="12" t="str">
        <f>IFERROR(__xludf.DUMMYFUNCTION("IF($B219="""","""",SUBSTITUTE(SUBSTITUTE(SUBSTITUTE(SUBSTITUTE(INDEX(Hairstyles!$A:$A,MATCH($B219,Hairstyles!$F:$F,0)),"" "",""""),""'"",""""),""("",""""),"")"","""")&amp;""\""&amp;INDEX(SPLIT($A$2,""_""),1)&amp;""\""&amp;INDEX(SPLIT($A$2,""_""),2)&amp;""\""&amp;SUBSTITUTE(SUBST"&amp;"ITUTE(SUBSTITUTE(SUBSTITUTE(SUBSTITUTE(INDEX(Hairstyles!$C:$C,MATCH($B219,Hairstyles!$F:$F,0)),"" "",""""),""'"",""""),""("",""""),"")"",""""),""-"",""_"")&amp;""_""&amp;$A$2)"),"DintHairPack02\Human\Female\DintHairPack02_22_Human_Female")</f>
        <v>DintHairPack02\Human\Female\DintHairPack02_22_Human_Female</v>
      </c>
      <c r="D219" s="12" t="str">
        <f t="shared" si="1"/>
        <v>Uvi_Wig_Spell_Dint02_22,DintHairPack02\Human\Female\DintHairPack02_22_Human_Female</v>
      </c>
    </row>
    <row r="220">
      <c r="B220" s="12" t="str">
        <f>IFERROR(__xludf.DUMMYFUNCTION("""COMPUTED_VALUE"""),"Uvi_Wig_Spell_Dint02_23")</f>
        <v>Uvi_Wig_Spell_Dint02_23</v>
      </c>
      <c r="C220" s="12" t="str">
        <f>IFERROR(__xludf.DUMMYFUNCTION("IF($B220="""","""",SUBSTITUTE(SUBSTITUTE(SUBSTITUTE(SUBSTITUTE(INDEX(Hairstyles!$A:$A,MATCH($B220,Hairstyles!$F:$F,0)),"" "",""""),""'"",""""),""("",""""),"")"","""")&amp;""\""&amp;INDEX(SPLIT($A$2,""_""),1)&amp;""\""&amp;INDEX(SPLIT($A$2,""_""),2)&amp;""\""&amp;SUBSTITUTE(SUBST"&amp;"ITUTE(SUBSTITUTE(SUBSTITUTE(SUBSTITUTE(INDEX(Hairstyles!$C:$C,MATCH($B220,Hairstyles!$F:$F,0)),"" "",""""),""'"",""""),""("",""""),"")"",""""),""-"",""_"")&amp;""_""&amp;$A$2)"),"DintHairPack02\Human\Female\DintHairPack02_23_Human_Female")</f>
        <v>DintHairPack02\Human\Female\DintHairPack02_23_Human_Female</v>
      </c>
      <c r="D220" s="12" t="str">
        <f t="shared" si="1"/>
        <v>Uvi_Wig_Spell_Dint02_23,DintHairPack02\Human\Female\DintHairPack02_23_Human_Female</v>
      </c>
    </row>
    <row r="221">
      <c r="B221" s="12" t="str">
        <f>IFERROR(__xludf.DUMMYFUNCTION("""COMPUTED_VALUE"""),"Uvi_Wig_Spell_Dint02_24")</f>
        <v>Uvi_Wig_Spell_Dint02_24</v>
      </c>
      <c r="C221" s="12" t="str">
        <f>IFERROR(__xludf.DUMMYFUNCTION("IF($B221="""","""",SUBSTITUTE(SUBSTITUTE(SUBSTITUTE(SUBSTITUTE(INDEX(Hairstyles!$A:$A,MATCH($B221,Hairstyles!$F:$F,0)),"" "",""""),""'"",""""),""("",""""),"")"","""")&amp;""\""&amp;INDEX(SPLIT($A$2,""_""),1)&amp;""\""&amp;INDEX(SPLIT($A$2,""_""),2)&amp;""\""&amp;SUBSTITUTE(SUBST"&amp;"ITUTE(SUBSTITUTE(SUBSTITUTE(SUBSTITUTE(INDEX(Hairstyles!$C:$C,MATCH($B221,Hairstyles!$F:$F,0)),"" "",""""),""'"",""""),""("",""""),"")"",""""),""-"",""_"")&amp;""_""&amp;$A$2)"),"DintHairPack02\Human\Female\DintHairPack02_24_Human_Female")</f>
        <v>DintHairPack02\Human\Female\DintHairPack02_24_Human_Female</v>
      </c>
      <c r="D221" s="12" t="str">
        <f t="shared" si="1"/>
        <v>Uvi_Wig_Spell_Dint02_24,DintHairPack02\Human\Female\DintHairPack02_24_Human_Female</v>
      </c>
    </row>
    <row r="222">
      <c r="B222" s="12" t="str">
        <f>IFERROR(__xludf.DUMMYFUNCTION("""COMPUTED_VALUE"""),"Uvi_Wig_Spell_Dint02_25")</f>
        <v>Uvi_Wig_Spell_Dint02_25</v>
      </c>
      <c r="C222" s="12" t="str">
        <f>IFERROR(__xludf.DUMMYFUNCTION("IF($B222="""","""",SUBSTITUTE(SUBSTITUTE(SUBSTITUTE(SUBSTITUTE(INDEX(Hairstyles!$A:$A,MATCH($B222,Hairstyles!$F:$F,0)),"" "",""""),""'"",""""),""("",""""),"")"","""")&amp;""\""&amp;INDEX(SPLIT($A$2,""_""),1)&amp;""\""&amp;INDEX(SPLIT($A$2,""_""),2)&amp;""\""&amp;SUBSTITUTE(SUBST"&amp;"ITUTE(SUBSTITUTE(SUBSTITUTE(SUBSTITUTE(INDEX(Hairstyles!$C:$C,MATCH($B222,Hairstyles!$F:$F,0)),"" "",""""),""'"",""""),""("",""""),"")"",""""),""-"",""_"")&amp;""_""&amp;$A$2)"),"DintHairPack02\Human\Female\DintHairPack02_25_Human_Female")</f>
        <v>DintHairPack02\Human\Female\DintHairPack02_25_Human_Female</v>
      </c>
      <c r="D222" s="12" t="str">
        <f t="shared" si="1"/>
        <v>Uvi_Wig_Spell_Dint02_25,DintHairPack02\Human\Female\DintHairPack02_25_Human_Female</v>
      </c>
    </row>
    <row r="223">
      <c r="B223" s="12" t="str">
        <f>IFERROR(__xludf.DUMMYFUNCTION("""COMPUTED_VALUE"""),"Uvi_Wig_Spell_Dint02_26")</f>
        <v>Uvi_Wig_Spell_Dint02_26</v>
      </c>
      <c r="C223" s="12" t="str">
        <f>IFERROR(__xludf.DUMMYFUNCTION("IF($B223="""","""",SUBSTITUTE(SUBSTITUTE(SUBSTITUTE(SUBSTITUTE(INDEX(Hairstyles!$A:$A,MATCH($B223,Hairstyles!$F:$F,0)),"" "",""""),""'"",""""),""("",""""),"")"","""")&amp;""\""&amp;INDEX(SPLIT($A$2,""_""),1)&amp;""\""&amp;INDEX(SPLIT($A$2,""_""),2)&amp;""\""&amp;SUBSTITUTE(SUBST"&amp;"ITUTE(SUBSTITUTE(SUBSTITUTE(SUBSTITUTE(INDEX(Hairstyles!$C:$C,MATCH($B223,Hairstyles!$F:$F,0)),"" "",""""),""'"",""""),""("",""""),"")"",""""),""-"",""_"")&amp;""_""&amp;$A$2)"),"DintHairPack02\Human\Female\DintHairPack02_26_Human_Female")</f>
        <v>DintHairPack02\Human\Female\DintHairPack02_26_Human_Female</v>
      </c>
      <c r="D223" s="12" t="str">
        <f t="shared" si="1"/>
        <v>Uvi_Wig_Spell_Dint02_26,DintHairPack02\Human\Female\DintHairPack02_26_Human_Female</v>
      </c>
    </row>
    <row r="224">
      <c r="B224" s="12" t="str">
        <f>IFERROR(__xludf.DUMMYFUNCTION("""COMPUTED_VALUE"""),"Uvi_Wig_Spell_Dint02_27")</f>
        <v>Uvi_Wig_Spell_Dint02_27</v>
      </c>
      <c r="C224" s="12" t="str">
        <f>IFERROR(__xludf.DUMMYFUNCTION("IF($B224="""","""",SUBSTITUTE(SUBSTITUTE(SUBSTITUTE(SUBSTITUTE(INDEX(Hairstyles!$A:$A,MATCH($B224,Hairstyles!$F:$F,0)),"" "",""""),""'"",""""),""("",""""),"")"","""")&amp;""\""&amp;INDEX(SPLIT($A$2,""_""),1)&amp;""\""&amp;INDEX(SPLIT($A$2,""_""),2)&amp;""\""&amp;SUBSTITUTE(SUBST"&amp;"ITUTE(SUBSTITUTE(SUBSTITUTE(SUBSTITUTE(INDEX(Hairstyles!$C:$C,MATCH($B224,Hairstyles!$F:$F,0)),"" "",""""),""'"",""""),""("",""""),"")"",""""),""-"",""_"")&amp;""_""&amp;$A$2)"),"DintHairPack02\Human\Female\DintHairPack02_27_Human_Female")</f>
        <v>DintHairPack02\Human\Female\DintHairPack02_27_Human_Female</v>
      </c>
      <c r="D224" s="12" t="str">
        <f t="shared" si="1"/>
        <v>Uvi_Wig_Spell_Dint02_27,DintHairPack02\Human\Female\DintHairPack02_27_Human_Female</v>
      </c>
    </row>
    <row r="225">
      <c r="B225" s="12" t="str">
        <f>IFERROR(__xludf.DUMMYFUNCTION("""COMPUTED_VALUE"""),"Uvi_Wig_Spell_Dint02_28")</f>
        <v>Uvi_Wig_Spell_Dint02_28</v>
      </c>
      <c r="C225" s="12" t="str">
        <f>IFERROR(__xludf.DUMMYFUNCTION("IF($B225="""","""",SUBSTITUTE(SUBSTITUTE(SUBSTITUTE(SUBSTITUTE(INDEX(Hairstyles!$A:$A,MATCH($B225,Hairstyles!$F:$F,0)),"" "",""""),""'"",""""),""("",""""),"")"","""")&amp;""\""&amp;INDEX(SPLIT($A$2,""_""),1)&amp;""\""&amp;INDEX(SPLIT($A$2,""_""),2)&amp;""\""&amp;SUBSTITUTE(SUBST"&amp;"ITUTE(SUBSTITUTE(SUBSTITUTE(SUBSTITUTE(INDEX(Hairstyles!$C:$C,MATCH($B225,Hairstyles!$F:$F,0)),"" "",""""),""'"",""""),""("",""""),"")"",""""),""-"",""_"")&amp;""_""&amp;$A$2)"),"DintHairPack02\Human\Female\DintHairPack02_28_Human_Female")</f>
        <v>DintHairPack02\Human\Female\DintHairPack02_28_Human_Female</v>
      </c>
      <c r="D225" s="12" t="str">
        <f t="shared" si="1"/>
        <v>Uvi_Wig_Spell_Dint02_28,DintHairPack02\Human\Female\DintHairPack02_28_Human_Female</v>
      </c>
    </row>
    <row r="226">
      <c r="B226" s="12" t="str">
        <f>IFERROR(__xludf.DUMMYFUNCTION("""COMPUTED_VALUE"""),"Uvi_Wig_Spell_Dint02_29")</f>
        <v>Uvi_Wig_Spell_Dint02_29</v>
      </c>
      <c r="C226" s="12" t="str">
        <f>IFERROR(__xludf.DUMMYFUNCTION("IF($B226="""","""",SUBSTITUTE(SUBSTITUTE(SUBSTITUTE(SUBSTITUTE(INDEX(Hairstyles!$A:$A,MATCH($B226,Hairstyles!$F:$F,0)),"" "",""""),""'"",""""),""("",""""),"")"","""")&amp;""\""&amp;INDEX(SPLIT($A$2,""_""),1)&amp;""\""&amp;INDEX(SPLIT($A$2,""_""),2)&amp;""\""&amp;SUBSTITUTE(SUBST"&amp;"ITUTE(SUBSTITUTE(SUBSTITUTE(SUBSTITUTE(INDEX(Hairstyles!$C:$C,MATCH($B226,Hairstyles!$F:$F,0)),"" "",""""),""'"",""""),""("",""""),"")"",""""),""-"",""_"")&amp;""_""&amp;$A$2)"),"DintHairPack02\Human\Female\DintHairPack02_29_Human_Female")</f>
        <v>DintHairPack02\Human\Female\DintHairPack02_29_Human_Female</v>
      </c>
      <c r="D226" s="12" t="str">
        <f t="shared" si="1"/>
        <v>Uvi_Wig_Spell_Dint02_29,DintHairPack02\Human\Female\DintHairPack02_29_Human_Female</v>
      </c>
    </row>
    <row r="227">
      <c r="B227" s="12" t="str">
        <f>IFERROR(__xludf.DUMMYFUNCTION("""COMPUTED_VALUE"""),"Uvi_Wig_Spell_Dint02_30")</f>
        <v>Uvi_Wig_Spell_Dint02_30</v>
      </c>
      <c r="C227" s="12" t="str">
        <f>IFERROR(__xludf.DUMMYFUNCTION("IF($B227="""","""",SUBSTITUTE(SUBSTITUTE(SUBSTITUTE(SUBSTITUTE(INDEX(Hairstyles!$A:$A,MATCH($B227,Hairstyles!$F:$F,0)),"" "",""""),""'"",""""),""("",""""),"")"","""")&amp;""\""&amp;INDEX(SPLIT($A$2,""_""),1)&amp;""\""&amp;INDEX(SPLIT($A$2,""_""),2)&amp;""\""&amp;SUBSTITUTE(SUBST"&amp;"ITUTE(SUBSTITUTE(SUBSTITUTE(SUBSTITUTE(INDEX(Hairstyles!$C:$C,MATCH($B227,Hairstyles!$F:$F,0)),"" "",""""),""'"",""""),""("",""""),"")"",""""),""-"",""_"")&amp;""_""&amp;$A$2)"),"DintHairPack02\Human\Female\DintHairPack02_30_Human_Female")</f>
        <v>DintHairPack02\Human\Female\DintHairPack02_30_Human_Female</v>
      </c>
      <c r="D227" s="12" t="str">
        <f t="shared" si="1"/>
        <v>Uvi_Wig_Spell_Dint02_30,DintHairPack02\Human\Female\DintHairPack02_30_Human_Female</v>
      </c>
    </row>
    <row r="228">
      <c r="B228" s="12" t="str">
        <f>IFERROR(__xludf.DUMMYFUNCTION("""COMPUTED_VALUE"""),"Uvi_Wig_Spell_Dint02_31")</f>
        <v>Uvi_Wig_Spell_Dint02_31</v>
      </c>
      <c r="C228" s="12" t="str">
        <f>IFERROR(__xludf.DUMMYFUNCTION("IF($B228="""","""",SUBSTITUTE(SUBSTITUTE(SUBSTITUTE(SUBSTITUTE(INDEX(Hairstyles!$A:$A,MATCH($B228,Hairstyles!$F:$F,0)),"" "",""""),""'"",""""),""("",""""),"")"","""")&amp;""\""&amp;INDEX(SPLIT($A$2,""_""),1)&amp;""\""&amp;INDEX(SPLIT($A$2,""_""),2)&amp;""\""&amp;SUBSTITUTE(SUBST"&amp;"ITUTE(SUBSTITUTE(SUBSTITUTE(SUBSTITUTE(INDEX(Hairstyles!$C:$C,MATCH($B228,Hairstyles!$F:$F,0)),"" "",""""),""'"",""""),""("",""""),"")"",""""),""-"",""_"")&amp;""_""&amp;$A$2)"),"DintHairPack02\Human\Female\DintHairPack02_31_Human_Female")</f>
        <v>DintHairPack02\Human\Female\DintHairPack02_31_Human_Female</v>
      </c>
      <c r="D228" s="12" t="str">
        <f t="shared" si="1"/>
        <v>Uvi_Wig_Spell_Dint02_31,DintHairPack02\Human\Female\DintHairPack02_31_Human_Female</v>
      </c>
    </row>
    <row r="229">
      <c r="B229" s="12" t="str">
        <f>IFERROR(__xludf.DUMMYFUNCTION("""COMPUTED_VALUE"""),"Uvi_Wig_Spell_Dint02_32")</f>
        <v>Uvi_Wig_Spell_Dint02_32</v>
      </c>
      <c r="C229" s="12" t="str">
        <f>IFERROR(__xludf.DUMMYFUNCTION("IF($B229="""","""",SUBSTITUTE(SUBSTITUTE(SUBSTITUTE(SUBSTITUTE(INDEX(Hairstyles!$A:$A,MATCH($B229,Hairstyles!$F:$F,0)),"" "",""""),""'"",""""),""("",""""),"")"","""")&amp;""\""&amp;INDEX(SPLIT($A$2,""_""),1)&amp;""\""&amp;INDEX(SPLIT($A$2,""_""),2)&amp;""\""&amp;SUBSTITUTE(SUBST"&amp;"ITUTE(SUBSTITUTE(SUBSTITUTE(SUBSTITUTE(INDEX(Hairstyles!$C:$C,MATCH($B229,Hairstyles!$F:$F,0)),"" "",""""),""'"",""""),""("",""""),"")"",""""),""-"",""_"")&amp;""_""&amp;$A$2)"),"DintHairPack02\Human\Female\DintHairPack02_32_Human_Female")</f>
        <v>DintHairPack02\Human\Female\DintHairPack02_32_Human_Female</v>
      </c>
      <c r="D229" s="12" t="str">
        <f t="shared" si="1"/>
        <v>Uvi_Wig_Spell_Dint02_32,DintHairPack02\Human\Female\DintHairPack02_32_Human_Female</v>
      </c>
    </row>
    <row r="230">
      <c r="B230" s="12" t="str">
        <f>IFERROR(__xludf.DUMMYFUNCTION("""COMPUTED_VALUE"""),"Uvi_Wig_Spell_Dint02_33")</f>
        <v>Uvi_Wig_Spell_Dint02_33</v>
      </c>
      <c r="C230" s="12" t="str">
        <f>IFERROR(__xludf.DUMMYFUNCTION("IF($B230="""","""",SUBSTITUTE(SUBSTITUTE(SUBSTITUTE(SUBSTITUTE(INDEX(Hairstyles!$A:$A,MATCH($B230,Hairstyles!$F:$F,0)),"" "",""""),""'"",""""),""("",""""),"")"","""")&amp;""\""&amp;INDEX(SPLIT($A$2,""_""),1)&amp;""\""&amp;INDEX(SPLIT($A$2,""_""),2)&amp;""\""&amp;SUBSTITUTE(SUBST"&amp;"ITUTE(SUBSTITUTE(SUBSTITUTE(SUBSTITUTE(INDEX(Hairstyles!$C:$C,MATCH($B230,Hairstyles!$F:$F,0)),"" "",""""),""'"",""""),""("",""""),"")"",""""),""-"",""_"")&amp;""_""&amp;$A$2)"),"DintHairPack02\Human\Female\DintHairPack02_33_Human_Female")</f>
        <v>DintHairPack02\Human\Female\DintHairPack02_33_Human_Female</v>
      </c>
      <c r="D230" s="12" t="str">
        <f t="shared" si="1"/>
        <v>Uvi_Wig_Spell_Dint02_33,DintHairPack02\Human\Female\DintHairPack02_33_Human_Female</v>
      </c>
    </row>
    <row r="231">
      <c r="B231" s="12" t="str">
        <f>IFERROR(__xludf.DUMMYFUNCTION("""COMPUTED_VALUE"""),"Uvi_Wig_Spell_Dint02_34")</f>
        <v>Uvi_Wig_Spell_Dint02_34</v>
      </c>
      <c r="C231" s="12" t="str">
        <f>IFERROR(__xludf.DUMMYFUNCTION("IF($B231="""","""",SUBSTITUTE(SUBSTITUTE(SUBSTITUTE(SUBSTITUTE(INDEX(Hairstyles!$A:$A,MATCH($B231,Hairstyles!$F:$F,0)),"" "",""""),""'"",""""),""("",""""),"")"","""")&amp;""\""&amp;INDEX(SPLIT($A$2,""_""),1)&amp;""\""&amp;INDEX(SPLIT($A$2,""_""),2)&amp;""\""&amp;SUBSTITUTE(SUBST"&amp;"ITUTE(SUBSTITUTE(SUBSTITUTE(SUBSTITUTE(INDEX(Hairstyles!$C:$C,MATCH($B231,Hairstyles!$F:$F,0)),"" "",""""),""'"",""""),""("",""""),"")"",""""),""-"",""_"")&amp;""_""&amp;$A$2)"),"DintHairPack02\Human\Female\DintHairPack02_34_Human_Female")</f>
        <v>DintHairPack02\Human\Female\DintHairPack02_34_Human_Female</v>
      </c>
      <c r="D231" s="12" t="str">
        <f t="shared" si="1"/>
        <v>Uvi_Wig_Spell_Dint02_34,DintHairPack02\Human\Female\DintHairPack02_34_Human_Female</v>
      </c>
    </row>
    <row r="232">
      <c r="B232" s="12" t="str">
        <f>IFERROR(__xludf.DUMMYFUNCTION("""COMPUTED_VALUE"""),"Uvi_Wig_Spell_Dint02_35")</f>
        <v>Uvi_Wig_Spell_Dint02_35</v>
      </c>
      <c r="C232" s="12" t="str">
        <f>IFERROR(__xludf.DUMMYFUNCTION("IF($B232="""","""",SUBSTITUTE(SUBSTITUTE(SUBSTITUTE(SUBSTITUTE(INDEX(Hairstyles!$A:$A,MATCH($B232,Hairstyles!$F:$F,0)),"" "",""""),""'"",""""),""("",""""),"")"","""")&amp;""\""&amp;INDEX(SPLIT($A$2,""_""),1)&amp;""\""&amp;INDEX(SPLIT($A$2,""_""),2)&amp;""\""&amp;SUBSTITUTE(SUBST"&amp;"ITUTE(SUBSTITUTE(SUBSTITUTE(SUBSTITUTE(INDEX(Hairstyles!$C:$C,MATCH($B232,Hairstyles!$F:$F,0)),"" "",""""),""'"",""""),""("",""""),"")"",""""),""-"",""_"")&amp;""_""&amp;$A$2)"),"DintHairPack02\Human\Female\DintHairPack02_35_Human_Female")</f>
        <v>DintHairPack02\Human\Female\DintHairPack02_35_Human_Female</v>
      </c>
      <c r="D232" s="12" t="str">
        <f t="shared" si="1"/>
        <v>Uvi_Wig_Spell_Dint02_35,DintHairPack02\Human\Female\DintHairPack02_35_Human_Female</v>
      </c>
    </row>
    <row r="233">
      <c r="B233" s="12" t="str">
        <f>IFERROR(__xludf.DUMMYFUNCTION("""COMPUTED_VALUE"""),"Uvi_Wig_Spell_Fuse_Aldo")</f>
        <v>Uvi_Wig_Spell_Fuse_Aldo</v>
      </c>
      <c r="C233" s="12" t="str">
        <f>IFERROR(__xludf.DUMMYFUNCTION("IF($B233="""","""",SUBSTITUTE(SUBSTITUTE(SUBSTITUTE(SUBSTITUTE(INDEX(Hairstyles!$A:$A,MATCH($B233,Hairstyles!$F:$F,0)),"" "",""""),""'"",""""),""("",""""),"")"","""")&amp;""\""&amp;INDEX(SPLIT($A$2,""_""),1)&amp;""\""&amp;INDEX(SPLIT($A$2,""_""),2)&amp;""\""&amp;SUBSTITUTE(SUBST"&amp;"ITUTE(SUBSTITUTE(SUBSTITUTE(SUBSTITUTE(INDEX(Hairstyles!$C:$C,MATCH($B233,Hairstyles!$F:$F,0)),"" "",""""),""'"",""""),""("",""""),"")"",""""),""-"",""_"")&amp;""_""&amp;$A$2)"),"FuseHairstyles\Human\Female\FuseHairstyles_Aldo_Human_Female")</f>
        <v>FuseHairstyles\Human\Female\FuseHairstyles_Aldo_Human_Female</v>
      </c>
      <c r="D233" s="12" t="str">
        <f t="shared" si="1"/>
        <v>Uvi_Wig_Spell_Fuse_Aldo,FuseHairstyles\Human\Female\FuseHairstyles_Aldo_Human_Female</v>
      </c>
    </row>
    <row r="234">
      <c r="B234" s="12" t="str">
        <f>IFERROR(__xludf.DUMMYFUNCTION("""COMPUTED_VALUE"""),"Uvi_Wig_Spell_Fuse_Alucard")</f>
        <v>Uvi_Wig_Spell_Fuse_Alucard</v>
      </c>
      <c r="C234" s="12" t="str">
        <f>IFERROR(__xludf.DUMMYFUNCTION("IF($B234="""","""",SUBSTITUTE(SUBSTITUTE(SUBSTITUTE(SUBSTITUTE(INDEX(Hairstyles!$A:$A,MATCH($B234,Hairstyles!$F:$F,0)),"" "",""""),""'"",""""),""("",""""),"")"","""")&amp;""\""&amp;INDEX(SPLIT($A$2,""_""),1)&amp;""\""&amp;INDEX(SPLIT($A$2,""_""),2)&amp;""\""&amp;SUBSTITUTE(SUBST"&amp;"ITUTE(SUBSTITUTE(SUBSTITUTE(SUBSTITUTE(INDEX(Hairstyles!$C:$C,MATCH($B234,Hairstyles!$F:$F,0)),"" "",""""),""'"",""""),""("",""""),"")"",""""),""-"",""_"")&amp;""_""&amp;$A$2)"),"FuseHairstyles\Human\Female\FuseHairstyles_Alucard_Human_Female")</f>
        <v>FuseHairstyles\Human\Female\FuseHairstyles_Alucard_Human_Female</v>
      </c>
      <c r="D234" s="12" t="str">
        <f t="shared" si="1"/>
        <v>Uvi_Wig_Spell_Fuse_Alucard,FuseHairstyles\Human\Female\FuseHairstyles_Alucard_Human_Female</v>
      </c>
    </row>
    <row r="235">
      <c r="B235" s="12" t="str">
        <f>IFERROR(__xludf.DUMMYFUNCTION("""COMPUTED_VALUE"""),"Uvi_Wig_Spell_Fuse_Amber")</f>
        <v>Uvi_Wig_Spell_Fuse_Amber</v>
      </c>
      <c r="C235" s="12" t="str">
        <f>IFERROR(__xludf.DUMMYFUNCTION("IF($B235="""","""",SUBSTITUTE(SUBSTITUTE(SUBSTITUTE(SUBSTITUTE(INDEX(Hairstyles!$A:$A,MATCH($B235,Hairstyles!$F:$F,0)),"" "",""""),""'"",""""),""("",""""),"")"","""")&amp;""\""&amp;INDEX(SPLIT($A$2,""_""),1)&amp;""\""&amp;INDEX(SPLIT($A$2,""_""),2)&amp;""\""&amp;SUBSTITUTE(SUBST"&amp;"ITUTE(SUBSTITUTE(SUBSTITUTE(SUBSTITUTE(INDEX(Hairstyles!$C:$C,MATCH($B235,Hairstyles!$F:$F,0)),"" "",""""),""'"",""""),""("",""""),"")"",""""),""-"",""_"")&amp;""_""&amp;$A$2)"),"FuseHairstyles\Human\Female\FuseHairstyles_Amber_Human_Female")</f>
        <v>FuseHairstyles\Human\Female\FuseHairstyles_Amber_Human_Female</v>
      </c>
      <c r="D235" s="12" t="str">
        <f t="shared" si="1"/>
        <v>Uvi_Wig_Spell_Fuse_Amber,FuseHairstyles\Human\Female\FuseHairstyles_Amber_Human_Female</v>
      </c>
    </row>
    <row r="236">
      <c r="B236" s="12" t="str">
        <f>IFERROR(__xludf.DUMMYFUNCTION("""COMPUTED_VALUE"""),"Uvi_Wig_Spell_Fuse_Astri")</f>
        <v>Uvi_Wig_Spell_Fuse_Astri</v>
      </c>
      <c r="C236" s="12" t="str">
        <f>IFERROR(__xludf.DUMMYFUNCTION("IF($B236="""","""",SUBSTITUTE(SUBSTITUTE(SUBSTITUTE(SUBSTITUTE(INDEX(Hairstyles!$A:$A,MATCH($B236,Hairstyles!$F:$F,0)),"" "",""""),""'"",""""),""("",""""),"")"","""")&amp;""\""&amp;INDEX(SPLIT($A$2,""_""),1)&amp;""\""&amp;INDEX(SPLIT($A$2,""_""),2)&amp;""\""&amp;SUBSTITUTE(SUBST"&amp;"ITUTE(SUBSTITUTE(SUBSTITUTE(SUBSTITUTE(INDEX(Hairstyles!$C:$C,MATCH($B236,Hairstyles!$F:$F,0)),"" "",""""),""'"",""""),""("",""""),"")"",""""),""-"",""_"")&amp;""_""&amp;$A$2)"),"FuseHairstyles\Human\Female\FuseHairstyles_Astri_Human_Female")</f>
        <v>FuseHairstyles\Human\Female\FuseHairstyles_Astri_Human_Female</v>
      </c>
      <c r="D236" s="12" t="str">
        <f t="shared" si="1"/>
        <v>Uvi_Wig_Spell_Fuse_Astri,FuseHairstyles\Human\Female\FuseHairstyles_Astri_Human_Female</v>
      </c>
    </row>
    <row r="237">
      <c r="B237" s="12" t="str">
        <f>IFERROR(__xludf.DUMMYFUNCTION("""COMPUTED_VALUE"""),"Uvi_Wig_Spell_Fuse_Dreads")</f>
        <v>Uvi_Wig_Spell_Fuse_Dreads</v>
      </c>
      <c r="C237" s="12" t="str">
        <f>IFERROR(__xludf.DUMMYFUNCTION("IF($B237="""","""",SUBSTITUTE(SUBSTITUTE(SUBSTITUTE(SUBSTITUTE(INDEX(Hairstyles!$A:$A,MATCH($B237,Hairstyles!$F:$F,0)),"" "",""""),""'"",""""),""("",""""),"")"","""")&amp;""\""&amp;INDEX(SPLIT($A$2,""_""),1)&amp;""\""&amp;INDEX(SPLIT($A$2,""_""),2)&amp;""\""&amp;SUBSTITUTE(SUBST"&amp;"ITUTE(SUBSTITUTE(SUBSTITUTE(SUBSTITUTE(INDEX(Hairstyles!$C:$C,MATCH($B237,Hairstyles!$F:$F,0)),"" "",""""),""'"",""""),""("",""""),"")"",""""),""-"",""_"")&amp;""_""&amp;$A$2)"),"FuseHairstyles\Human\Female\FuseHairstyles_Dreads_Human_Female")</f>
        <v>FuseHairstyles\Human\Female\FuseHairstyles_Dreads_Human_Female</v>
      </c>
      <c r="D237" s="12" t="str">
        <f t="shared" si="1"/>
        <v>Uvi_Wig_Spell_Fuse_Dreads,FuseHairstyles\Human\Female\FuseHairstyles_Dreads_Human_Female</v>
      </c>
    </row>
    <row r="238">
      <c r="B238" s="12" t="str">
        <f>IFERROR(__xludf.DUMMYFUNCTION("""COMPUTED_VALUE"""),"Uvi_Wig_Spell_Fuse_Freyja")</f>
        <v>Uvi_Wig_Spell_Fuse_Freyja</v>
      </c>
      <c r="C238" s="12" t="str">
        <f>IFERROR(__xludf.DUMMYFUNCTION("IF($B238="""","""",SUBSTITUTE(SUBSTITUTE(SUBSTITUTE(SUBSTITUTE(INDEX(Hairstyles!$A:$A,MATCH($B238,Hairstyles!$F:$F,0)),"" "",""""),""'"",""""),""("",""""),"")"","""")&amp;""\""&amp;INDEX(SPLIT($A$2,""_""),1)&amp;""\""&amp;INDEX(SPLIT($A$2,""_""),2)&amp;""\""&amp;SUBSTITUTE(SUBST"&amp;"ITUTE(SUBSTITUTE(SUBSTITUTE(SUBSTITUTE(INDEX(Hairstyles!$C:$C,MATCH($B238,Hairstyles!$F:$F,0)),"" "",""""),""'"",""""),""("",""""),"")"",""""),""-"",""_"")&amp;""_""&amp;$A$2)"),"FuseHairstyles\Human\Female\FuseHairstyles_Freyja_Human_Female")</f>
        <v>FuseHairstyles\Human\Female\FuseHairstyles_Freyja_Human_Female</v>
      </c>
      <c r="D238" s="12" t="str">
        <f t="shared" si="1"/>
        <v>Uvi_Wig_Spell_Fuse_Freyja,FuseHairstyles\Human\Female\FuseHairstyles_Freyja_Human_Female</v>
      </c>
    </row>
    <row r="239">
      <c r="B239" s="12" t="str">
        <f>IFERROR(__xludf.DUMMYFUNCTION("""COMPUTED_VALUE"""),"Uvi_Wig_Spell_Fuse_Hilda")</f>
        <v>Uvi_Wig_Spell_Fuse_Hilda</v>
      </c>
      <c r="C239" s="12" t="str">
        <f>IFERROR(__xludf.DUMMYFUNCTION("IF($B239="""","""",SUBSTITUTE(SUBSTITUTE(SUBSTITUTE(SUBSTITUTE(INDEX(Hairstyles!$A:$A,MATCH($B239,Hairstyles!$F:$F,0)),"" "",""""),""'"",""""),""("",""""),"")"","""")&amp;""\""&amp;INDEX(SPLIT($A$2,""_""),1)&amp;""\""&amp;INDEX(SPLIT($A$2,""_""),2)&amp;""\""&amp;SUBSTITUTE(SUBST"&amp;"ITUTE(SUBSTITUTE(SUBSTITUTE(SUBSTITUTE(INDEX(Hairstyles!$C:$C,MATCH($B239,Hairstyles!$F:$F,0)),"" "",""""),""'"",""""),""("",""""),"")"",""""),""-"",""_"")&amp;""_""&amp;$A$2)"),"FuseHairstyles\Human\Female\FuseHairstyles_Hilda_Human_Female")</f>
        <v>FuseHairstyles\Human\Female\FuseHairstyles_Hilda_Human_Female</v>
      </c>
      <c r="D239" s="12" t="str">
        <f t="shared" si="1"/>
        <v>Uvi_Wig_Spell_Fuse_Hilda,FuseHairstyles\Human\Female\FuseHairstyles_Hilda_Human_Female</v>
      </c>
    </row>
    <row r="240">
      <c r="B240" s="12" t="str">
        <f>IFERROR(__xludf.DUMMYFUNCTION("""COMPUTED_VALUE"""),"Uvi_Wig_Spell_Fuse_King")</f>
        <v>Uvi_Wig_Spell_Fuse_King</v>
      </c>
      <c r="C240" s="12" t="str">
        <f>IFERROR(__xludf.DUMMYFUNCTION("IF($B240="""","""",SUBSTITUTE(SUBSTITUTE(SUBSTITUTE(SUBSTITUTE(INDEX(Hairstyles!$A:$A,MATCH($B240,Hairstyles!$F:$F,0)),"" "",""""),""'"",""""),""("",""""),"")"","""")&amp;""\""&amp;INDEX(SPLIT($A$2,""_""),1)&amp;""\""&amp;INDEX(SPLIT($A$2,""_""),2)&amp;""\""&amp;SUBSTITUTE(SUBST"&amp;"ITUTE(SUBSTITUTE(SUBSTITUTE(SUBSTITUTE(INDEX(Hairstyles!$C:$C,MATCH($B240,Hairstyles!$F:$F,0)),"" "",""""),""'"",""""),""("",""""),"")"",""""),""-"",""_"")&amp;""_""&amp;$A$2)"),"FuseHairstyles\Human\Female\FuseHairstyles_King_Human_Female")</f>
        <v>FuseHairstyles\Human\Female\FuseHairstyles_King_Human_Female</v>
      </c>
      <c r="D240" s="12" t="str">
        <f t="shared" si="1"/>
        <v>Uvi_Wig_Spell_Fuse_King,FuseHairstyles\Human\Female\FuseHairstyles_King_Human_Female</v>
      </c>
    </row>
    <row r="241">
      <c r="B241" s="12" t="str">
        <f>IFERROR(__xludf.DUMMYFUNCTION("""COMPUTED_VALUE"""),"Uvi_Wig_Spell_Fuse_Lagertha")</f>
        <v>Uvi_Wig_Spell_Fuse_Lagertha</v>
      </c>
      <c r="C241" s="12" t="str">
        <f>IFERROR(__xludf.DUMMYFUNCTION("IF($B241="""","""",SUBSTITUTE(SUBSTITUTE(SUBSTITUTE(SUBSTITUTE(INDEX(Hairstyles!$A:$A,MATCH($B241,Hairstyles!$F:$F,0)),"" "",""""),""'"",""""),""("",""""),"")"","""")&amp;""\""&amp;INDEX(SPLIT($A$2,""_""),1)&amp;""\""&amp;INDEX(SPLIT($A$2,""_""),2)&amp;""\""&amp;SUBSTITUTE(SUBST"&amp;"ITUTE(SUBSTITUTE(SUBSTITUTE(SUBSTITUTE(INDEX(Hairstyles!$C:$C,MATCH($B241,Hairstyles!$F:$F,0)),"" "",""""),""'"",""""),""("",""""),"")"",""""),""-"",""_"")&amp;""_""&amp;$A$2)"),"FuseHairstyles\Human\Female\FuseHairstyles_Lagertha_Human_Female")</f>
        <v>FuseHairstyles\Human\Female\FuseHairstyles_Lagertha_Human_Female</v>
      </c>
      <c r="D241" s="12" t="str">
        <f t="shared" si="1"/>
        <v>Uvi_Wig_Spell_Fuse_Lagertha,FuseHairstyles\Human\Female\FuseHairstyles_Lagertha_Human_Female</v>
      </c>
    </row>
    <row r="242">
      <c r="B242" s="12" t="str">
        <f>IFERROR(__xludf.DUMMYFUNCTION("""COMPUTED_VALUE"""),"Uvi_Wig_Spell_Fuse_Marco")</f>
        <v>Uvi_Wig_Spell_Fuse_Marco</v>
      </c>
      <c r="C242" s="12" t="str">
        <f>IFERROR(__xludf.DUMMYFUNCTION("IF($B242="""","""",SUBSTITUTE(SUBSTITUTE(SUBSTITUTE(SUBSTITUTE(INDEX(Hairstyles!$A:$A,MATCH($B242,Hairstyles!$F:$F,0)),"" "",""""),""'"",""""),""("",""""),"")"","""")&amp;""\""&amp;INDEX(SPLIT($A$2,""_""),1)&amp;""\""&amp;INDEX(SPLIT($A$2,""_""),2)&amp;""\""&amp;SUBSTITUTE(SUBST"&amp;"ITUTE(SUBSTITUTE(SUBSTITUTE(SUBSTITUTE(INDEX(Hairstyles!$C:$C,MATCH($B242,Hairstyles!$F:$F,0)),"" "",""""),""'"",""""),""("",""""),"")"",""""),""-"",""_"")&amp;""_""&amp;$A$2)"),"FuseHairstyles\Human\Female\FuseHairstyles_Marco_Human_Female")</f>
        <v>FuseHairstyles\Human\Female\FuseHairstyles_Marco_Human_Female</v>
      </c>
      <c r="D242" s="12" t="str">
        <f t="shared" si="1"/>
        <v>Uvi_Wig_Spell_Fuse_Marco,FuseHairstyles\Human\Female\FuseHairstyles_Marco_Human_Female</v>
      </c>
    </row>
    <row r="243">
      <c r="B243" s="12" t="str">
        <f>IFERROR(__xludf.DUMMYFUNCTION("""COMPUTED_VALUE"""),"Uvi_Wig_Spell_Fuse_P")</f>
        <v>Uvi_Wig_Spell_Fuse_P</v>
      </c>
      <c r="C243" s="12" t="str">
        <f>IFERROR(__xludf.DUMMYFUNCTION("IF($B243="""","""",SUBSTITUTE(SUBSTITUTE(SUBSTITUTE(SUBSTITUTE(INDEX(Hairstyles!$A:$A,MATCH($B243,Hairstyles!$F:$F,0)),"" "",""""),""'"",""""),""("",""""),"")"","""")&amp;""\""&amp;INDEX(SPLIT($A$2,""_""),1)&amp;""\""&amp;INDEX(SPLIT($A$2,""_""),2)&amp;""\""&amp;SUBSTITUTE(SUBST"&amp;"ITUTE(SUBSTITUTE(SUBSTITUTE(SUBSTITUTE(INDEX(Hairstyles!$C:$C,MATCH($B243,Hairstyles!$F:$F,0)),"" "",""""),""'"",""""),""("",""""),"")"",""""),""-"",""_"")&amp;""_""&amp;$A$2)"),"FuseHairstyles\Human\Female\FuseHairstyles_P_Human_Female")</f>
        <v>FuseHairstyles\Human\Female\FuseHairstyles_P_Human_Female</v>
      </c>
      <c r="D243" s="12" t="str">
        <f t="shared" si="1"/>
        <v>Uvi_Wig_Spell_Fuse_P,FuseHairstyles\Human\Female\FuseHairstyles_P_Human_Female</v>
      </c>
    </row>
    <row r="244">
      <c r="B244" s="12" t="str">
        <f>IFERROR(__xludf.DUMMYFUNCTION("""COMPUTED_VALUE"""),"Uvi_Wig_Spell_Fuse_Shar")</f>
        <v>Uvi_Wig_Spell_Fuse_Shar</v>
      </c>
      <c r="C244" s="12" t="str">
        <f>IFERROR(__xludf.DUMMYFUNCTION("IF($B244="""","""",SUBSTITUTE(SUBSTITUTE(SUBSTITUTE(SUBSTITUTE(INDEX(Hairstyles!$A:$A,MATCH($B244,Hairstyles!$F:$F,0)),"" "",""""),""'"",""""),""("",""""),"")"","""")&amp;""\""&amp;INDEX(SPLIT($A$2,""_""),1)&amp;""\""&amp;INDEX(SPLIT($A$2,""_""),2)&amp;""\""&amp;SUBSTITUTE(SUBST"&amp;"ITUTE(SUBSTITUTE(SUBSTITUTE(SUBSTITUTE(INDEX(Hairstyles!$C:$C,MATCH($B244,Hairstyles!$F:$F,0)),"" "",""""),""'"",""""),""("",""""),"")"",""""),""-"",""_"")&amp;""_""&amp;$A$2)"),"FuseHairstyles\Human\Female\FuseHairstyles_Shar_Human_Female")</f>
        <v>FuseHairstyles\Human\Female\FuseHairstyles_Shar_Human_Female</v>
      </c>
      <c r="D244" s="12" t="str">
        <f t="shared" si="1"/>
        <v>Uvi_Wig_Spell_Fuse_Shar,FuseHairstyles\Human\Female\FuseHairstyles_Shar_Human_Female</v>
      </c>
    </row>
    <row r="245">
      <c r="B245" s="12" t="str">
        <f>IFERROR(__xludf.DUMMYFUNCTION("""COMPUTED_VALUE"""),"Uvi_Wig_Spell_Fuse_Siren")</f>
        <v>Uvi_Wig_Spell_Fuse_Siren</v>
      </c>
      <c r="C245" s="12" t="str">
        <f>IFERROR(__xludf.DUMMYFUNCTION("IF($B245="""","""",SUBSTITUTE(SUBSTITUTE(SUBSTITUTE(SUBSTITUTE(INDEX(Hairstyles!$A:$A,MATCH($B245,Hairstyles!$F:$F,0)),"" "",""""),""'"",""""),""("",""""),"")"","""")&amp;""\""&amp;INDEX(SPLIT($A$2,""_""),1)&amp;""\""&amp;INDEX(SPLIT($A$2,""_""),2)&amp;""\""&amp;SUBSTITUTE(SUBST"&amp;"ITUTE(SUBSTITUTE(SUBSTITUTE(SUBSTITUTE(INDEX(Hairstyles!$C:$C,MATCH($B245,Hairstyles!$F:$F,0)),"" "",""""),""'"",""""),""("",""""),"")"",""""),""-"",""_"")&amp;""_""&amp;$A$2)"),"FuseHairstyles\Human\Female\FuseHairstyles_Siren_Human_Female")</f>
        <v>FuseHairstyles\Human\Female\FuseHairstyles_Siren_Human_Female</v>
      </c>
      <c r="D245" s="12" t="str">
        <f t="shared" si="1"/>
        <v>Uvi_Wig_Spell_Fuse_Siren,FuseHairstyles\Human\Female\FuseHairstyles_Siren_Human_Female</v>
      </c>
    </row>
    <row r="246">
      <c r="B246" s="12" t="str">
        <f>IFERROR(__xludf.DUMMYFUNCTION("""COMPUTED_VALUE"""),"Uvi_Wig_Spell_Fuse_Tauriel")</f>
        <v>Uvi_Wig_Spell_Fuse_Tauriel</v>
      </c>
      <c r="C246" s="12" t="str">
        <f>IFERROR(__xludf.DUMMYFUNCTION("IF($B246="""","""",SUBSTITUTE(SUBSTITUTE(SUBSTITUTE(SUBSTITUTE(INDEX(Hairstyles!$A:$A,MATCH($B246,Hairstyles!$F:$F,0)),"" "",""""),""'"",""""),""("",""""),"")"","""")&amp;""\""&amp;INDEX(SPLIT($A$2,""_""),1)&amp;""\""&amp;INDEX(SPLIT($A$2,""_""),2)&amp;""\""&amp;SUBSTITUTE(SUBST"&amp;"ITUTE(SUBSTITUTE(SUBSTITUTE(SUBSTITUTE(INDEX(Hairstyles!$C:$C,MATCH($B246,Hairstyles!$F:$F,0)),"" "",""""),""'"",""""),""("",""""),"")"",""""),""-"",""_"")&amp;""_""&amp;$A$2)"),"FuseHairstyles\Human\Female\FuseHairstyles_Tauriel_Human_Female")</f>
        <v>FuseHairstyles\Human\Female\FuseHairstyles_Tauriel_Human_Female</v>
      </c>
      <c r="D246" s="12" t="str">
        <f t="shared" si="1"/>
        <v>Uvi_Wig_Spell_Fuse_Tauriel,FuseHairstyles\Human\Female\FuseHairstyles_Tauriel_Human_Female</v>
      </c>
    </row>
    <row r="247">
      <c r="B247" s="12" t="str">
        <f>IFERROR(__xludf.DUMMYFUNCTION("""COMPUTED_VALUE"""),"Uvi_Wig_Spell_Fuse_Yen")</f>
        <v>Uvi_Wig_Spell_Fuse_Yen</v>
      </c>
      <c r="C247" s="12" t="str">
        <f>IFERROR(__xludf.DUMMYFUNCTION("IF($B247="""","""",SUBSTITUTE(SUBSTITUTE(SUBSTITUTE(SUBSTITUTE(INDEX(Hairstyles!$A:$A,MATCH($B247,Hairstyles!$F:$F,0)),"" "",""""),""'"",""""),""("",""""),"")"","""")&amp;""\""&amp;INDEX(SPLIT($A$2,""_""),1)&amp;""\""&amp;INDEX(SPLIT($A$2,""_""),2)&amp;""\""&amp;SUBSTITUTE(SUBST"&amp;"ITUTE(SUBSTITUTE(SUBSTITUTE(SUBSTITUTE(INDEX(Hairstyles!$C:$C,MATCH($B247,Hairstyles!$F:$F,0)),"" "",""""),""'"",""""),""("",""""),"")"",""""),""-"",""_"")&amp;""_""&amp;$A$2)"),"FuseHairstyles\Human\Female\FuseHairstyles_Yen_Human_Female")</f>
        <v>FuseHairstyles\Human\Female\FuseHairstyles_Yen_Human_Female</v>
      </c>
      <c r="D247" s="12" t="str">
        <f t="shared" si="1"/>
        <v>Uvi_Wig_Spell_Fuse_Yen,FuseHairstyles\Human\Female\FuseHairstyles_Yen_Human_Female</v>
      </c>
    </row>
    <row r="248">
      <c r="B248" s="12" t="str">
        <f>IFERROR(__xludf.DUMMYFUNCTION("""COMPUTED_VALUE"""),"Uvi_Wig_Spell_Valkyr_Bella")</f>
        <v>Uvi_Wig_Spell_Valkyr_Bella</v>
      </c>
      <c r="C248" s="12" t="str">
        <f>IFERROR(__xludf.DUMMYFUNCTION("IF($B248="""","""",SUBSTITUTE(SUBSTITUTE(SUBSTITUTE(SUBSTITUTE(INDEX(Hairstyles!$A:$A,MATCH($B248,Hairstyles!$F:$F,0)),"" "",""""),""'"",""""),""("",""""),"")"","""")&amp;""\""&amp;INDEX(SPLIT($A$2,""_""),1)&amp;""\""&amp;INDEX(SPLIT($A$2,""_""),2)&amp;""\""&amp;SUBSTITUTE(SUBST"&amp;"ITUTE(SUBSTITUTE(SUBSTITUTE(SUBSTITUTE(INDEX(Hairstyles!$C:$C,MATCH($B248,Hairstyles!$F:$F,0)),"" "",""""),""'"",""""),""("",""""),"")"",""""),""-"",""_"")&amp;""_""&amp;$A$2)"),"FuseValkyr1\Human\Female\FuseValkyr1_Bellatrix_Human_Female")</f>
        <v>FuseValkyr1\Human\Female\FuseValkyr1_Bellatrix_Human_Female</v>
      </c>
      <c r="D248" s="12" t="str">
        <f t="shared" si="1"/>
        <v>Uvi_Wig_Spell_Valkyr_Bella,FuseValkyr1\Human\Female\FuseValkyr1_Bellatrix_Human_Female</v>
      </c>
    </row>
    <row r="249">
      <c r="B249" s="12" t="str">
        <f>IFERROR(__xludf.DUMMYFUNCTION("""COMPUTED_VALUE"""),"Uvi_Wig_Spell_Valkyr_Eiraan")</f>
        <v>Uvi_Wig_Spell_Valkyr_Eiraan</v>
      </c>
      <c r="C249" s="12" t="str">
        <f>IFERROR(__xludf.DUMMYFUNCTION("IF($B249="""","""",SUBSTITUTE(SUBSTITUTE(SUBSTITUTE(SUBSTITUTE(INDEX(Hairstyles!$A:$A,MATCH($B249,Hairstyles!$F:$F,0)),"" "",""""),""'"",""""),""("",""""),"")"","""")&amp;""\""&amp;INDEX(SPLIT($A$2,""_""),1)&amp;""\""&amp;INDEX(SPLIT($A$2,""_""),2)&amp;""\""&amp;SUBSTITUTE(SUBST"&amp;"ITUTE(SUBSTITUTE(SUBSTITUTE(SUBSTITUTE(INDEX(Hairstyles!$C:$C,MATCH($B249,Hairstyles!$F:$F,0)),"" "",""""),""'"",""""),""("",""""),"")"",""""),""-"",""_"")&amp;""_""&amp;$A$2)"),"FuseValkyr1\Human\Female\FuseValkyr1_Eiraan_Human_Female")</f>
        <v>FuseValkyr1\Human\Female\FuseValkyr1_Eiraan_Human_Female</v>
      </c>
      <c r="D249" s="12" t="str">
        <f t="shared" si="1"/>
        <v>Uvi_Wig_Spell_Valkyr_Eiraan,FuseValkyr1\Human\Female\FuseValkyr1_Eiraan_Human_Female</v>
      </c>
    </row>
    <row r="250">
      <c r="B250" s="12" t="str">
        <f>IFERROR(__xludf.DUMMYFUNCTION("""COMPUTED_VALUE"""),"Uvi_Wig_Spell_Valkyr_Ellie")</f>
        <v>Uvi_Wig_Spell_Valkyr_Ellie</v>
      </c>
      <c r="C250" s="12" t="str">
        <f>IFERROR(__xludf.DUMMYFUNCTION("IF($B250="""","""",SUBSTITUTE(SUBSTITUTE(SUBSTITUTE(SUBSTITUTE(INDEX(Hairstyles!$A:$A,MATCH($B250,Hairstyles!$F:$F,0)),"" "",""""),""'"",""""),""("",""""),"")"","""")&amp;""\""&amp;INDEX(SPLIT($A$2,""_""),1)&amp;""\""&amp;INDEX(SPLIT($A$2,""_""),2)&amp;""\""&amp;SUBSTITUTE(SUBST"&amp;"ITUTE(SUBSTITUTE(SUBSTITUTE(SUBSTITUTE(INDEX(Hairstyles!$C:$C,MATCH($B250,Hairstyles!$F:$F,0)),"" "",""""),""'"",""""),""("",""""),"")"",""""),""-"",""_"")&amp;""_""&amp;$A$2)"),"FuseValkyr1\Human\Female\FuseValkyr1_Ellie_Human_Female")</f>
        <v>FuseValkyr1\Human\Female\FuseValkyr1_Ellie_Human_Female</v>
      </c>
      <c r="D250" s="12" t="str">
        <f t="shared" si="1"/>
        <v>Uvi_Wig_Spell_Valkyr_Ellie,FuseValkyr1\Human\Female\FuseValkyr1_Ellie_Human_Female</v>
      </c>
    </row>
    <row r="251">
      <c r="B251" s="12" t="str">
        <f>IFERROR(__xludf.DUMMYFUNCTION("""COMPUTED_VALUE"""),"Uvi_Wig_Spell_Valkyr_NDante")</f>
        <v>Uvi_Wig_Spell_Valkyr_NDante</v>
      </c>
      <c r="C251" s="12" t="str">
        <f>IFERROR(__xludf.DUMMYFUNCTION("IF($B251="""","""",SUBSTITUTE(SUBSTITUTE(SUBSTITUTE(SUBSTITUTE(INDEX(Hairstyles!$A:$A,MATCH($B251,Hairstyles!$F:$F,0)),"" "",""""),""'"",""""),""("",""""),"")"","""")&amp;""\""&amp;INDEX(SPLIT($A$2,""_""),1)&amp;""\""&amp;INDEX(SPLIT($A$2,""_""),2)&amp;""\""&amp;SUBSTITUTE(SUBST"&amp;"ITUTE(SUBSTITUTE(SUBSTITUTE(SUBSTITUTE(INDEX(Hairstyles!$C:$C,MATCH($B251,Hairstyles!$F:$F,0)),"" "",""""),""'"",""""),""("",""""),"")"",""""),""-"",""_"")&amp;""_""&amp;$A$2)"),"FuseValkyr1\Human\Female\FuseValkyr1_NeoDante_Human_Female")</f>
        <v>FuseValkyr1\Human\Female\FuseValkyr1_NeoDante_Human_Female</v>
      </c>
      <c r="D251" s="12" t="str">
        <f t="shared" si="1"/>
        <v>Uvi_Wig_Spell_Valkyr_NDante,FuseValkyr1\Human\Female\FuseValkyr1_NeoDante_Human_Female</v>
      </c>
    </row>
    <row r="252">
      <c r="B252" s="12" t="str">
        <f>IFERROR(__xludf.DUMMYFUNCTION("""COMPUTED_VALUE"""),"Uvi_Wig_Spell_Valkyr_Roxy")</f>
        <v>Uvi_Wig_Spell_Valkyr_Roxy</v>
      </c>
      <c r="C252" s="12" t="str">
        <f>IFERROR(__xludf.DUMMYFUNCTION("IF($B252="""","""",SUBSTITUTE(SUBSTITUTE(SUBSTITUTE(SUBSTITUTE(INDEX(Hairstyles!$A:$A,MATCH($B252,Hairstyles!$F:$F,0)),"" "",""""),""'"",""""),""("",""""),"")"","""")&amp;""\""&amp;INDEX(SPLIT($A$2,""_""),1)&amp;""\""&amp;INDEX(SPLIT($A$2,""_""),2)&amp;""\""&amp;SUBSTITUTE(SUBST"&amp;"ITUTE(SUBSTITUTE(SUBSTITUTE(SUBSTITUTE(INDEX(Hairstyles!$C:$C,MATCH($B252,Hairstyles!$F:$F,0)),"" "",""""),""'"",""""),""("",""""),"")"",""""),""-"",""_"")&amp;""_""&amp;$A$2)"),"FuseValkyr1\Human\Female\FuseValkyr1_Roxy_Human_Female")</f>
        <v>FuseValkyr1\Human\Female\FuseValkyr1_Roxy_Human_Female</v>
      </c>
      <c r="D252" s="12" t="str">
        <f t="shared" si="1"/>
        <v>Uvi_Wig_Spell_Valkyr_Roxy,FuseValkyr1\Human\Female\FuseValkyr1_Roxy_Human_Female</v>
      </c>
    </row>
    <row r="253">
      <c r="B253" s="12" t="str">
        <f>IFERROR(__xludf.DUMMYFUNCTION("""COMPUTED_VALUE"""),"Uvi_Wig_Spell_Valkyr_Yasha")</f>
        <v>Uvi_Wig_Spell_Valkyr_Yasha</v>
      </c>
      <c r="C253" s="12" t="str">
        <f>IFERROR(__xludf.DUMMYFUNCTION("IF($B253="""","""",SUBSTITUTE(SUBSTITUTE(SUBSTITUTE(SUBSTITUTE(INDEX(Hairstyles!$A:$A,MATCH($B253,Hairstyles!$F:$F,0)),"" "",""""),""'"",""""),""("",""""),"")"","""")&amp;""\""&amp;INDEX(SPLIT($A$2,""_""),1)&amp;""\""&amp;INDEX(SPLIT($A$2,""_""),2)&amp;""\""&amp;SUBSTITUTE(SUBST"&amp;"ITUTE(SUBSTITUTE(SUBSTITUTE(SUBSTITUTE(INDEX(Hairstyles!$C:$C,MATCH($B253,Hairstyles!$F:$F,0)),"" "",""""),""'"",""""),""("",""""),"")"",""""),""-"",""_"")&amp;""_""&amp;$A$2)"),"FuseValkyr1\Human\Female\FuseValkyr1_Yasha_Human_Female")</f>
        <v>FuseValkyr1\Human\Female\FuseValkyr1_Yasha_Human_Female</v>
      </c>
      <c r="D253" s="12" t="str">
        <f t="shared" si="1"/>
        <v>Uvi_Wig_Spell_Valkyr_Yasha,FuseValkyr1\Human\Female\FuseValkyr1_Yasha_Human_Female</v>
      </c>
    </row>
    <row r="254">
      <c r="B254" s="12" t="str">
        <f>IFERROR(__xludf.DUMMYFUNCTION("""COMPUTED_VALUE"""),"Uvi_Wig_Spell_Valkyr_CDante")</f>
        <v>Uvi_Wig_Spell_Valkyr_CDante</v>
      </c>
      <c r="C254" s="12" t="str">
        <f>IFERROR(__xludf.DUMMYFUNCTION("IF($B254="""","""",SUBSTITUTE(SUBSTITUTE(SUBSTITUTE(SUBSTITUTE(INDEX(Hairstyles!$A:$A,MATCH($B254,Hairstyles!$F:$F,0)),"" "",""""),""'"",""""),""("",""""),"")"","""")&amp;""\""&amp;INDEX(SPLIT($A$2,""_""),1)&amp;""\""&amp;INDEX(SPLIT($A$2,""_""),2)&amp;""\""&amp;SUBSTITUTE(SUBST"&amp;"ITUTE(SUBSTITUTE(SUBSTITUTE(SUBSTITUTE(INDEX(Hairstyles!$C:$C,MATCH($B254,Hairstyles!$F:$F,0)),"" "",""""),""'"",""""),""("",""""),"")"",""""),""-"",""_"")&amp;""_""&amp;$A$2)"),"FuseValkyr2\Human\Female\FuseValkyr2_ClassicDante_Human_Female")</f>
        <v>FuseValkyr2\Human\Female\FuseValkyr2_ClassicDante_Human_Female</v>
      </c>
      <c r="D254" s="12" t="str">
        <f t="shared" si="1"/>
        <v>Uvi_Wig_Spell_Valkyr_CDante,FuseValkyr2\Human\Female\FuseValkyr2_ClassicDante_Human_Female</v>
      </c>
    </row>
    <row r="255">
      <c r="B255" s="12" t="str">
        <f>IFERROR(__xludf.DUMMYFUNCTION("""COMPUTED_VALUE"""),"Uvi_Wig_Spell_Valkyr_Dany")</f>
        <v>Uvi_Wig_Spell_Valkyr_Dany</v>
      </c>
      <c r="C255" s="12" t="str">
        <f>IFERROR(__xludf.DUMMYFUNCTION("IF($B255="""","""",SUBSTITUTE(SUBSTITUTE(SUBSTITUTE(SUBSTITUTE(INDEX(Hairstyles!$A:$A,MATCH($B255,Hairstyles!$F:$F,0)),"" "",""""),""'"",""""),""("",""""),"")"","""")&amp;""\""&amp;INDEX(SPLIT($A$2,""_""),1)&amp;""\""&amp;INDEX(SPLIT($A$2,""_""),2)&amp;""\""&amp;SUBSTITUTE(SUBST"&amp;"ITUTE(SUBSTITUTE(SUBSTITUTE(SUBSTITUTE(INDEX(Hairstyles!$C:$C,MATCH($B255,Hairstyles!$F:$F,0)),"" "",""""),""'"",""""),""("",""""),"")"",""""),""-"",""_"")&amp;""_""&amp;$A$2)"),"FuseValkyr2\Human\Female\FuseValkyr2_Danaerys_Human_Female")</f>
        <v>FuseValkyr2\Human\Female\FuseValkyr2_Danaerys_Human_Female</v>
      </c>
      <c r="D255" s="12" t="str">
        <f t="shared" si="1"/>
        <v>Uvi_Wig_Spell_Valkyr_Dany,FuseValkyr2\Human\Female\FuseValkyr2_Danaerys_Human_Female</v>
      </c>
    </row>
    <row r="256">
      <c r="B256" s="12" t="str">
        <f>IFERROR(__xludf.DUMMYFUNCTION("""COMPUTED_VALUE"""),"Uvi_Wig_Spell_Valkyr_Ghost")</f>
        <v>Uvi_Wig_Spell_Valkyr_Ghost</v>
      </c>
      <c r="C256" s="12" t="str">
        <f>IFERROR(__xludf.DUMMYFUNCTION("IF($B256="""","""",SUBSTITUTE(SUBSTITUTE(SUBSTITUTE(SUBSTITUTE(INDEX(Hairstyles!$A:$A,MATCH($B256,Hairstyles!$F:$F,0)),"" "",""""),""'"",""""),""("",""""),"")"","""")&amp;""\""&amp;INDEX(SPLIT($A$2,""_""),1)&amp;""\""&amp;INDEX(SPLIT($A$2,""_""),2)&amp;""\""&amp;SUBSTITUTE(SUBST"&amp;"ITUTE(SUBSTITUTE(SUBSTITUTE(SUBSTITUTE(INDEX(Hairstyles!$C:$C,MATCH($B256,Hairstyles!$F:$F,0)),"" "",""""),""'"",""""),""("",""""),"")"",""""),""-"",""_"")&amp;""_""&amp;$A$2)"),"FuseValkyr2\Human\Female\FuseValkyr2_Ghost_Human_Female")</f>
        <v>FuseValkyr2\Human\Female\FuseValkyr2_Ghost_Human_Female</v>
      </c>
      <c r="D256" s="12" t="str">
        <f t="shared" si="1"/>
        <v>Uvi_Wig_Spell_Valkyr_Ghost,FuseValkyr2\Human\Female\FuseValkyr2_Ghost_Human_Female</v>
      </c>
    </row>
    <row r="257">
      <c r="B257" s="12" t="str">
        <f>IFERROR(__xludf.DUMMYFUNCTION("""COMPUTED_VALUE"""),"Uvi_Wig_Spell_CK1_Bae")</f>
        <v>Uvi_Wig_Spell_CK1_Bae</v>
      </c>
      <c r="C257" s="12" t="str">
        <f>IFERROR(__xludf.DUMMYFUNCTION("IF($B257="""","""",SUBSTITUTE(SUBSTITUTE(SUBSTITUTE(SUBSTITUTE(INDEX(Hairstyles!$A:$A,MATCH($B257,Hairstyles!$F:$F,0)),"" "",""""),""'"",""""),""("",""""),"")"","""")&amp;""\""&amp;INDEX(SPLIT($A$2,""_""),1)&amp;""\""&amp;INDEX(SPLIT($A$2,""_""),2)&amp;""\""&amp;SUBSTITUTE(SUBST"&amp;"ITUTE(SUBSTITUTE(SUBSTITUTE(SUBSTITUTE(INDEX(Hairstyles!$C:$C,MATCH($B257,Hairstyles!$F:$F,0)),"" "",""""),""'"",""""),""("",""""),"")"",""""),""-"",""_"")&amp;""_""&amp;$A$2)"),"KoralinasCollection1\Human\Female\Koralina_Bae_Human_Female")</f>
        <v>KoralinasCollection1\Human\Female\Koralina_Bae_Human_Female</v>
      </c>
      <c r="D257" s="12" t="str">
        <f t="shared" si="1"/>
        <v>Uvi_Wig_Spell_CK1_Bae,KoralinasCollection1\Human\Female\Koralina_Bae_Human_Female</v>
      </c>
    </row>
    <row r="258">
      <c r="B258" s="12" t="str">
        <f>IFERROR(__xludf.DUMMYFUNCTION("""COMPUTED_VALUE"""),"Uvi_Wig_Spell_CK1_Wendy")</f>
        <v>Uvi_Wig_Spell_CK1_Wendy</v>
      </c>
      <c r="C258" s="12" t="str">
        <f>IFERROR(__xludf.DUMMYFUNCTION("IF($B258="""","""",SUBSTITUTE(SUBSTITUTE(SUBSTITUTE(SUBSTITUTE(INDEX(Hairstyles!$A:$A,MATCH($B258,Hairstyles!$F:$F,0)),"" "",""""),""'"",""""),""("",""""),"")"","""")&amp;""\""&amp;INDEX(SPLIT($A$2,""_""),1)&amp;""\""&amp;INDEX(SPLIT($A$2,""_""),2)&amp;""\""&amp;SUBSTITUTE(SUBST"&amp;"ITUTE(SUBSTITUTE(SUBSTITUTE(SUBSTITUTE(INDEX(Hairstyles!$C:$C,MATCH($B258,Hairstyles!$F:$F,0)),"" "",""""),""'"",""""),""("",""""),"")"",""""),""-"",""_"")&amp;""_""&amp;$A$2)"),"KoralinasCollection1\Human\Female\Koralina_Wendy_Human_Female")</f>
        <v>KoralinasCollection1\Human\Female\Koralina_Wendy_Human_Female</v>
      </c>
      <c r="D258" s="12" t="str">
        <f t="shared" si="1"/>
        <v>Uvi_Wig_Spell_CK1_Wendy,KoralinasCollection1\Human\Female\Koralina_Wendy_Human_Female</v>
      </c>
    </row>
    <row r="259">
      <c r="B259" s="12" t="str">
        <f>IFERROR(__xludf.DUMMYFUNCTION("""COMPUTED_VALUE"""),"Uvi_Wig_Spell_CK1_WolfCut")</f>
        <v>Uvi_Wig_Spell_CK1_WolfCut</v>
      </c>
      <c r="C259" s="12" t="str">
        <f>IFERROR(__xludf.DUMMYFUNCTION("IF($B259="""","""",SUBSTITUTE(SUBSTITUTE(SUBSTITUTE(SUBSTITUTE(INDEX(Hairstyles!$A:$A,MATCH($B259,Hairstyles!$F:$F,0)),"" "",""""),""'"",""""),""("",""""),"")"","""")&amp;""\""&amp;INDEX(SPLIT($A$2,""_""),1)&amp;""\""&amp;INDEX(SPLIT($A$2,""_""),2)&amp;""\""&amp;SUBSTITUTE(SUBST"&amp;"ITUTE(SUBSTITUTE(SUBSTITUTE(SUBSTITUTE(INDEX(Hairstyles!$C:$C,MATCH($B259,Hairstyles!$F:$F,0)),"" "",""""),""'"",""""),""("",""""),"")"",""""),""-"",""_"")&amp;""_""&amp;$A$2)"),"KoralinasCollection1\Human\Female\Koralina_WolfCut_Human_Female")</f>
        <v>KoralinasCollection1\Human\Female\Koralina_WolfCut_Human_Female</v>
      </c>
      <c r="D259" s="12" t="str">
        <f t="shared" si="1"/>
        <v>Uvi_Wig_Spell_CK1_WolfCut,KoralinasCollection1\Human\Female\Koralina_WolfCut_Human_Female</v>
      </c>
    </row>
    <row r="260">
      <c r="B260" s="12" t="str">
        <f>IFERROR(__xludf.DUMMYFUNCTION("""COMPUTED_VALUE"""),"Uvi_Wig_Spell_CK2_Aisha")</f>
        <v>Uvi_Wig_Spell_CK2_Aisha</v>
      </c>
      <c r="C260" s="12" t="str">
        <f>IFERROR(__xludf.DUMMYFUNCTION("IF($B260="""","""",SUBSTITUTE(SUBSTITUTE(SUBSTITUTE(SUBSTITUTE(INDEX(Hairstyles!$A:$A,MATCH($B260,Hairstyles!$F:$F,0)),"" "",""""),""'"",""""),""("",""""),"")"","""")&amp;""\""&amp;INDEX(SPLIT($A$2,""_""),1)&amp;""\""&amp;INDEX(SPLIT($A$2,""_""),2)&amp;""\""&amp;SUBSTITUTE(SUBST"&amp;"ITUTE(SUBSTITUTE(SUBSTITUTE(SUBSTITUTE(INDEX(Hairstyles!$C:$C,MATCH($B260,Hairstyles!$F:$F,0)),"" "",""""),""'"",""""),""("",""""),"")"",""""),""-"",""_"")&amp;""_""&amp;$A$2)"),"KoralinasCollection2\Human\Female\Koralina_Aisha_Human_Female")</f>
        <v>KoralinasCollection2\Human\Female\Koralina_Aisha_Human_Female</v>
      </c>
      <c r="D260" s="12" t="str">
        <f t="shared" si="1"/>
        <v>Uvi_Wig_Spell_CK2_Aisha,KoralinasCollection2\Human\Female\Koralina_Aisha_Human_Female</v>
      </c>
    </row>
    <row r="261">
      <c r="B261" s="12" t="str">
        <f>IFERROR(__xludf.DUMMYFUNCTION("""COMPUTED_VALUE"""),"Uvi_Wig_Spell_CK2_Siggy")</f>
        <v>Uvi_Wig_Spell_CK2_Siggy</v>
      </c>
      <c r="C261" s="12" t="str">
        <f>IFERROR(__xludf.DUMMYFUNCTION("IF($B261="""","""",SUBSTITUTE(SUBSTITUTE(SUBSTITUTE(SUBSTITUTE(INDEX(Hairstyles!$A:$A,MATCH($B261,Hairstyles!$F:$F,0)),"" "",""""),""'"",""""),""("",""""),"")"","""")&amp;""\""&amp;INDEX(SPLIT($A$2,""_""),1)&amp;""\""&amp;INDEX(SPLIT($A$2,""_""),2)&amp;""\""&amp;SUBSTITUTE(SUBST"&amp;"ITUTE(SUBSTITUTE(SUBSTITUTE(SUBSTITUTE(INDEX(Hairstyles!$C:$C,MATCH($B261,Hairstyles!$F:$F,0)),"" "",""""),""'"",""""),""("",""""),"")"",""""),""-"",""_"")&amp;""_""&amp;$A$2)"),"KoralinasCollection2\Human\Female\Koralina_Siggy_Human_Female")</f>
        <v>KoralinasCollection2\Human\Female\Koralina_Siggy_Human_Female</v>
      </c>
      <c r="D261" s="12" t="str">
        <f t="shared" si="1"/>
        <v>Uvi_Wig_Spell_CK2_Siggy,KoralinasCollection2\Human\Female\Koralina_Siggy_Human_Female</v>
      </c>
    </row>
    <row r="262">
      <c r="B262" s="12" t="str">
        <f>IFERROR(__xludf.DUMMYFUNCTION("""COMPUTED_VALUE"""),"Uvi_Wig_Spell_CK2_Wolf_01")</f>
        <v>Uvi_Wig_Spell_CK2_Wolf_01</v>
      </c>
      <c r="C262" s="12" t="str">
        <f>IFERROR(__xludf.DUMMYFUNCTION("IF($B262="""","""",SUBSTITUTE(SUBSTITUTE(SUBSTITUTE(SUBSTITUTE(INDEX(Hairstyles!$A:$A,MATCH($B262,Hairstyles!$F:$F,0)),"" "",""""),""'"",""""),""("",""""),"")"","""")&amp;""\""&amp;INDEX(SPLIT($A$2,""_""),1)&amp;""\""&amp;INDEX(SPLIT($A$2,""_""),2)&amp;""\""&amp;SUBSTITUTE(SUBST"&amp;"ITUTE(SUBSTITUTE(SUBSTITUTE(SUBSTITUTE(INDEX(Hairstyles!$C:$C,MATCH($B262,Hairstyles!$F:$F,0)),"" "",""""),""'"",""""),""("",""""),"")"",""""),""-"",""_"")&amp;""_""&amp;$A$2)"),"KoralinasCollection2\Human\Female\Koralina_Wolf_01_Human_Female")</f>
        <v>KoralinasCollection2\Human\Female\Koralina_Wolf_01_Human_Female</v>
      </c>
      <c r="D262" s="12" t="str">
        <f t="shared" si="1"/>
        <v>Uvi_Wig_Spell_CK2_Wolf_01,KoralinasCollection2\Human\Female\Koralina_Wolf_01_Human_Female</v>
      </c>
    </row>
    <row r="263">
      <c r="B263" s="12" t="str">
        <f>IFERROR(__xludf.DUMMYFUNCTION("""COMPUTED_VALUE"""),"Uvi_Wig_Spell_CK2_Wolf_02")</f>
        <v>Uvi_Wig_Spell_CK2_Wolf_02</v>
      </c>
      <c r="C263" s="12" t="str">
        <f>IFERROR(__xludf.DUMMYFUNCTION("IF($B263="""","""",SUBSTITUTE(SUBSTITUTE(SUBSTITUTE(SUBSTITUTE(INDEX(Hairstyles!$A:$A,MATCH($B263,Hairstyles!$F:$F,0)),"" "",""""),""'"",""""),""("",""""),"")"","""")&amp;""\""&amp;INDEX(SPLIT($A$2,""_""),1)&amp;""\""&amp;INDEX(SPLIT($A$2,""_""),2)&amp;""\""&amp;SUBSTITUTE(SUBST"&amp;"ITUTE(SUBSTITUTE(SUBSTITUTE(SUBSTITUTE(INDEX(Hairstyles!$C:$C,MATCH($B263,Hairstyles!$F:$F,0)),"" "",""""),""'"",""""),""("",""""),"")"",""""),""-"",""_"")&amp;""_""&amp;$A$2)"),"KoralinasCollection2\Human\Female\Koralina_Wolf_02_Human_Female")</f>
        <v>KoralinasCollection2\Human\Female\Koralina_Wolf_02_Human_Female</v>
      </c>
      <c r="D263" s="12" t="str">
        <f t="shared" si="1"/>
        <v>Uvi_Wig_Spell_CK2_Wolf_02,KoralinasCollection2\Human\Female\Koralina_Wolf_02_Human_Female</v>
      </c>
    </row>
    <row r="264">
      <c r="B264" s="12" t="str">
        <f>IFERROR(__xludf.DUMMYFUNCTION("""COMPUTED_VALUE"""),"Uvi_Wig_Spell_KS_Amor")</f>
        <v>Uvi_Wig_Spell_KS_Amor</v>
      </c>
      <c r="C264" s="12" t="str">
        <f>IFERROR(__xludf.DUMMYFUNCTION("IF($B264="""","""",SUBSTITUTE(SUBSTITUTE(SUBSTITUTE(SUBSTITUTE(INDEX(Hairstyles!$A:$A,MATCH($B264,Hairstyles!$F:$F,0)),"" "",""""),""'"",""""),""("",""""),"")"","""")&amp;""\""&amp;INDEX(SPLIT($A$2,""_""),1)&amp;""\""&amp;INDEX(SPLIT($A$2,""_""),2)&amp;""\""&amp;SUBSTITUTE(SUBST"&amp;"ITUTE(SUBSTITUTE(SUBSTITUTE(SUBSTITUTE(INDEX(Hairstyles!$C:$C,MATCH($B264,Hairstyles!$F:$F,0)),"" "",""""),""'"",""""),""("",""""),"")"",""""),""-"",""_"")&amp;""_""&amp;$A$2)"),"KSHairdos-HDTSMP\Human\Female\KSSMP_Amor_Human_Female")</f>
        <v>KSHairdos-HDTSMP\Human\Female\KSSMP_Amor_Human_Female</v>
      </c>
      <c r="D264" s="12" t="str">
        <f t="shared" si="1"/>
        <v>Uvi_Wig_Spell_KS_Amor,KSHairdos-HDTSMP\Human\Female\KSSMP_Amor_Human_Female</v>
      </c>
    </row>
    <row r="265">
      <c r="B265" s="12" t="str">
        <f>IFERROR(__xludf.DUMMYFUNCTION("""COMPUTED_VALUE"""),"Uvi_Wig_Spell_KS_Anchor")</f>
        <v>Uvi_Wig_Spell_KS_Anchor</v>
      </c>
      <c r="C265" s="12" t="str">
        <f>IFERROR(__xludf.DUMMYFUNCTION("IF($B265="""","""",SUBSTITUTE(SUBSTITUTE(SUBSTITUTE(SUBSTITUTE(INDEX(Hairstyles!$A:$A,MATCH($B265,Hairstyles!$F:$F,0)),"" "",""""),""'"",""""),""("",""""),"")"","""")&amp;""\""&amp;INDEX(SPLIT($A$2,""_""),1)&amp;""\""&amp;INDEX(SPLIT($A$2,""_""),2)&amp;""\""&amp;SUBSTITUTE(SUBST"&amp;"ITUTE(SUBSTITUTE(SUBSTITUTE(SUBSTITUTE(INDEX(Hairstyles!$C:$C,MATCH($B265,Hairstyles!$F:$F,0)),"" "",""""),""'"",""""),""("",""""),"")"",""""),""-"",""_"")&amp;""_""&amp;$A$2)"),"KSHairdos-HDTSMP\Human\Female\KSSMP_Anchor_Human_Female")</f>
        <v>KSHairdos-HDTSMP\Human\Female\KSSMP_Anchor_Human_Female</v>
      </c>
      <c r="D265" s="12" t="str">
        <f t="shared" si="1"/>
        <v>Uvi_Wig_Spell_KS_Anchor,KSHairdos-HDTSMP\Human\Female\KSSMP_Anchor_Human_Female</v>
      </c>
    </row>
    <row r="266">
      <c r="B266" s="12" t="str">
        <f>IFERROR(__xludf.DUMMYFUNCTION("""COMPUTED_VALUE"""),"Uvi_Wig_Spell_KS_Angelic")</f>
        <v>Uvi_Wig_Spell_KS_Angelic</v>
      </c>
      <c r="C266" s="12" t="str">
        <f>IFERROR(__xludf.DUMMYFUNCTION("IF($B266="""","""",SUBSTITUTE(SUBSTITUTE(SUBSTITUTE(SUBSTITUTE(INDEX(Hairstyles!$A:$A,MATCH($B266,Hairstyles!$F:$F,0)),"" "",""""),""'"",""""),""("",""""),"")"","""")&amp;""\""&amp;INDEX(SPLIT($A$2,""_""),1)&amp;""\""&amp;INDEX(SPLIT($A$2,""_""),2)&amp;""\""&amp;SUBSTITUTE(SUBST"&amp;"ITUTE(SUBSTITUTE(SUBSTITUTE(SUBSTITUTE(INDEX(Hairstyles!$C:$C,MATCH($B266,Hairstyles!$F:$F,0)),"" "",""""),""'"",""""),""("",""""),"")"",""""),""-"",""_"")&amp;""_""&amp;$A$2)"),"KSHairdos-HDTSMP\Human\Female\KSSMP_Angelic_Human_Female")</f>
        <v>KSHairdos-HDTSMP\Human\Female\KSSMP_Angelic_Human_Female</v>
      </c>
      <c r="D266" s="12" t="str">
        <f t="shared" si="1"/>
        <v>Uvi_Wig_Spell_KS_Angelic,KSHairdos-HDTSMP\Human\Female\KSSMP_Angelic_Human_Female</v>
      </c>
    </row>
    <row r="267">
      <c r="B267" s="12" t="str">
        <f>IFERROR(__xludf.DUMMYFUNCTION("""COMPUTED_VALUE"""),"Uvi_Wig_Spell_KS_Angels")</f>
        <v>Uvi_Wig_Spell_KS_Angels</v>
      </c>
      <c r="C267" s="12" t="str">
        <f>IFERROR(__xludf.DUMMYFUNCTION("IF($B267="""","""",SUBSTITUTE(SUBSTITUTE(SUBSTITUTE(SUBSTITUTE(INDEX(Hairstyles!$A:$A,MATCH($B267,Hairstyles!$F:$F,0)),"" "",""""),""'"",""""),""("",""""),"")"","""")&amp;""\""&amp;INDEX(SPLIT($A$2,""_""),1)&amp;""\""&amp;INDEX(SPLIT($A$2,""_""),2)&amp;""\""&amp;SUBSTITUTE(SUBST"&amp;"ITUTE(SUBSTITUTE(SUBSTITUTE(SUBSTITUTE(INDEX(Hairstyles!$C:$C,MATCH($B267,Hairstyles!$F:$F,0)),"" "",""""),""'"",""""),""("",""""),"")"",""""),""-"",""_"")&amp;""_""&amp;$A$2)"),"KSHairdos-HDTSMP\Human\Female\KSSMP_Angels_Human_Female")</f>
        <v>KSHairdos-HDTSMP\Human\Female\KSSMP_Angels_Human_Female</v>
      </c>
      <c r="D267" s="12" t="str">
        <f t="shared" si="1"/>
        <v>Uvi_Wig_Spell_KS_Angels,KSHairdos-HDTSMP\Human\Female\KSSMP_Angels_Human_Female</v>
      </c>
    </row>
    <row r="268">
      <c r="B268" s="12" t="str">
        <f>IFERROR(__xludf.DUMMYFUNCTION("""COMPUTED_VALUE"""),"Uvi_Wig_Spell_KS_Anna")</f>
        <v>Uvi_Wig_Spell_KS_Anna</v>
      </c>
      <c r="C268" s="12" t="str">
        <f>IFERROR(__xludf.DUMMYFUNCTION("IF($B268="""","""",SUBSTITUTE(SUBSTITUTE(SUBSTITUTE(SUBSTITUTE(INDEX(Hairstyles!$A:$A,MATCH($B268,Hairstyles!$F:$F,0)),"" "",""""),""'"",""""),""("",""""),"")"","""")&amp;""\""&amp;INDEX(SPLIT($A$2,""_""),1)&amp;""\""&amp;INDEX(SPLIT($A$2,""_""),2)&amp;""\""&amp;SUBSTITUTE(SUBST"&amp;"ITUTE(SUBSTITUTE(SUBSTITUTE(SUBSTITUTE(INDEX(Hairstyles!$C:$C,MATCH($B268,Hairstyles!$F:$F,0)),"" "",""""),""'"",""""),""("",""""),"")"",""""),""-"",""_"")&amp;""_""&amp;$A$2)"),"KSHairdos-HDTSMP\Human\Female\KSSMP_Anna_Human_Female")</f>
        <v>KSHairdos-HDTSMP\Human\Female\KSSMP_Anna_Human_Female</v>
      </c>
      <c r="D268" s="12" t="str">
        <f t="shared" si="1"/>
        <v>Uvi_Wig_Spell_KS_Anna,KSHairdos-HDTSMP\Human\Female\KSSMP_Anna_Human_Female</v>
      </c>
    </row>
    <row r="269">
      <c r="B269" s="12" t="str">
        <f>IFERROR(__xludf.DUMMYFUNCTION("""COMPUTED_VALUE"""),"Uvi_Wig_Spell_KS_Anto92")</f>
        <v>Uvi_Wig_Spell_KS_Anto92</v>
      </c>
      <c r="C269" s="12" t="str">
        <f>IFERROR(__xludf.DUMMYFUNCTION("IF($B269="""","""",SUBSTITUTE(SUBSTITUTE(SUBSTITUTE(SUBSTITUTE(INDEX(Hairstyles!$A:$A,MATCH($B269,Hairstyles!$F:$F,0)),"" "",""""),""'"",""""),""("",""""),"")"","""")&amp;""\""&amp;INDEX(SPLIT($A$2,""_""),1)&amp;""\""&amp;INDEX(SPLIT($A$2,""_""),2)&amp;""\""&amp;SUBSTITUTE(SUBST"&amp;"ITUTE(SUBSTITUTE(SUBSTITUTE(SUBSTITUTE(INDEX(Hairstyles!$C:$C,MATCH($B269,Hairstyles!$F:$F,0)),"" "",""""),""'"",""""),""("",""""),"")"",""""),""-"",""_"")&amp;""_""&amp;$A$2)"),"KSHairdos-HDTSMP\Human\Female\KSSMP_Anto92_Human_Female")</f>
        <v>KSHairdos-HDTSMP\Human\Female\KSSMP_Anto92_Human_Female</v>
      </c>
      <c r="D269" s="12" t="str">
        <f t="shared" si="1"/>
        <v>Uvi_Wig_Spell_KS_Anto92,KSHairdos-HDTSMP\Human\Female\KSSMP_Anto92_Human_Female</v>
      </c>
    </row>
    <row r="270">
      <c r="B270" s="12" t="str">
        <f>IFERROR(__xludf.DUMMYFUNCTION("""COMPUTED_VALUE"""),"Uvi_Wig_Spell_KS_Aroma")</f>
        <v>Uvi_Wig_Spell_KS_Aroma</v>
      </c>
      <c r="C270" s="12" t="str">
        <f>IFERROR(__xludf.DUMMYFUNCTION("IF($B270="""","""",SUBSTITUTE(SUBSTITUTE(SUBSTITUTE(SUBSTITUTE(INDEX(Hairstyles!$A:$A,MATCH($B270,Hairstyles!$F:$F,0)),"" "",""""),""'"",""""),""("",""""),"")"","""")&amp;""\""&amp;INDEX(SPLIT($A$2,""_""),1)&amp;""\""&amp;INDEX(SPLIT($A$2,""_""),2)&amp;""\""&amp;SUBSTITUTE(SUBST"&amp;"ITUTE(SUBSTITUTE(SUBSTITUTE(SUBSTITUTE(INDEX(Hairstyles!$C:$C,MATCH($B270,Hairstyles!$F:$F,0)),"" "",""""),""'"",""""),""("",""""),"")"",""""),""-"",""_"")&amp;""_""&amp;$A$2)"),"KSHairdos-HDTSMP\Human\Female\KSSMP_Aroma_Human_Female")</f>
        <v>KSHairdos-HDTSMP\Human\Female\KSSMP_Aroma_Human_Female</v>
      </c>
      <c r="D270" s="12" t="str">
        <f t="shared" si="1"/>
        <v>Uvi_Wig_Spell_KS_Aroma,KSHairdos-HDTSMP\Human\Female\KSSMP_Aroma_Human_Female</v>
      </c>
    </row>
    <row r="271">
      <c r="B271" s="12" t="str">
        <f>IFERROR(__xludf.DUMMYFUNCTION("""COMPUTED_VALUE"""),"Uvi_Wig_Spell_KS_Babydoll")</f>
        <v>Uvi_Wig_Spell_KS_Babydoll</v>
      </c>
      <c r="C271" s="12" t="str">
        <f>IFERROR(__xludf.DUMMYFUNCTION("IF($B271="""","""",SUBSTITUTE(SUBSTITUTE(SUBSTITUTE(SUBSTITUTE(INDEX(Hairstyles!$A:$A,MATCH($B271,Hairstyles!$F:$F,0)),"" "",""""),""'"",""""),""("",""""),"")"","""")&amp;""\""&amp;INDEX(SPLIT($A$2,""_""),1)&amp;""\""&amp;INDEX(SPLIT($A$2,""_""),2)&amp;""\""&amp;SUBSTITUTE(SUBST"&amp;"ITUTE(SUBSTITUTE(SUBSTITUTE(SUBSTITUTE(INDEX(Hairstyles!$C:$C,MATCH($B271,Hairstyles!$F:$F,0)),"" "",""""),""'"",""""),""("",""""),"")"",""""),""-"",""_"")&amp;""_""&amp;$A$2)"),"KSHairdos-HDTSMP\Human\Female\KSSMP_Babydoll_Human_Female")</f>
        <v>KSHairdos-HDTSMP\Human\Female\KSSMP_Babydoll_Human_Female</v>
      </c>
      <c r="D271" s="12" t="str">
        <f t="shared" si="1"/>
        <v>Uvi_Wig_Spell_KS_Babydoll,KSHairdos-HDTSMP\Human\Female\KSSMP_Babydoll_Human_Female</v>
      </c>
    </row>
    <row r="272">
      <c r="B272" s="12" t="str">
        <f>IFERROR(__xludf.DUMMYFUNCTION("""COMPUTED_VALUE"""),"Uvi_Wig_Spell_KS_BabydollBand")</f>
        <v>Uvi_Wig_Spell_KS_BabydollBand</v>
      </c>
      <c r="C272" s="12" t="str">
        <f>IFERROR(__xludf.DUMMYFUNCTION("IF($B272="""","""",SUBSTITUTE(SUBSTITUTE(SUBSTITUTE(SUBSTITUTE(INDEX(Hairstyles!$A:$A,MATCH($B272,Hairstyles!$F:$F,0)),"" "",""""),""'"",""""),""("",""""),"")"","""")&amp;""\""&amp;INDEX(SPLIT($A$2,""_""),1)&amp;""\""&amp;INDEX(SPLIT($A$2,""_""),2)&amp;""\""&amp;SUBSTITUTE(SUBST"&amp;"ITUTE(SUBSTITUTE(SUBSTITUTE(SUBSTITUTE(INDEX(Hairstyles!$C:$C,MATCH($B272,Hairstyles!$F:$F,0)),"" "",""""),""'"",""""),""("",""""),"")"",""""),""-"",""_"")&amp;""_""&amp;$A$2)"),"KSHairdos-HDTSMP\Human\Female\KSSMP_BabydollBand_Human_Female")</f>
        <v>KSHairdos-HDTSMP\Human\Female\KSSMP_BabydollBand_Human_Female</v>
      </c>
      <c r="D272" s="12" t="str">
        <f t="shared" si="1"/>
        <v>Uvi_Wig_Spell_KS_BabydollBand,KSHairdos-HDTSMP\Human\Female\KSSMP_BabydollBand_Human_Female</v>
      </c>
    </row>
    <row r="273">
      <c r="B273" s="12" t="str">
        <f>IFERROR(__xludf.DUMMYFUNCTION("""COMPUTED_VALUE"""),"Uvi_Wig_Spell_KS_Bluebird")</f>
        <v>Uvi_Wig_Spell_KS_Bluebird</v>
      </c>
      <c r="C273" s="12" t="str">
        <f>IFERROR(__xludf.DUMMYFUNCTION("IF($B273="""","""",SUBSTITUTE(SUBSTITUTE(SUBSTITUTE(SUBSTITUTE(INDEX(Hairstyles!$A:$A,MATCH($B273,Hairstyles!$F:$F,0)),"" "",""""),""'"",""""),""("",""""),"")"","""")&amp;""\""&amp;INDEX(SPLIT($A$2,""_""),1)&amp;""\""&amp;INDEX(SPLIT($A$2,""_""),2)&amp;""\""&amp;SUBSTITUTE(SUBST"&amp;"ITUTE(SUBSTITUTE(SUBSTITUTE(SUBSTITUTE(INDEX(Hairstyles!$C:$C,MATCH($B273,Hairstyles!$F:$F,0)),"" "",""""),""'"",""""),""("",""""),"")"",""""),""-"",""_"")&amp;""_""&amp;$A$2)"),"KSHairdos-HDTSMP\Human\Female\KSSMP_Bluebird_Human_Female")</f>
        <v>KSHairdos-HDTSMP\Human\Female\KSSMP_Bluebird_Human_Female</v>
      </c>
      <c r="D273" s="12" t="str">
        <f t="shared" si="1"/>
        <v>Uvi_Wig_Spell_KS_Bluebird,KSHairdos-HDTSMP\Human\Female\KSSMP_Bluebird_Human_Female</v>
      </c>
    </row>
    <row r="274">
      <c r="B274" s="12" t="str">
        <f>IFERROR(__xludf.DUMMYFUNCTION("""COMPUTED_VALUE"""),"Uvi_Wig_Spell_KS_Cambrian")</f>
        <v>Uvi_Wig_Spell_KS_Cambrian</v>
      </c>
      <c r="C274" s="12" t="str">
        <f>IFERROR(__xludf.DUMMYFUNCTION("IF($B274="""","""",SUBSTITUTE(SUBSTITUTE(SUBSTITUTE(SUBSTITUTE(INDEX(Hairstyles!$A:$A,MATCH($B274,Hairstyles!$F:$F,0)),"" "",""""),""'"",""""),""("",""""),"")"","""")&amp;""\""&amp;INDEX(SPLIT($A$2,""_""),1)&amp;""\""&amp;INDEX(SPLIT($A$2,""_""),2)&amp;""\""&amp;SUBSTITUTE(SUBST"&amp;"ITUTE(SUBSTITUTE(SUBSTITUTE(SUBSTITUTE(INDEX(Hairstyles!$C:$C,MATCH($B274,Hairstyles!$F:$F,0)),"" "",""""),""'"",""""),""("",""""),"")"",""""),""-"",""_"")&amp;""_""&amp;$A$2)"),"KSHairdos-HDTSMP\Human\Female\KSSMP_Cambrian_Human_Female")</f>
        <v>KSHairdos-HDTSMP\Human\Female\KSSMP_Cambrian_Human_Female</v>
      </c>
      <c r="D274" s="12" t="str">
        <f t="shared" si="1"/>
        <v>Uvi_Wig_Spell_KS_Cambrian,KSHairdos-HDTSMP\Human\Female\KSSMP_Cambrian_Human_Female</v>
      </c>
    </row>
    <row r="275">
      <c r="B275" s="12" t="str">
        <f>IFERROR(__xludf.DUMMYFUNCTION("""COMPUTED_VALUE"""),"Uvi_Wig_Spell_KS_Caress")</f>
        <v>Uvi_Wig_Spell_KS_Caress</v>
      </c>
      <c r="C275" s="12" t="str">
        <f>IFERROR(__xludf.DUMMYFUNCTION("IF($B275="""","""",SUBSTITUTE(SUBSTITUTE(SUBSTITUTE(SUBSTITUTE(INDEX(Hairstyles!$A:$A,MATCH($B275,Hairstyles!$F:$F,0)),"" "",""""),""'"",""""),""("",""""),"")"","""")&amp;""\""&amp;INDEX(SPLIT($A$2,""_""),1)&amp;""\""&amp;INDEX(SPLIT($A$2,""_""),2)&amp;""\""&amp;SUBSTITUTE(SUBST"&amp;"ITUTE(SUBSTITUTE(SUBSTITUTE(SUBSTITUTE(INDEX(Hairstyles!$C:$C,MATCH($B275,Hairstyles!$F:$F,0)),"" "",""""),""'"",""""),""("",""""),"")"",""""),""-"",""_"")&amp;""_""&amp;$A$2)"),"KSHairdos-HDTSMP\Human\Female\KSSMP_Caress_Human_Female")</f>
        <v>KSHairdos-HDTSMP\Human\Female\KSSMP_Caress_Human_Female</v>
      </c>
      <c r="D275" s="12" t="str">
        <f t="shared" si="1"/>
        <v>Uvi_Wig_Spell_KS_Caress,KSHairdos-HDTSMP\Human\Female\KSSMP_Caress_Human_Female</v>
      </c>
    </row>
    <row r="276">
      <c r="B276" s="12" t="str">
        <f>IFERROR(__xludf.DUMMYFUNCTION("""COMPUTED_VALUE"""),"Uvi_Wig_Spell_KS_Cassy")</f>
        <v>Uvi_Wig_Spell_KS_Cassy</v>
      </c>
      <c r="C276" s="12" t="str">
        <f>IFERROR(__xludf.DUMMYFUNCTION("IF($B276="""","""",SUBSTITUTE(SUBSTITUTE(SUBSTITUTE(SUBSTITUTE(INDEX(Hairstyles!$A:$A,MATCH($B276,Hairstyles!$F:$F,0)),"" "",""""),""'"",""""),""("",""""),"")"","""")&amp;""\""&amp;INDEX(SPLIT($A$2,""_""),1)&amp;""\""&amp;INDEX(SPLIT($A$2,""_""),2)&amp;""\""&amp;SUBSTITUTE(SUBST"&amp;"ITUTE(SUBSTITUTE(SUBSTITUTE(SUBSTITUTE(INDEX(Hairstyles!$C:$C,MATCH($B276,Hairstyles!$F:$F,0)),"" "",""""),""'"",""""),""("",""""),"")"",""""),""-"",""_"")&amp;""_""&amp;$A$2)"),"KSHairdos-HDTSMP\Human\Female\KSSMP_Cassy_Human_Female")</f>
        <v>KSHairdos-HDTSMP\Human\Female\KSSMP_Cassy_Human_Female</v>
      </c>
      <c r="D276" s="12" t="str">
        <f t="shared" si="1"/>
        <v>Uvi_Wig_Spell_KS_Cassy,KSHairdos-HDTSMP\Human\Female\KSSMP_Cassy_Human_Female</v>
      </c>
    </row>
    <row r="277">
      <c r="B277" s="12" t="str">
        <f>IFERROR(__xludf.DUMMYFUNCTION("""COMPUTED_VALUE"""),"Uvi_Wig_Spell_KS_Cerigo")</f>
        <v>Uvi_Wig_Spell_KS_Cerigo</v>
      </c>
      <c r="C277" s="12" t="str">
        <f>IFERROR(__xludf.DUMMYFUNCTION("IF($B277="""","""",SUBSTITUTE(SUBSTITUTE(SUBSTITUTE(SUBSTITUTE(INDEX(Hairstyles!$A:$A,MATCH($B277,Hairstyles!$F:$F,0)),"" "",""""),""'"",""""),""("",""""),"")"","""")&amp;""\""&amp;INDEX(SPLIT($A$2,""_""),1)&amp;""\""&amp;INDEX(SPLIT($A$2,""_""),2)&amp;""\""&amp;SUBSTITUTE(SUBST"&amp;"ITUTE(SUBSTITUTE(SUBSTITUTE(SUBSTITUTE(INDEX(Hairstyles!$C:$C,MATCH($B277,Hairstyles!$F:$F,0)),"" "",""""),""'"",""""),""("",""""),"")"",""""),""-"",""_"")&amp;""_""&amp;$A$2)"),"KSHairdos-HDTSMP\Human\Female\KSSMP_Cerigo_Human_Female")</f>
        <v>KSHairdos-HDTSMP\Human\Female\KSSMP_Cerigo_Human_Female</v>
      </c>
      <c r="D277" s="12" t="str">
        <f t="shared" si="1"/>
        <v>Uvi_Wig_Spell_KS_Cerigo,KSHairdos-HDTSMP\Human\Female\KSSMP_Cerigo_Human_Female</v>
      </c>
    </row>
    <row r="278">
      <c r="B278" s="12" t="str">
        <f>IFERROR(__xludf.DUMMYFUNCTION("""COMPUTED_VALUE"""),"Uvi_Wig_Spell_KS_Cliche")</f>
        <v>Uvi_Wig_Spell_KS_Cliche</v>
      </c>
      <c r="C278" s="12" t="str">
        <f>IFERROR(__xludf.DUMMYFUNCTION("IF($B278="""","""",SUBSTITUTE(SUBSTITUTE(SUBSTITUTE(SUBSTITUTE(INDEX(Hairstyles!$A:$A,MATCH($B278,Hairstyles!$F:$F,0)),"" "",""""),""'"",""""),""("",""""),"")"","""")&amp;""\""&amp;INDEX(SPLIT($A$2,""_""),1)&amp;""\""&amp;INDEX(SPLIT($A$2,""_""),2)&amp;""\""&amp;SUBSTITUTE(SUBST"&amp;"ITUTE(SUBSTITUTE(SUBSTITUTE(SUBSTITUTE(INDEX(Hairstyles!$C:$C,MATCH($B278,Hairstyles!$F:$F,0)),"" "",""""),""'"",""""),""("",""""),"")"",""""),""-"",""_"")&amp;""_""&amp;$A$2)"),"KSHairdos-HDTSMP\Human\Female\KSSMP_Cliche_Human_Female")</f>
        <v>KSHairdos-HDTSMP\Human\Female\KSSMP_Cliche_Human_Female</v>
      </c>
      <c r="D278" s="12" t="str">
        <f t="shared" si="1"/>
        <v>Uvi_Wig_Spell_KS_Cliche,KSHairdos-HDTSMP\Human\Female\KSSMP_Cliche_Human_Female</v>
      </c>
    </row>
    <row r="279">
      <c r="B279" s="12" t="str">
        <f>IFERROR(__xludf.DUMMYFUNCTION("""COMPUTED_VALUE"""),"Uvi_Wig_Spell_KS_Cola")</f>
        <v>Uvi_Wig_Spell_KS_Cola</v>
      </c>
      <c r="C279" s="12" t="str">
        <f>IFERROR(__xludf.DUMMYFUNCTION("IF($B279="""","""",SUBSTITUTE(SUBSTITUTE(SUBSTITUTE(SUBSTITUTE(INDEX(Hairstyles!$A:$A,MATCH($B279,Hairstyles!$F:$F,0)),"" "",""""),""'"",""""),""("",""""),"")"","""")&amp;""\""&amp;INDEX(SPLIT($A$2,""_""),1)&amp;""\""&amp;INDEX(SPLIT($A$2,""_""),2)&amp;""\""&amp;SUBSTITUTE(SUBST"&amp;"ITUTE(SUBSTITUTE(SUBSTITUTE(SUBSTITUTE(INDEX(Hairstyles!$C:$C,MATCH($B279,Hairstyles!$F:$F,0)),"" "",""""),""'"",""""),""("",""""),"")"",""""),""-"",""_"")&amp;""_""&amp;$A$2)"),"KSHairdos-HDTSMP\Human\Female\KSSMP_Cola_Human_Female")</f>
        <v>KSHairdos-HDTSMP\Human\Female\KSSMP_Cola_Human_Female</v>
      </c>
      <c r="D279" s="12" t="str">
        <f t="shared" si="1"/>
        <v>Uvi_Wig_Spell_KS_Cola,KSHairdos-HDTSMP\Human\Female\KSSMP_Cola_Human_Female</v>
      </c>
    </row>
    <row r="280">
      <c r="B280" s="12" t="str">
        <f>IFERROR(__xludf.DUMMYFUNCTION("""COMPUTED_VALUE"""),"Uvi_Wig_Spell_KS_CrazyLove")</f>
        <v>Uvi_Wig_Spell_KS_CrazyLove</v>
      </c>
      <c r="C280" s="12" t="str">
        <f>IFERROR(__xludf.DUMMYFUNCTION("IF($B280="""","""",SUBSTITUTE(SUBSTITUTE(SUBSTITUTE(SUBSTITUTE(INDEX(Hairstyles!$A:$A,MATCH($B280,Hairstyles!$F:$F,0)),"" "",""""),""'"",""""),""("",""""),"")"","""")&amp;""\""&amp;INDEX(SPLIT($A$2,""_""),1)&amp;""\""&amp;INDEX(SPLIT($A$2,""_""),2)&amp;""\""&amp;SUBSTITUTE(SUBST"&amp;"ITUTE(SUBSTITUTE(SUBSTITUTE(SUBSTITUTE(INDEX(Hairstyles!$C:$C,MATCH($B280,Hairstyles!$F:$F,0)),"" "",""""),""'"",""""),""("",""""),"")"",""""),""-"",""_"")&amp;""_""&amp;$A$2)"),"KSHairdos-HDTSMP\Human\Female\KSSMP_CrazyLove_Human_Female")</f>
        <v>KSHairdos-HDTSMP\Human\Female\KSSMP_CrazyLove_Human_Female</v>
      </c>
      <c r="D280" s="12" t="str">
        <f t="shared" si="1"/>
        <v>Uvi_Wig_Spell_KS_CrazyLove,KSHairdos-HDTSMP\Human\Female\KSSMP_CrazyLove_Human_Female</v>
      </c>
    </row>
    <row r="281">
      <c r="B281" s="12" t="str">
        <f>IFERROR(__xludf.DUMMYFUNCTION("""COMPUTED_VALUE"""),"Uvi_Wig_Spell_KS_Crescent")</f>
        <v>Uvi_Wig_Spell_KS_Crescent</v>
      </c>
      <c r="C281" s="12" t="str">
        <f>IFERROR(__xludf.DUMMYFUNCTION("IF($B281="""","""",SUBSTITUTE(SUBSTITUTE(SUBSTITUTE(SUBSTITUTE(INDEX(Hairstyles!$A:$A,MATCH($B281,Hairstyles!$F:$F,0)),"" "",""""),""'"",""""),""("",""""),"")"","""")&amp;""\""&amp;INDEX(SPLIT($A$2,""_""),1)&amp;""\""&amp;INDEX(SPLIT($A$2,""_""),2)&amp;""\""&amp;SUBSTITUTE(SUBST"&amp;"ITUTE(SUBSTITUTE(SUBSTITUTE(SUBSTITUTE(INDEX(Hairstyles!$C:$C,MATCH($B281,Hairstyles!$F:$F,0)),"" "",""""),""'"",""""),""("",""""),"")"",""""),""-"",""_"")&amp;""_""&amp;$A$2)"),"KSHairdos-HDTSMP\Human\Female\KSSMP_Crescent_Human_Female")</f>
        <v>KSHairdos-HDTSMP\Human\Female\KSSMP_Crescent_Human_Female</v>
      </c>
      <c r="D281" s="12" t="str">
        <f t="shared" si="1"/>
        <v>Uvi_Wig_Spell_KS_Crescent,KSHairdos-HDTSMP\Human\Female\KSSMP_Crescent_Human_Female</v>
      </c>
    </row>
    <row r="282">
      <c r="B282" s="12" t="str">
        <f>IFERROR(__xludf.DUMMYFUNCTION("""COMPUTED_VALUE"""),"Uvi_Wig_Spell_KS_Desirae")</f>
        <v>Uvi_Wig_Spell_KS_Desirae</v>
      </c>
      <c r="C282" s="12" t="str">
        <f>IFERROR(__xludf.DUMMYFUNCTION("IF($B282="""","""",SUBSTITUTE(SUBSTITUTE(SUBSTITUTE(SUBSTITUTE(INDEX(Hairstyles!$A:$A,MATCH($B282,Hairstyles!$F:$F,0)),"" "",""""),""'"",""""),""("",""""),"")"","""")&amp;""\""&amp;INDEX(SPLIT($A$2,""_""),1)&amp;""\""&amp;INDEX(SPLIT($A$2,""_""),2)&amp;""\""&amp;SUBSTITUTE(SUBST"&amp;"ITUTE(SUBSTITUTE(SUBSTITUTE(SUBSTITUTE(INDEX(Hairstyles!$C:$C,MATCH($B282,Hairstyles!$F:$F,0)),"" "",""""),""'"",""""),""("",""""),"")"",""""),""-"",""_"")&amp;""_""&amp;$A$2)"),"KSHairdos-HDTSMP\Human\Female\KSSMP_Desirae_Human_Female")</f>
        <v>KSHairdos-HDTSMP\Human\Female\KSSMP_Desirae_Human_Female</v>
      </c>
      <c r="D282" s="12" t="str">
        <f t="shared" si="1"/>
        <v>Uvi_Wig_Spell_KS_Desirae,KSHairdos-HDTSMP\Human\Female\KSSMP_Desirae_Human_Female</v>
      </c>
    </row>
    <row r="283">
      <c r="B283" s="12" t="str">
        <f>IFERROR(__xludf.DUMMYFUNCTION("""COMPUTED_VALUE"""),"Uvi_Wig_Spell_KS_Desperate")</f>
        <v>Uvi_Wig_Spell_KS_Desperate</v>
      </c>
      <c r="C283" s="12" t="str">
        <f>IFERROR(__xludf.DUMMYFUNCTION("IF($B283="""","""",SUBSTITUTE(SUBSTITUTE(SUBSTITUTE(SUBSTITUTE(INDEX(Hairstyles!$A:$A,MATCH($B283,Hairstyles!$F:$F,0)),"" "",""""),""'"",""""),""("",""""),"")"","""")&amp;""\""&amp;INDEX(SPLIT($A$2,""_""),1)&amp;""\""&amp;INDEX(SPLIT($A$2,""_""),2)&amp;""\""&amp;SUBSTITUTE(SUBST"&amp;"ITUTE(SUBSTITUTE(SUBSTITUTE(SUBSTITUTE(INDEX(Hairstyles!$C:$C,MATCH($B283,Hairstyles!$F:$F,0)),"" "",""""),""'"",""""),""("",""""),"")"",""""),""-"",""_"")&amp;""_""&amp;$A$2)"),"KSHairdos-HDTSMP\Human\Female\KSSMP_Desperate_Human_Female")</f>
        <v>KSHairdos-HDTSMP\Human\Female\KSSMP_Desperate_Human_Female</v>
      </c>
      <c r="D283" s="12" t="str">
        <f t="shared" si="1"/>
        <v>Uvi_Wig_Spell_KS_Desperate,KSHairdos-HDTSMP\Human\Female\KSSMP_Desperate_Human_Female</v>
      </c>
    </row>
    <row r="284">
      <c r="B284" s="12" t="str">
        <f>IFERROR(__xludf.DUMMYFUNCTION("""COMPUTED_VALUE"""),"Uvi_Wig_Spell_KS_Didar")</f>
        <v>Uvi_Wig_Spell_KS_Didar</v>
      </c>
      <c r="C284" s="12" t="str">
        <f>IFERROR(__xludf.DUMMYFUNCTION("IF($B284="""","""",SUBSTITUTE(SUBSTITUTE(SUBSTITUTE(SUBSTITUTE(INDEX(Hairstyles!$A:$A,MATCH($B284,Hairstyles!$F:$F,0)),"" "",""""),""'"",""""),""("",""""),"")"","""")&amp;""\""&amp;INDEX(SPLIT($A$2,""_""),1)&amp;""\""&amp;INDEX(SPLIT($A$2,""_""),2)&amp;""\""&amp;SUBSTITUTE(SUBST"&amp;"ITUTE(SUBSTITUTE(SUBSTITUTE(SUBSTITUTE(INDEX(Hairstyles!$C:$C,MATCH($B284,Hairstyles!$F:$F,0)),"" "",""""),""'"",""""),""("",""""),"")"",""""),""-"",""_"")&amp;""_""&amp;$A$2)"),"KSHairdos-HDTSMP\Human\Female\KSSMP_Didar_Human_Female")</f>
        <v>KSHairdos-HDTSMP\Human\Female\KSSMP_Didar_Human_Female</v>
      </c>
      <c r="D284" s="12" t="str">
        <f t="shared" si="1"/>
        <v>Uvi_Wig_Spell_KS_Didar,KSHairdos-HDTSMP\Human\Female\KSSMP_Didar_Human_Female</v>
      </c>
    </row>
    <row r="285">
      <c r="B285" s="12" t="str">
        <f>IFERROR(__xludf.DUMMYFUNCTION("""COMPUTED_VALUE"""),"Uvi_Wig_Spell_KS_Dollmaker")</f>
        <v>Uvi_Wig_Spell_KS_Dollmaker</v>
      </c>
      <c r="C285" s="12" t="str">
        <f>IFERROR(__xludf.DUMMYFUNCTION("IF($B285="""","""",SUBSTITUTE(SUBSTITUTE(SUBSTITUTE(SUBSTITUTE(INDEX(Hairstyles!$A:$A,MATCH($B285,Hairstyles!$F:$F,0)),"" "",""""),""'"",""""),""("",""""),"")"","""")&amp;""\""&amp;INDEX(SPLIT($A$2,""_""),1)&amp;""\""&amp;INDEX(SPLIT($A$2,""_""),2)&amp;""\""&amp;SUBSTITUTE(SUBST"&amp;"ITUTE(SUBSTITUTE(SUBSTITUTE(SUBSTITUTE(INDEX(Hairstyles!$C:$C,MATCH($B285,Hairstyles!$F:$F,0)),"" "",""""),""'"",""""),""("",""""),"")"",""""),""-"",""_"")&amp;""_""&amp;$A$2)"),"KSHairdos-HDTSMP\Human\Female\KSSMP_Dollmaker_Human_Female")</f>
        <v>KSHairdos-HDTSMP\Human\Female\KSSMP_Dollmaker_Human_Female</v>
      </c>
      <c r="D285" s="12" t="str">
        <f t="shared" si="1"/>
        <v>Uvi_Wig_Spell_KS_Dollmaker,KSHairdos-HDTSMP\Human\Female\KSSMP_Dollmaker_Human_Female</v>
      </c>
    </row>
    <row r="286">
      <c r="B286" s="12" t="str">
        <f>IFERROR(__xludf.DUMMYFUNCTION("""COMPUTED_VALUE"""),"Uvi_Wig_Spell_KS_Erena")</f>
        <v>Uvi_Wig_Spell_KS_Erena</v>
      </c>
      <c r="C286" s="12" t="str">
        <f>IFERROR(__xludf.DUMMYFUNCTION("IF($B286="""","""",SUBSTITUTE(SUBSTITUTE(SUBSTITUTE(SUBSTITUTE(INDEX(Hairstyles!$A:$A,MATCH($B286,Hairstyles!$F:$F,0)),"" "",""""),""'"",""""),""("",""""),"")"","""")&amp;""\""&amp;INDEX(SPLIT($A$2,""_""),1)&amp;""\""&amp;INDEX(SPLIT($A$2,""_""),2)&amp;""\""&amp;SUBSTITUTE(SUBST"&amp;"ITUTE(SUBSTITUTE(SUBSTITUTE(SUBSTITUTE(INDEX(Hairstyles!$C:$C,MATCH($B286,Hairstyles!$F:$F,0)),"" "",""""),""'"",""""),""("",""""),"")"",""""),""-"",""_"")&amp;""_""&amp;$A$2)"),"KSHairdos-HDTSMP\Human\Female\KSSMP_Erena_Human_Female")</f>
        <v>KSHairdos-HDTSMP\Human\Female\KSSMP_Erena_Human_Female</v>
      </c>
      <c r="D286" s="12" t="str">
        <f t="shared" si="1"/>
        <v>Uvi_Wig_Spell_KS_Erena,KSHairdos-HDTSMP\Human\Female\KSSMP_Erena_Human_Female</v>
      </c>
    </row>
    <row r="287">
      <c r="B287" s="12" t="str">
        <f>IFERROR(__xludf.DUMMYFUNCTION("""COMPUTED_VALUE"""),"Uvi_Wig_Spell_KS_FoamSummer")</f>
        <v>Uvi_Wig_Spell_KS_FoamSummer</v>
      </c>
      <c r="C287" s="12" t="str">
        <f>IFERROR(__xludf.DUMMYFUNCTION("IF($B287="""","""",SUBSTITUTE(SUBSTITUTE(SUBSTITUTE(SUBSTITUTE(INDEX(Hairstyles!$A:$A,MATCH($B287,Hairstyles!$F:$F,0)),"" "",""""),""'"",""""),""("",""""),"")"","""")&amp;""\""&amp;INDEX(SPLIT($A$2,""_""),1)&amp;""\""&amp;INDEX(SPLIT($A$2,""_""),2)&amp;""\""&amp;SUBSTITUTE(SUBST"&amp;"ITUTE(SUBSTITUTE(SUBSTITUTE(SUBSTITUTE(INDEX(Hairstyles!$C:$C,MATCH($B287,Hairstyles!$F:$F,0)),"" "",""""),""'"",""""),""("",""""),"")"",""""),""-"",""_"")&amp;""_""&amp;$A$2)"),"KSHairdos-HDTSMP\Human\Female\KSSMP_FoamSummer_Human_Female")</f>
        <v>KSHairdos-HDTSMP\Human\Female\KSSMP_FoamSummer_Human_Female</v>
      </c>
      <c r="D287" s="12" t="str">
        <f t="shared" si="1"/>
        <v>Uvi_Wig_Spell_KS_FoamSummer,KSHairdos-HDTSMP\Human\Female\KSSMP_FoamSummer_Human_Female</v>
      </c>
    </row>
    <row r="288">
      <c r="B288" s="12" t="str">
        <f>IFERROR(__xludf.DUMMYFUNCTION("""COMPUTED_VALUE"""),"Uvi_Wig_Spell_KS_FontanaDiTrevi")</f>
        <v>Uvi_Wig_Spell_KS_FontanaDiTrevi</v>
      </c>
      <c r="C288" s="12" t="str">
        <f>IFERROR(__xludf.DUMMYFUNCTION("IF($B288="""","""",SUBSTITUTE(SUBSTITUTE(SUBSTITUTE(SUBSTITUTE(INDEX(Hairstyles!$A:$A,MATCH($B288,Hairstyles!$F:$F,0)),"" "",""""),""'"",""""),""("",""""),"")"","""")&amp;""\""&amp;INDEX(SPLIT($A$2,""_""),1)&amp;""\""&amp;INDEX(SPLIT($A$2,""_""),2)&amp;""\""&amp;SUBSTITUTE(SUBST"&amp;"ITUTE(SUBSTITUTE(SUBSTITUTE(SUBSTITUTE(INDEX(Hairstyles!$C:$C,MATCH($B288,Hairstyles!$F:$F,0)),"" "",""""),""'"",""""),""("",""""),"")"",""""),""-"",""_"")&amp;""_""&amp;$A$2)"),"KSHairdos-HDTSMP\Human\Female\KSSMP_FontanaDiTrevi_Human_Female")</f>
        <v>KSHairdos-HDTSMP\Human\Female\KSSMP_FontanaDiTrevi_Human_Female</v>
      </c>
      <c r="D288" s="12" t="str">
        <f t="shared" si="1"/>
        <v>Uvi_Wig_Spell_KS_FontanaDiTrevi,KSHairdos-HDTSMP\Human\Female\KSSMP_FontanaDiTrevi_Human_Female</v>
      </c>
    </row>
    <row r="289">
      <c r="B289" s="12" t="str">
        <f>IFERROR(__xludf.DUMMYFUNCTION("""COMPUTED_VALUE"""),"Uvi_Wig_Spell_KS_Freesia")</f>
        <v>Uvi_Wig_Spell_KS_Freesia</v>
      </c>
      <c r="C289" s="12" t="str">
        <f>IFERROR(__xludf.DUMMYFUNCTION("IF($B289="""","""",SUBSTITUTE(SUBSTITUTE(SUBSTITUTE(SUBSTITUTE(INDEX(Hairstyles!$A:$A,MATCH($B289,Hairstyles!$F:$F,0)),"" "",""""),""'"",""""),""("",""""),"")"","""")&amp;""\""&amp;INDEX(SPLIT($A$2,""_""),1)&amp;""\""&amp;INDEX(SPLIT($A$2,""_""),2)&amp;""\""&amp;SUBSTITUTE(SUBST"&amp;"ITUTE(SUBSTITUTE(SUBSTITUTE(SUBSTITUTE(INDEX(Hairstyles!$C:$C,MATCH($B289,Hairstyles!$F:$F,0)),"" "",""""),""'"",""""),""("",""""),"")"",""""),""-"",""_"")&amp;""_""&amp;$A$2)"),"KSHairdos-HDTSMP\Human\Female\KSSMP_Freesia_Human_Female")</f>
        <v>KSHairdos-HDTSMP\Human\Female\KSSMP_Freesia_Human_Female</v>
      </c>
      <c r="D289" s="12" t="str">
        <f t="shared" si="1"/>
        <v>Uvi_Wig_Spell_KS_Freesia,KSHairdos-HDTSMP\Human\Female\KSSMP_Freesia_Human_Female</v>
      </c>
    </row>
    <row r="290">
      <c r="B290" s="12" t="str">
        <f>IFERROR(__xludf.DUMMYFUNCTION("""COMPUTED_VALUE"""),"Uvi_Wig_Spell_KS_Galaxy")</f>
        <v>Uvi_Wig_Spell_KS_Galaxy</v>
      </c>
      <c r="C290" s="12" t="str">
        <f>IFERROR(__xludf.DUMMYFUNCTION("IF($B290="""","""",SUBSTITUTE(SUBSTITUTE(SUBSTITUTE(SUBSTITUTE(INDEX(Hairstyles!$A:$A,MATCH($B290,Hairstyles!$F:$F,0)),"" "",""""),""'"",""""),""("",""""),"")"","""")&amp;""\""&amp;INDEX(SPLIT($A$2,""_""),1)&amp;""\""&amp;INDEX(SPLIT($A$2,""_""),2)&amp;""\""&amp;SUBSTITUTE(SUBST"&amp;"ITUTE(SUBSTITUTE(SUBSTITUTE(SUBSTITUTE(INDEX(Hairstyles!$C:$C,MATCH($B290,Hairstyles!$F:$F,0)),"" "",""""),""'"",""""),""("",""""),"")"",""""),""-"",""_"")&amp;""_""&amp;$A$2)"),"KSHairdos-HDTSMP\Human\Female\KSSMP_Galaxy_Human_Female")</f>
        <v>KSHairdos-HDTSMP\Human\Female\KSSMP_Galaxy_Human_Female</v>
      </c>
      <c r="D290" s="12" t="str">
        <f t="shared" si="1"/>
        <v>Uvi_Wig_Spell_KS_Galaxy,KSHairdos-HDTSMP\Human\Female\KSSMP_Galaxy_Human_Female</v>
      </c>
    </row>
    <row r="291">
      <c r="B291" s="12" t="str">
        <f>IFERROR(__xludf.DUMMYFUNCTION("""COMPUTED_VALUE"""),"Uvi_Wig_Spell_KS_Gecko")</f>
        <v>Uvi_Wig_Spell_KS_Gecko</v>
      </c>
      <c r="C291" s="12" t="str">
        <f>IFERROR(__xludf.DUMMYFUNCTION("IF($B291="""","""",SUBSTITUTE(SUBSTITUTE(SUBSTITUTE(SUBSTITUTE(INDEX(Hairstyles!$A:$A,MATCH($B291,Hairstyles!$F:$F,0)),"" "",""""),""'"",""""),""("",""""),"")"","""")&amp;""\""&amp;INDEX(SPLIT($A$2,""_""),1)&amp;""\""&amp;INDEX(SPLIT($A$2,""_""),2)&amp;""\""&amp;SUBSTITUTE(SUBST"&amp;"ITUTE(SUBSTITUTE(SUBSTITUTE(SUBSTITUTE(INDEX(Hairstyles!$C:$C,MATCH($B291,Hairstyles!$F:$F,0)),"" "",""""),""'"",""""),""("",""""),"")"",""""),""-"",""_"")&amp;""_""&amp;$A$2)"),"KSHairdos-HDTSMP\Human\Female\KSSMP_Gecko_Human_Female")</f>
        <v>KSHairdos-HDTSMP\Human\Female\KSSMP_Gecko_Human_Female</v>
      </c>
      <c r="D291" s="12" t="str">
        <f t="shared" si="1"/>
        <v>Uvi_Wig_Spell_KS_Gecko,KSHairdos-HDTSMP\Human\Female\KSSMP_Gecko_Human_Female</v>
      </c>
    </row>
    <row r="292">
      <c r="B292" s="12" t="str">
        <f>IFERROR(__xludf.DUMMYFUNCTION("""COMPUTED_VALUE"""),"Uvi_Wig_Spell_KS_Harvest")</f>
        <v>Uvi_Wig_Spell_KS_Harvest</v>
      </c>
      <c r="C292" s="12" t="str">
        <f>IFERROR(__xludf.DUMMYFUNCTION("IF($B292="""","""",SUBSTITUTE(SUBSTITUTE(SUBSTITUTE(SUBSTITUTE(INDEX(Hairstyles!$A:$A,MATCH($B292,Hairstyles!$F:$F,0)),"" "",""""),""'"",""""),""("",""""),"")"","""")&amp;""\""&amp;INDEX(SPLIT($A$2,""_""),1)&amp;""\""&amp;INDEX(SPLIT($A$2,""_""),2)&amp;""\""&amp;SUBSTITUTE(SUBST"&amp;"ITUTE(SUBSTITUTE(SUBSTITUTE(SUBSTITUTE(INDEX(Hairstyles!$C:$C,MATCH($B292,Hairstyles!$F:$F,0)),"" "",""""),""'"",""""),""("",""""),"")"",""""),""-"",""_"")&amp;""_""&amp;$A$2)"),"KSHairdos-HDTSMP\Human\Female\KSSMP_Harvest_Human_Female")</f>
        <v>KSHairdos-HDTSMP\Human\Female\KSSMP_Harvest_Human_Female</v>
      </c>
      <c r="D292" s="12" t="str">
        <f t="shared" si="1"/>
        <v>Uvi_Wig_Spell_KS_Harvest,KSHairdos-HDTSMP\Human\Female\KSSMP_Harvest_Human_Female</v>
      </c>
    </row>
    <row r="293">
      <c r="B293" s="12" t="str">
        <f>IFERROR(__xludf.DUMMYFUNCTION("""COMPUTED_VALUE"""),"Uvi_Wig_Spell_KS_HighLife")</f>
        <v>Uvi_Wig_Spell_KS_HighLife</v>
      </c>
      <c r="C293" s="12" t="str">
        <f>IFERROR(__xludf.DUMMYFUNCTION("IF($B293="""","""",SUBSTITUTE(SUBSTITUTE(SUBSTITUTE(SUBSTITUTE(INDEX(Hairstyles!$A:$A,MATCH($B293,Hairstyles!$F:$F,0)),"" "",""""),""'"",""""),""("",""""),"")"","""")&amp;""\""&amp;INDEX(SPLIT($A$2,""_""),1)&amp;""\""&amp;INDEX(SPLIT($A$2,""_""),2)&amp;""\""&amp;SUBSTITUTE(SUBST"&amp;"ITUTE(SUBSTITUTE(SUBSTITUTE(SUBSTITUTE(INDEX(Hairstyles!$C:$C,MATCH($B293,Hairstyles!$F:$F,0)),"" "",""""),""'"",""""),""("",""""),"")"",""""),""-"",""_"")&amp;""_""&amp;$A$2)"),"KSHairdos-HDTSMP\Human\Female\KSSMP_HighLife_Human_Female")</f>
        <v>KSHairdos-HDTSMP\Human\Female\KSSMP_HighLife_Human_Female</v>
      </c>
      <c r="D293" s="12" t="str">
        <f t="shared" si="1"/>
        <v>Uvi_Wig_Spell_KS_HighLife,KSHairdos-HDTSMP\Human\Female\KSSMP_HighLife_Human_Female</v>
      </c>
    </row>
    <row r="294">
      <c r="B294" s="12" t="str">
        <f>IFERROR(__xludf.DUMMYFUNCTION("""COMPUTED_VALUE"""),"Uvi_Wig_Spell_KS_Himiko")</f>
        <v>Uvi_Wig_Spell_KS_Himiko</v>
      </c>
      <c r="C294" s="12" t="str">
        <f>IFERROR(__xludf.DUMMYFUNCTION("IF($B294="""","""",SUBSTITUTE(SUBSTITUTE(SUBSTITUTE(SUBSTITUTE(INDEX(Hairstyles!$A:$A,MATCH($B294,Hairstyles!$F:$F,0)),"" "",""""),""'"",""""),""("",""""),"")"","""")&amp;""\""&amp;INDEX(SPLIT($A$2,""_""),1)&amp;""\""&amp;INDEX(SPLIT($A$2,""_""),2)&amp;""\""&amp;SUBSTITUTE(SUBST"&amp;"ITUTE(SUBSTITUTE(SUBSTITUTE(SUBSTITUTE(INDEX(Hairstyles!$C:$C,MATCH($B294,Hairstyles!$F:$F,0)),"" "",""""),""'"",""""),""("",""""),"")"",""""),""-"",""_"")&amp;""_""&amp;$A$2)"),"KSHairdos-HDTSMP\Human\Female\KSSMP_Himiko_Human_Female")</f>
        <v>KSHairdos-HDTSMP\Human\Female\KSSMP_Himiko_Human_Female</v>
      </c>
      <c r="D294" s="12" t="str">
        <f t="shared" si="1"/>
        <v>Uvi_Wig_Spell_KS_Himiko,KSHairdos-HDTSMP\Human\Female\KSSMP_Himiko_Human_Female</v>
      </c>
    </row>
    <row r="295">
      <c r="B295" s="12" t="str">
        <f>IFERROR(__xludf.DUMMYFUNCTION("""COMPUTED_VALUE"""),"Uvi_Wig_Spell_KS_Honey")</f>
        <v>Uvi_Wig_Spell_KS_Honey</v>
      </c>
      <c r="C295" s="12" t="str">
        <f>IFERROR(__xludf.DUMMYFUNCTION("IF($B295="""","""",SUBSTITUTE(SUBSTITUTE(SUBSTITUTE(SUBSTITUTE(INDEX(Hairstyles!$A:$A,MATCH($B295,Hairstyles!$F:$F,0)),"" "",""""),""'"",""""),""("",""""),"")"","""")&amp;""\""&amp;INDEX(SPLIT($A$2,""_""),1)&amp;""\""&amp;INDEX(SPLIT($A$2,""_""),2)&amp;""\""&amp;SUBSTITUTE(SUBST"&amp;"ITUTE(SUBSTITUTE(SUBSTITUTE(SUBSTITUTE(INDEX(Hairstyles!$C:$C,MATCH($B295,Hairstyles!$F:$F,0)),"" "",""""),""'"",""""),""("",""""),"")"",""""),""-"",""_"")&amp;""_""&amp;$A$2)"),"KSHairdos-HDTSMP\Human\Female\KSSMP_Honey_Human_Female")</f>
        <v>KSHairdos-HDTSMP\Human\Female\KSSMP_Honey_Human_Female</v>
      </c>
      <c r="D295" s="12" t="str">
        <f t="shared" si="1"/>
        <v>Uvi_Wig_Spell_KS_Honey,KSHairdos-HDTSMP\Human\Female\KSSMP_Honey_Human_Female</v>
      </c>
    </row>
    <row r="296">
      <c r="B296" s="12" t="str">
        <f>IFERROR(__xludf.DUMMYFUNCTION("""COMPUTED_VALUE"""),"Uvi_Wig_Spell_KS_Honeyed")</f>
        <v>Uvi_Wig_Spell_KS_Honeyed</v>
      </c>
      <c r="C296" s="12" t="str">
        <f>IFERROR(__xludf.DUMMYFUNCTION("IF($B296="""","""",SUBSTITUTE(SUBSTITUTE(SUBSTITUTE(SUBSTITUTE(INDEX(Hairstyles!$A:$A,MATCH($B296,Hairstyles!$F:$F,0)),"" "",""""),""'"",""""),""("",""""),"")"","""")&amp;""\""&amp;INDEX(SPLIT($A$2,""_""),1)&amp;""\""&amp;INDEX(SPLIT($A$2,""_""),2)&amp;""\""&amp;SUBSTITUTE(SUBST"&amp;"ITUTE(SUBSTITUTE(SUBSTITUTE(SUBSTITUTE(INDEX(Hairstyles!$C:$C,MATCH($B296,Hairstyles!$F:$F,0)),"" "",""""),""'"",""""),""("",""""),"")"",""""),""-"",""_"")&amp;""_""&amp;$A$2)"),"KSHairdos-HDTSMP\Human\Female\KSSMP_Honeyed_Human_Female")</f>
        <v>KSHairdos-HDTSMP\Human\Female\KSSMP_Honeyed_Human_Female</v>
      </c>
      <c r="D296" s="12" t="str">
        <f t="shared" si="1"/>
        <v>Uvi_Wig_Spell_KS_Honeyed,KSHairdos-HDTSMP\Human\Female\KSSMP_Honeyed_Human_Female</v>
      </c>
    </row>
    <row r="297">
      <c r="B297" s="12" t="str">
        <f>IFERROR(__xludf.DUMMYFUNCTION("""COMPUTED_VALUE"""),"Uvi_Wig_Spell_KS_Icarus")</f>
        <v>Uvi_Wig_Spell_KS_Icarus</v>
      </c>
      <c r="C297" s="12" t="str">
        <f>IFERROR(__xludf.DUMMYFUNCTION("IF($B297="""","""",SUBSTITUTE(SUBSTITUTE(SUBSTITUTE(SUBSTITUTE(INDEX(Hairstyles!$A:$A,MATCH($B297,Hairstyles!$F:$F,0)),"" "",""""),""'"",""""),""("",""""),"")"","""")&amp;""\""&amp;INDEX(SPLIT($A$2,""_""),1)&amp;""\""&amp;INDEX(SPLIT($A$2,""_""),2)&amp;""\""&amp;SUBSTITUTE(SUBST"&amp;"ITUTE(SUBSTITUTE(SUBSTITUTE(SUBSTITUTE(INDEX(Hairstyles!$C:$C,MATCH($B297,Hairstyles!$F:$F,0)),"" "",""""),""'"",""""),""("",""""),"")"",""""),""-"",""_"")&amp;""_""&amp;$A$2)"),"KSHairdos-HDTSMP\Human\Female\KSSMP_Icarus_Human_Female")</f>
        <v>KSHairdos-HDTSMP\Human\Female\KSSMP_Icarus_Human_Female</v>
      </c>
      <c r="D297" s="12" t="str">
        <f t="shared" si="1"/>
        <v>Uvi_Wig_Spell_KS_Icarus,KSHairdos-HDTSMP\Human\Female\KSSMP_Icarus_Human_Female</v>
      </c>
    </row>
    <row r="298">
      <c r="B298" s="12" t="str">
        <f>IFERROR(__xludf.DUMMYFUNCTION("""COMPUTED_VALUE"""),"Uvi_Wig_Spell_KS_Jackdaw")</f>
        <v>Uvi_Wig_Spell_KS_Jackdaw</v>
      </c>
      <c r="C298" s="12" t="str">
        <f>IFERROR(__xludf.DUMMYFUNCTION("IF($B298="""","""",SUBSTITUTE(SUBSTITUTE(SUBSTITUTE(SUBSTITUTE(INDEX(Hairstyles!$A:$A,MATCH($B298,Hairstyles!$F:$F,0)),"" "",""""),""'"",""""),""("",""""),"")"","""")&amp;""\""&amp;INDEX(SPLIT($A$2,""_""),1)&amp;""\""&amp;INDEX(SPLIT($A$2,""_""),2)&amp;""\""&amp;SUBSTITUTE(SUBST"&amp;"ITUTE(SUBSTITUTE(SUBSTITUTE(SUBSTITUTE(INDEX(Hairstyles!$C:$C,MATCH($B298,Hairstyles!$F:$F,0)),"" "",""""),""'"",""""),""("",""""),"")"",""""),""-"",""_"")&amp;""_""&amp;$A$2)"),"KSHairdos-HDTSMP\Human\Female\KSSMP_Jackdaw_Human_Female")</f>
        <v>KSHairdos-HDTSMP\Human\Female\KSSMP_Jackdaw_Human_Female</v>
      </c>
      <c r="D298" s="12" t="str">
        <f t="shared" si="1"/>
        <v>Uvi_Wig_Spell_KS_Jackdaw,KSHairdos-HDTSMP\Human\Female\KSSMP_Jackdaw_Human_Female</v>
      </c>
    </row>
    <row r="299">
      <c r="B299" s="12" t="str">
        <f>IFERROR(__xludf.DUMMYFUNCTION("""COMPUTED_VALUE"""),"Uvi_Wig_Spell_KS_Kaysa")</f>
        <v>Uvi_Wig_Spell_KS_Kaysa</v>
      </c>
      <c r="C299" s="12" t="str">
        <f>IFERROR(__xludf.DUMMYFUNCTION("IF($B299="""","""",SUBSTITUTE(SUBSTITUTE(SUBSTITUTE(SUBSTITUTE(INDEX(Hairstyles!$A:$A,MATCH($B299,Hairstyles!$F:$F,0)),"" "",""""),""'"",""""),""("",""""),"")"","""")&amp;""\""&amp;INDEX(SPLIT($A$2,""_""),1)&amp;""\""&amp;INDEX(SPLIT($A$2,""_""),2)&amp;""\""&amp;SUBSTITUTE(SUBST"&amp;"ITUTE(SUBSTITUTE(SUBSTITUTE(SUBSTITUTE(INDEX(Hairstyles!$C:$C,MATCH($B299,Hairstyles!$F:$F,0)),"" "",""""),""'"",""""),""("",""""),"")"",""""),""-"",""_"")&amp;""_""&amp;$A$2)"),"KSHairdos-HDTSMP\Human\Female\KSSMP_Kaysa_Human_Female")</f>
        <v>KSHairdos-HDTSMP\Human\Female\KSSMP_Kaysa_Human_Female</v>
      </c>
      <c r="D299" s="12" t="str">
        <f t="shared" si="1"/>
        <v>Uvi_Wig_Spell_KS_Kaysa,KSHairdos-HDTSMP\Human\Female\KSSMP_Kaysa_Human_Female</v>
      </c>
    </row>
    <row r="300">
      <c r="B300" s="12" t="str">
        <f>IFERROR(__xludf.DUMMYFUNCTION("""COMPUTED_VALUE"""),"Uvi_Wig_Spell_KS_Kerli")</f>
        <v>Uvi_Wig_Spell_KS_Kerli</v>
      </c>
      <c r="C300" s="12" t="str">
        <f>IFERROR(__xludf.DUMMYFUNCTION("IF($B300="""","""",SUBSTITUTE(SUBSTITUTE(SUBSTITUTE(SUBSTITUTE(INDEX(Hairstyles!$A:$A,MATCH($B300,Hairstyles!$F:$F,0)),"" "",""""),""'"",""""),""("",""""),"")"","""")&amp;""\""&amp;INDEX(SPLIT($A$2,""_""),1)&amp;""\""&amp;INDEX(SPLIT($A$2,""_""),2)&amp;""\""&amp;SUBSTITUTE(SUBST"&amp;"ITUTE(SUBSTITUTE(SUBSTITUTE(SUBSTITUTE(INDEX(Hairstyles!$C:$C,MATCH($B300,Hairstyles!$F:$F,0)),"" "",""""),""'"",""""),""("",""""),"")"",""""),""-"",""_"")&amp;""_""&amp;$A$2)"),"KSHairdos-HDTSMP\Human\Female\KSSMP_Kerli_Human_Female")</f>
        <v>KSHairdos-HDTSMP\Human\Female\KSSMP_Kerli_Human_Female</v>
      </c>
      <c r="D300" s="12" t="str">
        <f t="shared" si="1"/>
        <v>Uvi_Wig_Spell_KS_Kerli,KSHairdos-HDTSMP\Human\Female\KSSMP_Kerli_Human_Female</v>
      </c>
    </row>
    <row r="301">
      <c r="B301" s="12" t="str">
        <f>IFERROR(__xludf.DUMMYFUNCTION("""COMPUTED_VALUE"""),"Uvi_Wig_Spell_KS_Kikyo")</f>
        <v>Uvi_Wig_Spell_KS_Kikyo</v>
      </c>
      <c r="C301" s="12" t="str">
        <f>IFERROR(__xludf.DUMMYFUNCTION("IF($B301="""","""",SUBSTITUTE(SUBSTITUTE(SUBSTITUTE(SUBSTITUTE(INDEX(Hairstyles!$A:$A,MATCH($B301,Hairstyles!$F:$F,0)),"" "",""""),""'"",""""),""("",""""),"")"","""")&amp;""\""&amp;INDEX(SPLIT($A$2,""_""),1)&amp;""\""&amp;INDEX(SPLIT($A$2,""_""),2)&amp;""\""&amp;SUBSTITUTE(SUBST"&amp;"ITUTE(SUBSTITUTE(SUBSTITUTE(SUBSTITUTE(INDEX(Hairstyles!$C:$C,MATCH($B301,Hairstyles!$F:$F,0)),"" "",""""),""'"",""""),""("",""""),"")"",""""),""-"",""_"")&amp;""_""&amp;$A$2)"),"KSHairdos-HDTSMP\Human\Female\KSSMP_Kikyo_Human_Female")</f>
        <v>KSHairdos-HDTSMP\Human\Female\KSSMP_Kikyo_Human_Female</v>
      </c>
      <c r="D301" s="12" t="str">
        <f t="shared" si="1"/>
        <v>Uvi_Wig_Spell_KS_Kikyo,KSHairdos-HDTSMP\Human\Female\KSSMP_Kikyo_Human_Female</v>
      </c>
    </row>
    <row r="302">
      <c r="B302" s="12" t="str">
        <f>IFERROR(__xludf.DUMMYFUNCTION("""COMPUTED_VALUE"""),"Uvi_Wig_Spell_KS_Koala")</f>
        <v>Uvi_Wig_Spell_KS_Koala</v>
      </c>
      <c r="C302" s="12" t="str">
        <f>IFERROR(__xludf.DUMMYFUNCTION("IF($B302="""","""",SUBSTITUTE(SUBSTITUTE(SUBSTITUTE(SUBSTITUTE(INDEX(Hairstyles!$A:$A,MATCH($B302,Hairstyles!$F:$F,0)),"" "",""""),""'"",""""),""("",""""),"")"","""")&amp;""\""&amp;INDEX(SPLIT($A$2,""_""),1)&amp;""\""&amp;INDEX(SPLIT($A$2,""_""),2)&amp;""\""&amp;SUBSTITUTE(SUBST"&amp;"ITUTE(SUBSTITUTE(SUBSTITUTE(SUBSTITUTE(INDEX(Hairstyles!$C:$C,MATCH($B302,Hairstyles!$F:$F,0)),"" "",""""),""'"",""""),""("",""""),"")"",""""),""-"",""_"")&amp;""_""&amp;$A$2)"),"KSHairdos-HDTSMP\Human\Female\KSSMP_Koala_Human_Female")</f>
        <v>KSHairdos-HDTSMP\Human\Female\KSSMP_Koala_Human_Female</v>
      </c>
      <c r="D302" s="12" t="str">
        <f t="shared" si="1"/>
        <v>Uvi_Wig_Spell_KS_Koala,KSHairdos-HDTSMP\Human\Female\KSSMP_Koala_Human_Female</v>
      </c>
    </row>
    <row r="303">
      <c r="B303" s="12" t="str">
        <f>IFERROR(__xludf.DUMMYFUNCTION("""COMPUTED_VALUE"""),"Uvi_Wig_Spell_KS_Lavender")</f>
        <v>Uvi_Wig_Spell_KS_Lavender</v>
      </c>
      <c r="C303" s="12" t="str">
        <f>IFERROR(__xludf.DUMMYFUNCTION("IF($B303="""","""",SUBSTITUTE(SUBSTITUTE(SUBSTITUTE(SUBSTITUTE(INDEX(Hairstyles!$A:$A,MATCH($B303,Hairstyles!$F:$F,0)),"" "",""""),""'"",""""),""("",""""),"")"","""")&amp;""\""&amp;INDEX(SPLIT($A$2,""_""),1)&amp;""\""&amp;INDEX(SPLIT($A$2,""_""),2)&amp;""\""&amp;SUBSTITUTE(SUBST"&amp;"ITUTE(SUBSTITUTE(SUBSTITUTE(SUBSTITUTE(INDEX(Hairstyles!$C:$C,MATCH($B303,Hairstyles!$F:$F,0)),"" "",""""),""'"",""""),""("",""""),"")"",""""),""-"",""_"")&amp;""_""&amp;$A$2)"),"KSHairdos-HDTSMP\Human\Female\KSSMP_Lavender_Human_Female")</f>
        <v>KSHairdos-HDTSMP\Human\Female\KSSMP_Lavender_Human_Female</v>
      </c>
      <c r="D303" s="12" t="str">
        <f t="shared" si="1"/>
        <v>Uvi_Wig_Spell_KS_Lavender,KSHairdos-HDTSMP\Human\Female\KSSMP_Lavender_Human_Female</v>
      </c>
    </row>
    <row r="304">
      <c r="B304" s="12" t="str">
        <f>IFERROR(__xludf.DUMMYFUNCTION("""COMPUTED_VALUE"""),"Uvi_Wig_Spell_KS_Lime")</f>
        <v>Uvi_Wig_Spell_KS_Lime</v>
      </c>
      <c r="C304" s="12" t="str">
        <f>IFERROR(__xludf.DUMMYFUNCTION("IF($B304="""","""",SUBSTITUTE(SUBSTITUTE(SUBSTITUTE(SUBSTITUTE(INDEX(Hairstyles!$A:$A,MATCH($B304,Hairstyles!$F:$F,0)),"" "",""""),""'"",""""),""("",""""),"")"","""")&amp;""\""&amp;INDEX(SPLIT($A$2,""_""),1)&amp;""\""&amp;INDEX(SPLIT($A$2,""_""),2)&amp;""\""&amp;SUBSTITUTE(SUBST"&amp;"ITUTE(SUBSTITUTE(SUBSTITUTE(SUBSTITUTE(INDEX(Hairstyles!$C:$C,MATCH($B304,Hairstyles!$F:$F,0)),"" "",""""),""'"",""""),""("",""""),"")"",""""),""-"",""_"")&amp;""_""&amp;$A$2)"),"KSHairdos-HDTSMP\Human\Female\KSSMP_Lime_Human_Female")</f>
        <v>KSHairdos-HDTSMP\Human\Female\KSSMP_Lime_Human_Female</v>
      </c>
      <c r="D304" s="12" t="str">
        <f t="shared" si="1"/>
        <v>Uvi_Wig_Spell_KS_Lime,KSHairdos-HDTSMP\Human\Female\KSSMP_Lime_Human_Female</v>
      </c>
    </row>
    <row r="305">
      <c r="B305" s="12" t="str">
        <f>IFERROR(__xludf.DUMMYFUNCTION("""COMPUTED_VALUE"""),"Uvi_Wig_Spell_KS_Lotus")</f>
        <v>Uvi_Wig_Spell_KS_Lotus</v>
      </c>
      <c r="C305" s="12" t="str">
        <f>IFERROR(__xludf.DUMMYFUNCTION("IF($B305="""","""",SUBSTITUTE(SUBSTITUTE(SUBSTITUTE(SUBSTITUTE(INDEX(Hairstyles!$A:$A,MATCH($B305,Hairstyles!$F:$F,0)),"" "",""""),""'"",""""),""("",""""),"")"","""")&amp;""\""&amp;INDEX(SPLIT($A$2,""_""),1)&amp;""\""&amp;INDEX(SPLIT($A$2,""_""),2)&amp;""\""&amp;SUBSTITUTE(SUBST"&amp;"ITUTE(SUBSTITUTE(SUBSTITUTE(SUBSTITUTE(INDEX(Hairstyles!$C:$C,MATCH($B305,Hairstyles!$F:$F,0)),"" "",""""),""'"",""""),""("",""""),"")"",""""),""-"",""_"")&amp;""_""&amp;$A$2)"),"KSHairdos-HDTSMP\Human\Female\KSSMP_Lotus_Human_Female")</f>
        <v>KSHairdos-HDTSMP\Human\Female\KSSMP_Lotus_Human_Female</v>
      </c>
      <c r="D305" s="12" t="str">
        <f t="shared" si="1"/>
        <v>Uvi_Wig_Spell_KS_Lotus,KSHairdos-HDTSMP\Human\Female\KSSMP_Lotus_Human_Female</v>
      </c>
    </row>
    <row r="306">
      <c r="B306" s="12" t="str">
        <f>IFERROR(__xludf.DUMMYFUNCTION("""COMPUTED_VALUE"""),"Uvi_Wig_Spell_KS_Mellow")</f>
        <v>Uvi_Wig_Spell_KS_Mellow</v>
      </c>
      <c r="C306" s="12" t="str">
        <f>IFERROR(__xludf.DUMMYFUNCTION("IF($B306="""","""",SUBSTITUTE(SUBSTITUTE(SUBSTITUTE(SUBSTITUTE(INDEX(Hairstyles!$A:$A,MATCH($B306,Hairstyles!$F:$F,0)),"" "",""""),""'"",""""),""("",""""),"")"","""")&amp;""\""&amp;INDEX(SPLIT($A$2,""_""),1)&amp;""\""&amp;INDEX(SPLIT($A$2,""_""),2)&amp;""\""&amp;SUBSTITUTE(SUBST"&amp;"ITUTE(SUBSTITUTE(SUBSTITUTE(SUBSTITUTE(INDEX(Hairstyles!$C:$C,MATCH($B306,Hairstyles!$F:$F,0)),"" "",""""),""'"",""""),""("",""""),"")"",""""),""-"",""_"")&amp;""_""&amp;$A$2)"),"KSHairdos-HDTSMP\Human\Female\KSSMP_Mellow_Human_Female")</f>
        <v>KSHairdos-HDTSMP\Human\Female\KSSMP_Mellow_Human_Female</v>
      </c>
      <c r="D306" s="12" t="str">
        <f t="shared" si="1"/>
        <v>Uvi_Wig_Spell_KS_Mellow,KSHairdos-HDTSMP\Human\Female\KSSMP_Mellow_Human_Female</v>
      </c>
    </row>
    <row r="307">
      <c r="B307" s="12" t="str">
        <f>IFERROR(__xludf.DUMMYFUNCTION("""COMPUTED_VALUE"""),"Uvi_Wig_Spell_KS_Metropolis")</f>
        <v>Uvi_Wig_Spell_KS_Metropolis</v>
      </c>
      <c r="C307" s="12" t="str">
        <f>IFERROR(__xludf.DUMMYFUNCTION("IF($B307="""","""",SUBSTITUTE(SUBSTITUTE(SUBSTITUTE(SUBSTITUTE(INDEX(Hairstyles!$A:$A,MATCH($B307,Hairstyles!$F:$F,0)),"" "",""""),""'"",""""),""("",""""),"")"","""")&amp;""\""&amp;INDEX(SPLIT($A$2,""_""),1)&amp;""\""&amp;INDEX(SPLIT($A$2,""_""),2)&amp;""\""&amp;SUBSTITUTE(SUBST"&amp;"ITUTE(SUBSTITUTE(SUBSTITUTE(SUBSTITUTE(INDEX(Hairstyles!$C:$C,MATCH($B307,Hairstyles!$F:$F,0)),"" "",""""),""'"",""""),""("",""""),"")"",""""),""-"",""_"")&amp;""_""&amp;$A$2)"),"KSHairdos-HDTSMP\Human\Female\KSSMP_Metropolis_Human_Female")</f>
        <v>KSHairdos-HDTSMP\Human\Female\KSSMP_Metropolis_Human_Female</v>
      </c>
      <c r="D307" s="12" t="str">
        <f t="shared" si="1"/>
        <v>Uvi_Wig_Spell_KS_Metropolis,KSHairdos-HDTSMP\Human\Female\KSSMP_Metropolis_Human_Female</v>
      </c>
    </row>
    <row r="308">
      <c r="B308" s="12" t="str">
        <f>IFERROR(__xludf.DUMMYFUNCTION("""COMPUTED_VALUE"""),"Uvi_Wig_Spell_KS_Metropolis2")</f>
        <v>Uvi_Wig_Spell_KS_Metropolis2</v>
      </c>
      <c r="C308" s="12" t="str">
        <f>IFERROR(__xludf.DUMMYFUNCTION("IF($B308="""","""",SUBSTITUTE(SUBSTITUTE(SUBSTITUTE(SUBSTITUTE(INDEX(Hairstyles!$A:$A,MATCH($B308,Hairstyles!$F:$F,0)),"" "",""""),""'"",""""),""("",""""),"")"","""")&amp;""\""&amp;INDEX(SPLIT($A$2,""_""),1)&amp;""\""&amp;INDEX(SPLIT($A$2,""_""),2)&amp;""\""&amp;SUBSTITUTE(SUBST"&amp;"ITUTE(SUBSTITUTE(SUBSTITUTE(SUBSTITUTE(INDEX(Hairstyles!$C:$C,MATCH($B308,Hairstyles!$F:$F,0)),"" "",""""),""'"",""""),""("",""""),"")"",""""),""-"",""_"")&amp;""_""&amp;$A$2)"),"KSHairdos-HDTSMP\Human\Female\KSSMP_Metropolis2_Human_Female")</f>
        <v>KSHairdos-HDTSMP\Human\Female\KSSMP_Metropolis2_Human_Female</v>
      </c>
      <c r="D308" s="12" t="str">
        <f t="shared" si="1"/>
        <v>Uvi_Wig_Spell_KS_Metropolis2,KSHairdos-HDTSMP\Human\Female\KSSMP_Metropolis2_Human_Female</v>
      </c>
    </row>
    <row r="309">
      <c r="B309" s="12" t="str">
        <f>IFERROR(__xludf.DUMMYFUNCTION("""COMPUTED_VALUE"""),"Uvi_Wig_Spell_KS_Milliet")</f>
        <v>Uvi_Wig_Spell_KS_Milliet</v>
      </c>
      <c r="C309" s="12" t="str">
        <f>IFERROR(__xludf.DUMMYFUNCTION("IF($B309="""","""",SUBSTITUTE(SUBSTITUTE(SUBSTITUTE(SUBSTITUTE(INDEX(Hairstyles!$A:$A,MATCH($B309,Hairstyles!$F:$F,0)),"" "",""""),""'"",""""),""("",""""),"")"","""")&amp;""\""&amp;INDEX(SPLIT($A$2,""_""),1)&amp;""\""&amp;INDEX(SPLIT($A$2,""_""),2)&amp;""\""&amp;SUBSTITUTE(SUBST"&amp;"ITUTE(SUBSTITUTE(SUBSTITUTE(SUBSTITUTE(INDEX(Hairstyles!$C:$C,MATCH($B309,Hairstyles!$F:$F,0)),"" "",""""),""'"",""""),""("",""""),"")"",""""),""-"",""_"")&amp;""_""&amp;$A$2)"),"KSHairdos-HDTSMP\Human\Female\KSSMP_Milliet_Human_Female")</f>
        <v>KSHairdos-HDTSMP\Human\Female\KSSMP_Milliet_Human_Female</v>
      </c>
      <c r="D309" s="12" t="str">
        <f t="shared" si="1"/>
        <v>Uvi_Wig_Spell_KS_Milliet,KSHairdos-HDTSMP\Human\Female\KSSMP_Milliet_Human_Female</v>
      </c>
    </row>
    <row r="310">
      <c r="B310" s="12" t="str">
        <f>IFERROR(__xludf.DUMMYFUNCTION("""COMPUTED_VALUE"""),"Uvi_Wig_Spell_KS_Moonrise")</f>
        <v>Uvi_Wig_Spell_KS_Moonrise</v>
      </c>
      <c r="C310" s="12" t="str">
        <f>IFERROR(__xludf.DUMMYFUNCTION("IF($B310="""","""",SUBSTITUTE(SUBSTITUTE(SUBSTITUTE(SUBSTITUTE(INDEX(Hairstyles!$A:$A,MATCH($B310,Hairstyles!$F:$F,0)),"" "",""""),""'"",""""),""("",""""),"")"","""")&amp;""\""&amp;INDEX(SPLIT($A$2,""_""),1)&amp;""\""&amp;INDEX(SPLIT($A$2,""_""),2)&amp;""\""&amp;SUBSTITUTE(SUBST"&amp;"ITUTE(SUBSTITUTE(SUBSTITUTE(SUBSTITUTE(INDEX(Hairstyles!$C:$C,MATCH($B310,Hairstyles!$F:$F,0)),"" "",""""),""'"",""""),""("",""""),"")"",""""),""-"",""_"")&amp;""_""&amp;$A$2)"),"KSHairdos-HDTSMP\Human\Female\KSSMP_Moonrise_Human_Female")</f>
        <v>KSHairdos-HDTSMP\Human\Female\KSSMP_Moonrise_Human_Female</v>
      </c>
      <c r="D310" s="12" t="str">
        <f t="shared" si="1"/>
        <v>Uvi_Wig_Spell_KS_Moonrise,KSHairdos-HDTSMP\Human\Female\KSSMP_Moonrise_Human_Female</v>
      </c>
    </row>
    <row r="311">
      <c r="B311" s="12" t="str">
        <f>IFERROR(__xludf.DUMMYFUNCTION("""COMPUTED_VALUE"""),"Uvi_Wig_Spell_KS_Ominous")</f>
        <v>Uvi_Wig_Spell_KS_Ominous</v>
      </c>
      <c r="C311" s="12" t="str">
        <f>IFERROR(__xludf.DUMMYFUNCTION("IF($B311="""","""",SUBSTITUTE(SUBSTITUTE(SUBSTITUTE(SUBSTITUTE(INDEX(Hairstyles!$A:$A,MATCH($B311,Hairstyles!$F:$F,0)),"" "",""""),""'"",""""),""("",""""),"")"","""")&amp;""\""&amp;INDEX(SPLIT($A$2,""_""),1)&amp;""\""&amp;INDEX(SPLIT($A$2,""_""),2)&amp;""\""&amp;SUBSTITUTE(SUBST"&amp;"ITUTE(SUBSTITUTE(SUBSTITUTE(SUBSTITUTE(INDEX(Hairstyles!$C:$C,MATCH($B311,Hairstyles!$F:$F,0)),"" "",""""),""'"",""""),""("",""""),"")"",""""),""-"",""_"")&amp;""_""&amp;$A$2)"),"KSHairdos-HDTSMP\Human\Female\KSSMP_Ominous_Human_Female")</f>
        <v>KSHairdos-HDTSMP\Human\Female\KSSMP_Ominous_Human_Female</v>
      </c>
      <c r="D311" s="12" t="str">
        <f t="shared" si="1"/>
        <v>Uvi_Wig_Spell_KS_Ominous,KSHairdos-HDTSMP\Human\Female\KSSMP_Ominous_Human_Female</v>
      </c>
    </row>
    <row r="312">
      <c r="B312" s="12" t="str">
        <f>IFERROR(__xludf.DUMMYFUNCTION("""COMPUTED_VALUE"""),"Uvi_Wig_Spell_KS_OminousLace")</f>
        <v>Uvi_Wig_Spell_KS_OminousLace</v>
      </c>
      <c r="C312" s="12" t="str">
        <f>IFERROR(__xludf.DUMMYFUNCTION("IF($B312="""","""",SUBSTITUTE(SUBSTITUTE(SUBSTITUTE(SUBSTITUTE(INDEX(Hairstyles!$A:$A,MATCH($B312,Hairstyles!$F:$F,0)),"" "",""""),""'"",""""),""("",""""),"")"","""")&amp;""\""&amp;INDEX(SPLIT($A$2,""_""),1)&amp;""\""&amp;INDEX(SPLIT($A$2,""_""),2)&amp;""\""&amp;SUBSTITUTE(SUBST"&amp;"ITUTE(SUBSTITUTE(SUBSTITUTE(SUBSTITUTE(INDEX(Hairstyles!$C:$C,MATCH($B312,Hairstyles!$F:$F,0)),"" "",""""),""'"",""""),""("",""""),"")"",""""),""-"",""_"")&amp;""_""&amp;$A$2)"),"KSHairdos-HDTSMP\Human\Female\KSSMP_OminousLace_Human_Female")</f>
        <v>KSHairdos-HDTSMP\Human\Female\KSSMP_OminousLace_Human_Female</v>
      </c>
      <c r="D312" s="12" t="str">
        <f t="shared" si="1"/>
        <v>Uvi_Wig_Spell_KS_OminousLace,KSHairdos-HDTSMP\Human\Female\KSSMP_OminousLace_Human_Female</v>
      </c>
    </row>
    <row r="313">
      <c r="B313" s="12" t="str">
        <f>IFERROR(__xludf.DUMMYFUNCTION("""COMPUTED_VALUE"""),"Uvi_Wig_Spell_KS_OnlyYou")</f>
        <v>Uvi_Wig_Spell_KS_OnlyYou</v>
      </c>
      <c r="C313" s="12" t="str">
        <f>IFERROR(__xludf.DUMMYFUNCTION("IF($B313="""","""",SUBSTITUTE(SUBSTITUTE(SUBSTITUTE(SUBSTITUTE(INDEX(Hairstyles!$A:$A,MATCH($B313,Hairstyles!$F:$F,0)),"" "",""""),""'"",""""),""("",""""),"")"","""")&amp;""\""&amp;INDEX(SPLIT($A$2,""_""),1)&amp;""\""&amp;INDEX(SPLIT($A$2,""_""),2)&amp;""\""&amp;SUBSTITUTE(SUBST"&amp;"ITUTE(SUBSTITUTE(SUBSTITUTE(SUBSTITUTE(INDEX(Hairstyles!$C:$C,MATCH($B313,Hairstyles!$F:$F,0)),"" "",""""),""'"",""""),""("",""""),"")"",""""),""-"",""_"")&amp;""_""&amp;$A$2)"),"KSHairdos-HDTSMP\Human\Female\KSSMP_OnlyYou_Human_Female")</f>
        <v>KSHairdos-HDTSMP\Human\Female\KSSMP_OnlyYou_Human_Female</v>
      </c>
      <c r="D313" s="12" t="str">
        <f t="shared" si="1"/>
        <v>Uvi_Wig_Spell_KS_OnlyYou,KSHairdos-HDTSMP\Human\Female\KSSMP_OnlyYou_Human_Female</v>
      </c>
    </row>
    <row r="314">
      <c r="B314" s="12" t="str">
        <f>IFERROR(__xludf.DUMMYFUNCTION("""COMPUTED_VALUE"""),"Uvi_Wig_Spell_KS_OnlyYouNoLace")</f>
        <v>Uvi_Wig_Spell_KS_OnlyYouNoLace</v>
      </c>
      <c r="C314" s="12" t="str">
        <f>IFERROR(__xludf.DUMMYFUNCTION("IF($B314="""","""",SUBSTITUTE(SUBSTITUTE(SUBSTITUTE(SUBSTITUTE(INDEX(Hairstyles!$A:$A,MATCH($B314,Hairstyles!$F:$F,0)),"" "",""""),""'"",""""),""("",""""),"")"","""")&amp;""\""&amp;INDEX(SPLIT($A$2,""_""),1)&amp;""\""&amp;INDEX(SPLIT($A$2,""_""),2)&amp;""\""&amp;SUBSTITUTE(SUBST"&amp;"ITUTE(SUBSTITUTE(SUBSTITUTE(SUBSTITUTE(INDEX(Hairstyles!$C:$C,MATCH($B314,Hairstyles!$F:$F,0)),"" "",""""),""'"",""""),""("",""""),"")"",""""),""-"",""_"")&amp;""_""&amp;$A$2)"),"KSHairdos-HDTSMP\Human\Female\KSSMP_OnlyYouNoLace_Human_Female")</f>
        <v>KSHairdos-HDTSMP\Human\Female\KSSMP_OnlyYouNoLace_Human_Female</v>
      </c>
      <c r="D314" s="12" t="str">
        <f t="shared" si="1"/>
        <v>Uvi_Wig_Spell_KS_OnlyYouNoLace,KSHairdos-HDTSMP\Human\Female\KSSMP_OnlyYouNoLace_Human_Female</v>
      </c>
    </row>
    <row r="315">
      <c r="B315" s="12" t="str">
        <f>IFERROR(__xludf.DUMMYFUNCTION("""COMPUTED_VALUE"""),"Uvi_Wig_Spell_KS_Paraguay")</f>
        <v>Uvi_Wig_Spell_KS_Paraguay</v>
      </c>
      <c r="C315" s="12" t="str">
        <f>IFERROR(__xludf.DUMMYFUNCTION("IF($B315="""","""",SUBSTITUTE(SUBSTITUTE(SUBSTITUTE(SUBSTITUTE(INDEX(Hairstyles!$A:$A,MATCH($B315,Hairstyles!$F:$F,0)),"" "",""""),""'"",""""),""("",""""),"")"","""")&amp;""\""&amp;INDEX(SPLIT($A$2,""_""),1)&amp;""\""&amp;INDEX(SPLIT($A$2,""_""),2)&amp;""\""&amp;SUBSTITUTE(SUBST"&amp;"ITUTE(SUBSTITUTE(SUBSTITUTE(SUBSTITUTE(INDEX(Hairstyles!$C:$C,MATCH($B315,Hairstyles!$F:$F,0)),"" "",""""),""'"",""""),""("",""""),"")"",""""),""-"",""_"")&amp;""_""&amp;$A$2)"),"KSHairdos-HDTSMP\Human\Female\KSSMP_Paraguay_Human_Female")</f>
        <v>KSHairdos-HDTSMP\Human\Female\KSSMP_Paraguay_Human_Female</v>
      </c>
      <c r="D315" s="12" t="str">
        <f t="shared" si="1"/>
        <v>Uvi_Wig_Spell_KS_Paraguay,KSHairdos-HDTSMP\Human\Female\KSSMP_Paraguay_Human_Female</v>
      </c>
    </row>
    <row r="316">
      <c r="B316" s="12" t="str">
        <f>IFERROR(__xludf.DUMMYFUNCTION("""COMPUTED_VALUE"""),"Uvi_Wig_Spell_KS_Princess")</f>
        <v>Uvi_Wig_Spell_KS_Princess</v>
      </c>
      <c r="C316" s="12" t="str">
        <f>IFERROR(__xludf.DUMMYFUNCTION("IF($B316="""","""",SUBSTITUTE(SUBSTITUTE(SUBSTITUTE(SUBSTITUTE(INDEX(Hairstyles!$A:$A,MATCH($B316,Hairstyles!$F:$F,0)),"" "",""""),""'"",""""),""("",""""),"")"","""")&amp;""\""&amp;INDEX(SPLIT($A$2,""_""),1)&amp;""\""&amp;INDEX(SPLIT($A$2,""_""),2)&amp;""\""&amp;SUBSTITUTE(SUBST"&amp;"ITUTE(SUBSTITUTE(SUBSTITUTE(SUBSTITUTE(INDEX(Hairstyles!$C:$C,MATCH($B316,Hairstyles!$F:$F,0)),"" "",""""),""'"",""""),""("",""""),"")"",""""),""-"",""_"")&amp;""_""&amp;$A$2)"),"KSHairdos-HDTSMP\Human\Female\KSSMP_Princess_Human_Female")</f>
        <v>KSHairdos-HDTSMP\Human\Female\KSSMP_Princess_Human_Female</v>
      </c>
      <c r="D316" s="12" t="str">
        <f t="shared" si="1"/>
        <v>Uvi_Wig_Spell_KS_Princess,KSHairdos-HDTSMP\Human\Female\KSSMP_Princess_Human_Female</v>
      </c>
    </row>
    <row r="317">
      <c r="B317" s="12" t="str">
        <f>IFERROR(__xludf.DUMMYFUNCTION("""COMPUTED_VALUE"""),"Uvi_Wig_Spell_KS_Rosette")</f>
        <v>Uvi_Wig_Spell_KS_Rosette</v>
      </c>
      <c r="C317" s="12" t="str">
        <f>IFERROR(__xludf.DUMMYFUNCTION("IF($B317="""","""",SUBSTITUTE(SUBSTITUTE(SUBSTITUTE(SUBSTITUTE(INDEX(Hairstyles!$A:$A,MATCH($B317,Hairstyles!$F:$F,0)),"" "",""""),""'"",""""),""("",""""),"")"","""")&amp;""\""&amp;INDEX(SPLIT($A$2,""_""),1)&amp;""\""&amp;INDEX(SPLIT($A$2,""_""),2)&amp;""\""&amp;SUBSTITUTE(SUBST"&amp;"ITUTE(SUBSTITUTE(SUBSTITUTE(SUBSTITUTE(INDEX(Hairstyles!$C:$C,MATCH($B317,Hairstyles!$F:$F,0)),"" "",""""),""'"",""""),""("",""""),"")"",""""),""-"",""_"")&amp;""_""&amp;$A$2)"),"KSHairdos-HDTSMP\Human\Female\KSSMP_Rosette_Human_Female")</f>
        <v>KSHairdos-HDTSMP\Human\Female\KSSMP_Rosette_Human_Female</v>
      </c>
      <c r="D317" s="12" t="str">
        <f t="shared" si="1"/>
        <v>Uvi_Wig_Spell_KS_Rosette,KSHairdos-HDTSMP\Human\Female\KSSMP_Rosette_Human_Female</v>
      </c>
    </row>
    <row r="318">
      <c r="B318" s="12" t="str">
        <f>IFERROR(__xludf.DUMMYFUNCTION("""COMPUTED_VALUE"""),"Uvi_Wig_Spell_KS_RosetteRoses")</f>
        <v>Uvi_Wig_Spell_KS_RosetteRoses</v>
      </c>
      <c r="C318" s="12" t="str">
        <f>IFERROR(__xludf.DUMMYFUNCTION("IF($B318="""","""",SUBSTITUTE(SUBSTITUTE(SUBSTITUTE(SUBSTITUTE(INDEX(Hairstyles!$A:$A,MATCH($B318,Hairstyles!$F:$F,0)),"" "",""""),""'"",""""),""("",""""),"")"","""")&amp;""\""&amp;INDEX(SPLIT($A$2,""_""),1)&amp;""\""&amp;INDEX(SPLIT($A$2,""_""),2)&amp;""\""&amp;SUBSTITUTE(SUBST"&amp;"ITUTE(SUBSTITUTE(SUBSTITUTE(SUBSTITUTE(INDEX(Hairstyles!$C:$C,MATCH($B318,Hairstyles!$F:$F,0)),"" "",""""),""'"",""""),""("",""""),"")"",""""),""-"",""_"")&amp;""_""&amp;$A$2)"),"KSHairdos-HDTSMP\Human\Female\KSSMP_RosetteRoses_Human_Female")</f>
        <v>KSHairdos-HDTSMP\Human\Female\KSSMP_RosetteRoses_Human_Female</v>
      </c>
      <c r="D318" s="12" t="str">
        <f t="shared" si="1"/>
        <v>Uvi_Wig_Spell_KS_RosetteRoses,KSHairdos-HDTSMP\Human\Female\KSSMP_RosetteRoses_Human_Female</v>
      </c>
    </row>
    <row r="319">
      <c r="B319" s="12" t="str">
        <f>IFERROR(__xludf.DUMMYFUNCTION("""COMPUTED_VALUE"""),"Uvi_Wig_Spell_KS_RosiCloud")</f>
        <v>Uvi_Wig_Spell_KS_RosiCloud</v>
      </c>
      <c r="C319" s="12" t="str">
        <f>IFERROR(__xludf.DUMMYFUNCTION("IF($B319="""","""",SUBSTITUTE(SUBSTITUTE(SUBSTITUTE(SUBSTITUTE(INDEX(Hairstyles!$A:$A,MATCH($B319,Hairstyles!$F:$F,0)),"" "",""""),""'"",""""),""("",""""),"")"","""")&amp;""\""&amp;INDEX(SPLIT($A$2,""_""),1)&amp;""\""&amp;INDEX(SPLIT($A$2,""_""),2)&amp;""\""&amp;SUBSTITUTE(SUBST"&amp;"ITUTE(SUBSTITUTE(SUBSTITUTE(SUBSTITUTE(INDEX(Hairstyles!$C:$C,MATCH($B319,Hairstyles!$F:$F,0)),"" "",""""),""'"",""""),""("",""""),"")"",""""),""-"",""_"")&amp;""_""&amp;$A$2)"),"KSHairdos-HDTSMP\Human\Female\KSSMP_RosiCloud_Human_Female")</f>
        <v>KSHairdos-HDTSMP\Human\Female\KSSMP_RosiCloud_Human_Female</v>
      </c>
      <c r="D319" s="12" t="str">
        <f t="shared" si="1"/>
        <v>Uvi_Wig_Spell_KS_RosiCloud,KSHairdos-HDTSMP\Human\Female\KSSMP_RosiCloud_Human_Female</v>
      </c>
    </row>
    <row r="320">
      <c r="B320" s="12" t="str">
        <f>IFERROR(__xludf.DUMMYFUNCTION("""COMPUTED_VALUE"""),"Uvi_Wig_Spell_KS_Runaway")</f>
        <v>Uvi_Wig_Spell_KS_Runaway</v>
      </c>
      <c r="C320" s="12" t="str">
        <f>IFERROR(__xludf.DUMMYFUNCTION("IF($B320="""","""",SUBSTITUTE(SUBSTITUTE(SUBSTITUTE(SUBSTITUTE(INDEX(Hairstyles!$A:$A,MATCH($B320,Hairstyles!$F:$F,0)),"" "",""""),""'"",""""),""("",""""),"")"","""")&amp;""\""&amp;INDEX(SPLIT($A$2,""_""),1)&amp;""\""&amp;INDEX(SPLIT($A$2,""_""),2)&amp;""\""&amp;SUBSTITUTE(SUBST"&amp;"ITUTE(SUBSTITUTE(SUBSTITUTE(SUBSTITUTE(INDEX(Hairstyles!$C:$C,MATCH($B320,Hairstyles!$F:$F,0)),"" "",""""),""'"",""""),""("",""""),"")"",""""),""-"",""_"")&amp;""_""&amp;$A$2)"),"KSHairdos-HDTSMP\Human\Female\KSSMP_Runaway_Human_Female")</f>
        <v>KSHairdos-HDTSMP\Human\Female\KSSMP_Runaway_Human_Female</v>
      </c>
      <c r="D320" s="12" t="str">
        <f t="shared" si="1"/>
        <v>Uvi_Wig_Spell_KS_Runaway,KSHairdos-HDTSMP\Human\Female\KSSMP_Runaway_Human_Female</v>
      </c>
    </row>
    <row r="321">
      <c r="B321" s="12" t="str">
        <f>IFERROR(__xludf.DUMMYFUNCTION("""COMPUTED_VALUE"""),"Uvi_Wig_Spell_KS_Scarlet")</f>
        <v>Uvi_Wig_Spell_KS_Scarlet</v>
      </c>
      <c r="C321" s="12" t="str">
        <f>IFERROR(__xludf.DUMMYFUNCTION("IF($B321="""","""",SUBSTITUTE(SUBSTITUTE(SUBSTITUTE(SUBSTITUTE(INDEX(Hairstyles!$A:$A,MATCH($B321,Hairstyles!$F:$F,0)),"" "",""""),""'"",""""),""("",""""),"")"","""")&amp;""\""&amp;INDEX(SPLIT($A$2,""_""),1)&amp;""\""&amp;INDEX(SPLIT($A$2,""_""),2)&amp;""\""&amp;SUBSTITUTE(SUBST"&amp;"ITUTE(SUBSTITUTE(SUBSTITUTE(SUBSTITUTE(INDEX(Hairstyles!$C:$C,MATCH($B321,Hairstyles!$F:$F,0)),"" "",""""),""'"",""""),""("",""""),"")"",""""),""-"",""_"")&amp;""_""&amp;$A$2)"),"KSHairdos-HDTSMP\Human\Female\KSSMP_Scarlet_Human_Female")</f>
        <v>KSHairdos-HDTSMP\Human\Female\KSSMP_Scarlet_Human_Female</v>
      </c>
      <c r="D321" s="12" t="str">
        <f t="shared" si="1"/>
        <v>Uvi_Wig_Spell_KS_Scarlet,KSHairdos-HDTSMP\Human\Female\KSSMP_Scarlet_Human_Female</v>
      </c>
    </row>
    <row r="322">
      <c r="B322" s="12" t="str">
        <f>IFERROR(__xludf.DUMMYFUNCTION("""COMPUTED_VALUE"""),"Uvi_Wig_Spell_KS_Searching")</f>
        <v>Uvi_Wig_Spell_KS_Searching</v>
      </c>
      <c r="C322" s="12" t="str">
        <f>IFERROR(__xludf.DUMMYFUNCTION("IF($B322="""","""",SUBSTITUTE(SUBSTITUTE(SUBSTITUTE(SUBSTITUTE(INDEX(Hairstyles!$A:$A,MATCH($B322,Hairstyles!$F:$F,0)),"" "",""""),""'"",""""),""("",""""),"")"","""")&amp;""\""&amp;INDEX(SPLIT($A$2,""_""),1)&amp;""\""&amp;INDEX(SPLIT($A$2,""_""),2)&amp;""\""&amp;SUBSTITUTE(SUBST"&amp;"ITUTE(SUBSTITUTE(SUBSTITUTE(SUBSTITUTE(INDEX(Hairstyles!$C:$C,MATCH($B322,Hairstyles!$F:$F,0)),"" "",""""),""'"",""""),""("",""""),"")"",""""),""-"",""_"")&amp;""_""&amp;$A$2)"),"KSHairdos-HDTSMP\Human\Female\KSSMP_Searching_Human_Female")</f>
        <v>KSHairdos-HDTSMP\Human\Female\KSSMP_Searching_Human_Female</v>
      </c>
      <c r="D322" s="12" t="str">
        <f t="shared" si="1"/>
        <v>Uvi_Wig_Spell_KS_Searching,KSHairdos-HDTSMP\Human\Female\KSSMP_Searching_Human_Female</v>
      </c>
    </row>
    <row r="323">
      <c r="B323" s="12" t="str">
        <f>IFERROR(__xludf.DUMMYFUNCTION("""COMPUTED_VALUE"""),"Uvi_Wig_Spell_KS_SilentLips")</f>
        <v>Uvi_Wig_Spell_KS_SilentLips</v>
      </c>
      <c r="C323" s="12" t="str">
        <f>IFERROR(__xludf.DUMMYFUNCTION("IF($B323="""","""",SUBSTITUTE(SUBSTITUTE(SUBSTITUTE(SUBSTITUTE(INDEX(Hairstyles!$A:$A,MATCH($B323,Hairstyles!$F:$F,0)),"" "",""""),""'"",""""),""("",""""),"")"","""")&amp;""\""&amp;INDEX(SPLIT($A$2,""_""),1)&amp;""\""&amp;INDEX(SPLIT($A$2,""_""),2)&amp;""\""&amp;SUBSTITUTE(SUBST"&amp;"ITUTE(SUBSTITUTE(SUBSTITUTE(SUBSTITUTE(INDEX(Hairstyles!$C:$C,MATCH($B323,Hairstyles!$F:$F,0)),"" "",""""),""'"",""""),""("",""""),"")"",""""),""-"",""_"")&amp;""_""&amp;$A$2)"),"KSHairdos-HDTSMP\Human\Female\KSSMP_SilentLips_Human_Female")</f>
        <v>KSHairdos-HDTSMP\Human\Female\KSSMP_SilentLips_Human_Female</v>
      </c>
      <c r="D323" s="12" t="str">
        <f t="shared" si="1"/>
        <v>Uvi_Wig_Spell_KS_SilentLips,KSHairdos-HDTSMP\Human\Female\KSSMP_SilentLips_Human_Female</v>
      </c>
    </row>
    <row r="324">
      <c r="B324" s="12" t="str">
        <f>IFERROR(__xludf.DUMMYFUNCTION("""COMPUTED_VALUE"""),"Uvi_Wig_Spell_KS_Sky022")</f>
        <v>Uvi_Wig_Spell_KS_Sky022</v>
      </c>
      <c r="C324" s="12" t="str">
        <f>IFERROR(__xludf.DUMMYFUNCTION("IF($B324="""","""",SUBSTITUTE(SUBSTITUTE(SUBSTITUTE(SUBSTITUTE(INDEX(Hairstyles!$A:$A,MATCH($B324,Hairstyles!$F:$F,0)),"" "",""""),""'"",""""),""("",""""),"")"","""")&amp;""\""&amp;INDEX(SPLIT($A$2,""_""),1)&amp;""\""&amp;INDEX(SPLIT($A$2,""_""),2)&amp;""\""&amp;SUBSTITUTE(SUBST"&amp;"ITUTE(SUBSTITUTE(SUBSTITUTE(SUBSTITUTE(INDEX(Hairstyles!$C:$C,MATCH($B324,Hairstyles!$F:$F,0)),"" "",""""),""'"",""""),""("",""""),"")"",""""),""-"",""_"")&amp;""_""&amp;$A$2)"),"KSHairdos-HDTSMP\Human\Female\KSSMP_Sky022_Human_Female")</f>
        <v>KSHairdos-HDTSMP\Human\Female\KSSMP_Sky022_Human_Female</v>
      </c>
      <c r="D324" s="12" t="str">
        <f t="shared" si="1"/>
        <v>Uvi_Wig_Spell_KS_Sky022,KSHairdos-HDTSMP\Human\Female\KSSMP_Sky022_Human_Female</v>
      </c>
    </row>
    <row r="325">
      <c r="B325" s="12" t="str">
        <f>IFERROR(__xludf.DUMMYFUNCTION("""COMPUTED_VALUE"""),"Uvi_Wig_Spell_KS_Sky047")</f>
        <v>Uvi_Wig_Spell_KS_Sky047</v>
      </c>
      <c r="C325" s="12" t="str">
        <f>IFERROR(__xludf.DUMMYFUNCTION("IF($B325="""","""",SUBSTITUTE(SUBSTITUTE(SUBSTITUTE(SUBSTITUTE(INDEX(Hairstyles!$A:$A,MATCH($B325,Hairstyles!$F:$F,0)),"" "",""""),""'"",""""),""("",""""),"")"","""")&amp;""\""&amp;INDEX(SPLIT($A$2,""_""),1)&amp;""\""&amp;INDEX(SPLIT($A$2,""_""),2)&amp;""\""&amp;SUBSTITUTE(SUBST"&amp;"ITUTE(SUBSTITUTE(SUBSTITUTE(SUBSTITUTE(INDEX(Hairstyles!$C:$C,MATCH($B325,Hairstyles!$F:$F,0)),"" "",""""),""'"",""""),""("",""""),"")"",""""),""-"",""_"")&amp;""_""&amp;$A$2)"),"KSHairdos-HDTSMP\Human\Female\KSSMP_Sky047_Human_Female")</f>
        <v>KSHairdos-HDTSMP\Human\Female\KSSMP_Sky047_Human_Female</v>
      </c>
      <c r="D325" s="12" t="str">
        <f t="shared" si="1"/>
        <v>Uvi_Wig_Spell_KS_Sky047,KSHairdos-HDTSMP\Human\Female\KSSMP_Sky047_Human_Female</v>
      </c>
    </row>
    <row r="326">
      <c r="B326" s="12" t="str">
        <f>IFERROR(__xludf.DUMMYFUNCTION("""COMPUTED_VALUE"""),"Uvi_Wig_Spell_KS_Sky097")</f>
        <v>Uvi_Wig_Spell_KS_Sky097</v>
      </c>
      <c r="C326" s="12" t="str">
        <f>IFERROR(__xludf.DUMMYFUNCTION("IF($B326="""","""",SUBSTITUTE(SUBSTITUTE(SUBSTITUTE(SUBSTITUTE(INDEX(Hairstyles!$A:$A,MATCH($B326,Hairstyles!$F:$F,0)),"" "",""""),""'"",""""),""("",""""),"")"","""")&amp;""\""&amp;INDEX(SPLIT($A$2,""_""),1)&amp;""\""&amp;INDEX(SPLIT($A$2,""_""),2)&amp;""\""&amp;SUBSTITUTE(SUBST"&amp;"ITUTE(SUBSTITUTE(SUBSTITUTE(SUBSTITUTE(INDEX(Hairstyles!$C:$C,MATCH($B326,Hairstyles!$F:$F,0)),"" "",""""),""'"",""""),""("",""""),"")"",""""),""-"",""_"")&amp;""_""&amp;$A$2)"),"KSHairdos-HDTSMP\Human\Female\KSSMP_Sky097_Human_Female")</f>
        <v>KSHairdos-HDTSMP\Human\Female\KSSMP_Sky097_Human_Female</v>
      </c>
      <c r="D326" s="12" t="str">
        <f t="shared" si="1"/>
        <v>Uvi_Wig_Spell_KS_Sky097,KSHairdos-HDTSMP\Human\Female\KSSMP_Sky097_Human_Female</v>
      </c>
    </row>
    <row r="327">
      <c r="B327" s="12" t="str">
        <f>IFERROR(__xludf.DUMMYFUNCTION("""COMPUTED_VALUE"""),"Uvi_Wig_Spell_KS_Sky146")</f>
        <v>Uvi_Wig_Spell_KS_Sky146</v>
      </c>
      <c r="C327" s="12" t="str">
        <f>IFERROR(__xludf.DUMMYFUNCTION("IF($B327="""","""",SUBSTITUTE(SUBSTITUTE(SUBSTITUTE(SUBSTITUTE(INDEX(Hairstyles!$A:$A,MATCH($B327,Hairstyles!$F:$F,0)),"" "",""""),""'"",""""),""("",""""),"")"","""")&amp;""\""&amp;INDEX(SPLIT($A$2,""_""),1)&amp;""\""&amp;INDEX(SPLIT($A$2,""_""),2)&amp;""\""&amp;SUBSTITUTE(SUBST"&amp;"ITUTE(SUBSTITUTE(SUBSTITUTE(SUBSTITUTE(INDEX(Hairstyles!$C:$C,MATCH($B327,Hairstyles!$F:$F,0)),"" "",""""),""'"",""""),""("",""""),"")"",""""),""-"",""_"")&amp;""_""&amp;$A$2)"),"KSHairdos-HDTSMP\Human\Female\KSSMP_Sky146_Human_Female")</f>
        <v>KSHairdos-HDTSMP\Human\Female\KSSMP_Sky146_Human_Female</v>
      </c>
      <c r="D327" s="12" t="str">
        <f t="shared" si="1"/>
        <v>Uvi_Wig_Spell_KS_Sky146,KSHairdos-HDTSMP\Human\Female\KSSMP_Sky146_Human_Female</v>
      </c>
    </row>
    <row r="328">
      <c r="B328" s="12" t="str">
        <f>IFERROR(__xludf.DUMMYFUNCTION("""COMPUTED_VALUE"""),"Uvi_Wig_Spell_KS_Sky176")</f>
        <v>Uvi_Wig_Spell_KS_Sky176</v>
      </c>
      <c r="C328" s="12" t="str">
        <f>IFERROR(__xludf.DUMMYFUNCTION("IF($B328="""","""",SUBSTITUTE(SUBSTITUTE(SUBSTITUTE(SUBSTITUTE(INDEX(Hairstyles!$A:$A,MATCH($B328,Hairstyles!$F:$F,0)),"" "",""""),""'"",""""),""("",""""),"")"","""")&amp;""\""&amp;INDEX(SPLIT($A$2,""_""),1)&amp;""\""&amp;INDEX(SPLIT($A$2,""_""),2)&amp;""\""&amp;SUBSTITUTE(SUBST"&amp;"ITUTE(SUBSTITUTE(SUBSTITUTE(SUBSTITUTE(INDEX(Hairstyles!$C:$C,MATCH($B328,Hairstyles!$F:$F,0)),"" "",""""),""'"",""""),""("",""""),"")"",""""),""-"",""_"")&amp;""_""&amp;$A$2)"),"KSHairdos-HDTSMP\Human\Female\KSSMP_Sky176_Human_Female")</f>
        <v>KSHairdos-HDTSMP\Human\Female\KSSMP_Sky176_Human_Female</v>
      </c>
      <c r="D328" s="12" t="str">
        <f t="shared" si="1"/>
        <v>Uvi_Wig_Spell_KS_Sky176,KSHairdos-HDTSMP\Human\Female\KSSMP_Sky176_Human_Female</v>
      </c>
    </row>
    <row r="329">
      <c r="B329" s="12" t="str">
        <f>IFERROR(__xludf.DUMMYFUNCTION("""COMPUTED_VALUE"""),"Uvi_Wig_Spell_KS_Sky179")</f>
        <v>Uvi_Wig_Spell_KS_Sky179</v>
      </c>
      <c r="C329" s="12" t="str">
        <f>IFERROR(__xludf.DUMMYFUNCTION("IF($B329="""","""",SUBSTITUTE(SUBSTITUTE(SUBSTITUTE(SUBSTITUTE(INDEX(Hairstyles!$A:$A,MATCH($B329,Hairstyles!$F:$F,0)),"" "",""""),""'"",""""),""("",""""),"")"","""")&amp;""\""&amp;INDEX(SPLIT($A$2,""_""),1)&amp;""\""&amp;INDEX(SPLIT($A$2,""_""),2)&amp;""\""&amp;SUBSTITUTE(SUBST"&amp;"ITUTE(SUBSTITUTE(SUBSTITUTE(SUBSTITUTE(INDEX(Hairstyles!$C:$C,MATCH($B329,Hairstyles!$F:$F,0)),"" "",""""),""'"",""""),""("",""""),"")"",""""),""-"",""_"")&amp;""_""&amp;$A$2)"),"KSHairdos-HDTSMP\Human\Female\KSSMP_Sky179_Human_Female")</f>
        <v>KSHairdos-HDTSMP\Human\Female\KSSMP_Sky179_Human_Female</v>
      </c>
      <c r="D329" s="12" t="str">
        <f t="shared" si="1"/>
        <v>Uvi_Wig_Spell_KS_Sky179,KSHairdos-HDTSMP\Human\Female\KSSMP_Sky179_Human_Female</v>
      </c>
    </row>
    <row r="330">
      <c r="B330" s="12" t="str">
        <f>IFERROR(__xludf.DUMMYFUNCTION("""COMPUTED_VALUE"""),"Uvi_Wig_Spell_KS_Sky188")</f>
        <v>Uvi_Wig_Spell_KS_Sky188</v>
      </c>
      <c r="C330" s="12" t="str">
        <f>IFERROR(__xludf.DUMMYFUNCTION("IF($B330="""","""",SUBSTITUTE(SUBSTITUTE(SUBSTITUTE(SUBSTITUTE(INDEX(Hairstyles!$A:$A,MATCH($B330,Hairstyles!$F:$F,0)),"" "",""""),""'"",""""),""("",""""),"")"","""")&amp;""\""&amp;INDEX(SPLIT($A$2,""_""),1)&amp;""\""&amp;INDEX(SPLIT($A$2,""_""),2)&amp;""\""&amp;SUBSTITUTE(SUBST"&amp;"ITUTE(SUBSTITUTE(SUBSTITUTE(SUBSTITUTE(INDEX(Hairstyles!$C:$C,MATCH($B330,Hairstyles!$F:$F,0)),"" "",""""),""'"",""""),""("",""""),"")"",""""),""-"",""_"")&amp;""_""&amp;$A$2)"),"KSHairdos-HDTSMP\Human\Female\KSSMP_Sky188_Human_Female")</f>
        <v>KSHairdos-HDTSMP\Human\Female\KSSMP_Sky188_Human_Female</v>
      </c>
      <c r="D330" s="12" t="str">
        <f t="shared" si="1"/>
        <v>Uvi_Wig_Spell_KS_Sky188,KSHairdos-HDTSMP\Human\Female\KSSMP_Sky188_Human_Female</v>
      </c>
    </row>
    <row r="331">
      <c r="B331" s="12" t="str">
        <f>IFERROR(__xludf.DUMMYFUNCTION("""COMPUTED_VALUE"""),"Uvi_Wig_Spell_KS_Sky190")</f>
        <v>Uvi_Wig_Spell_KS_Sky190</v>
      </c>
      <c r="C331" s="12" t="str">
        <f>IFERROR(__xludf.DUMMYFUNCTION("IF($B331="""","""",SUBSTITUTE(SUBSTITUTE(SUBSTITUTE(SUBSTITUTE(INDEX(Hairstyles!$A:$A,MATCH($B331,Hairstyles!$F:$F,0)),"" "",""""),""'"",""""),""("",""""),"")"","""")&amp;""\""&amp;INDEX(SPLIT($A$2,""_""),1)&amp;""\""&amp;INDEX(SPLIT($A$2,""_""),2)&amp;""\""&amp;SUBSTITUTE(SUBST"&amp;"ITUTE(SUBSTITUTE(SUBSTITUTE(SUBSTITUTE(INDEX(Hairstyles!$C:$C,MATCH($B331,Hairstyles!$F:$F,0)),"" "",""""),""'"",""""),""("",""""),"")"",""""),""-"",""_"")&amp;""_""&amp;$A$2)"),"KSHairdos-HDTSMP\Human\Female\KSSMP_Sky190_Human_Female")</f>
        <v>KSHairdos-HDTSMP\Human\Female\KSSMP_Sky190_Human_Female</v>
      </c>
      <c r="D331" s="12" t="str">
        <f t="shared" si="1"/>
        <v>Uvi_Wig_Spell_KS_Sky190,KSHairdos-HDTSMP\Human\Female\KSSMP_Sky190_Human_Female</v>
      </c>
    </row>
    <row r="332">
      <c r="B332" s="12" t="str">
        <f>IFERROR(__xludf.DUMMYFUNCTION("""COMPUTED_VALUE"""),"Uvi_Wig_Spell_KS_Sky201")</f>
        <v>Uvi_Wig_Spell_KS_Sky201</v>
      </c>
      <c r="C332" s="12" t="str">
        <f>IFERROR(__xludf.DUMMYFUNCTION("IF($B332="""","""",SUBSTITUTE(SUBSTITUTE(SUBSTITUTE(SUBSTITUTE(INDEX(Hairstyles!$A:$A,MATCH($B332,Hairstyles!$F:$F,0)),"" "",""""),""'"",""""),""("",""""),"")"","""")&amp;""\""&amp;INDEX(SPLIT($A$2,""_""),1)&amp;""\""&amp;INDEX(SPLIT($A$2,""_""),2)&amp;""\""&amp;SUBSTITUTE(SUBST"&amp;"ITUTE(SUBSTITUTE(SUBSTITUTE(SUBSTITUTE(INDEX(Hairstyles!$C:$C,MATCH($B332,Hairstyles!$F:$F,0)),"" "",""""),""'"",""""),""("",""""),"")"",""""),""-"",""_"")&amp;""_""&amp;$A$2)"),"KSHairdos-HDTSMP\Human\Female\KSSMP_Sky201_Human_Female")</f>
        <v>KSHairdos-HDTSMP\Human\Female\KSSMP_Sky201_Human_Female</v>
      </c>
      <c r="D332" s="12" t="str">
        <f t="shared" si="1"/>
        <v>Uvi_Wig_Spell_KS_Sky201,KSHairdos-HDTSMP\Human\Female\KSSMP_Sky201_Human_Female</v>
      </c>
    </row>
    <row r="333">
      <c r="B333" s="12" t="str">
        <f>IFERROR(__xludf.DUMMYFUNCTION("""COMPUTED_VALUE"""),"Uvi_Wig_Spell_KS_Sky208")</f>
        <v>Uvi_Wig_Spell_KS_Sky208</v>
      </c>
      <c r="C333" s="12" t="str">
        <f>IFERROR(__xludf.DUMMYFUNCTION("IF($B333="""","""",SUBSTITUTE(SUBSTITUTE(SUBSTITUTE(SUBSTITUTE(INDEX(Hairstyles!$A:$A,MATCH($B333,Hairstyles!$F:$F,0)),"" "",""""),""'"",""""),""("",""""),"")"","""")&amp;""\""&amp;INDEX(SPLIT($A$2,""_""),1)&amp;""\""&amp;INDEX(SPLIT($A$2,""_""),2)&amp;""\""&amp;SUBSTITUTE(SUBST"&amp;"ITUTE(SUBSTITUTE(SUBSTITUTE(SUBSTITUTE(INDEX(Hairstyles!$C:$C,MATCH($B333,Hairstyles!$F:$F,0)),"" "",""""),""'"",""""),""("",""""),"")"",""""),""-"",""_"")&amp;""_""&amp;$A$2)"),"KSHairdos-HDTSMP\Human\Female\KSSMP_Sky208_Human_Female")</f>
        <v>KSHairdos-HDTSMP\Human\Female\KSSMP_Sky208_Human_Female</v>
      </c>
      <c r="D333" s="12" t="str">
        <f t="shared" si="1"/>
        <v>Uvi_Wig_Spell_KS_Sky208,KSHairdos-HDTSMP\Human\Female\KSSMP_Sky208_Human_Female</v>
      </c>
    </row>
    <row r="334">
      <c r="B334" s="12" t="str">
        <f>IFERROR(__xludf.DUMMYFUNCTION("""COMPUTED_VALUE"""),"Uvi_Wig_Spell_KS_Sky218")</f>
        <v>Uvi_Wig_Spell_KS_Sky218</v>
      </c>
      <c r="C334" s="12" t="str">
        <f>IFERROR(__xludf.DUMMYFUNCTION("IF($B334="""","""",SUBSTITUTE(SUBSTITUTE(SUBSTITUTE(SUBSTITUTE(INDEX(Hairstyles!$A:$A,MATCH($B334,Hairstyles!$F:$F,0)),"" "",""""),""'"",""""),""("",""""),"")"","""")&amp;""\""&amp;INDEX(SPLIT($A$2,""_""),1)&amp;""\""&amp;INDEX(SPLIT($A$2,""_""),2)&amp;""\""&amp;SUBSTITUTE(SUBST"&amp;"ITUTE(SUBSTITUTE(SUBSTITUTE(SUBSTITUTE(INDEX(Hairstyles!$C:$C,MATCH($B334,Hairstyles!$F:$F,0)),"" "",""""),""'"",""""),""("",""""),"")"",""""),""-"",""_"")&amp;""_""&amp;$A$2)"),"KSHairdos-HDTSMP\Human\Female\KSSMP_Sky218_Human_Female")</f>
        <v>KSHairdos-HDTSMP\Human\Female\KSSMP_Sky218_Human_Female</v>
      </c>
      <c r="D334" s="12" t="str">
        <f t="shared" si="1"/>
        <v>Uvi_Wig_Spell_KS_Sky218,KSHairdos-HDTSMP\Human\Female\KSSMP_Sky218_Human_Female</v>
      </c>
    </row>
    <row r="335">
      <c r="B335" s="12" t="str">
        <f>IFERROR(__xludf.DUMMYFUNCTION("""COMPUTED_VALUE"""),"Uvi_Wig_Spell_KS_Sky239")</f>
        <v>Uvi_Wig_Spell_KS_Sky239</v>
      </c>
      <c r="C335" s="12" t="str">
        <f>IFERROR(__xludf.DUMMYFUNCTION("IF($B335="""","""",SUBSTITUTE(SUBSTITUTE(SUBSTITUTE(SUBSTITUTE(INDEX(Hairstyles!$A:$A,MATCH($B335,Hairstyles!$F:$F,0)),"" "",""""),""'"",""""),""("",""""),"")"","""")&amp;""\""&amp;INDEX(SPLIT($A$2,""_""),1)&amp;""\""&amp;INDEX(SPLIT($A$2,""_""),2)&amp;""\""&amp;SUBSTITUTE(SUBST"&amp;"ITUTE(SUBSTITUTE(SUBSTITUTE(SUBSTITUTE(INDEX(Hairstyles!$C:$C,MATCH($B335,Hairstyles!$F:$F,0)),"" "",""""),""'"",""""),""("",""""),"")"",""""),""-"",""_"")&amp;""_""&amp;$A$2)"),"KSHairdos-HDTSMP\Human\Female\KSSMP_Sky239_Human_Female")</f>
        <v>KSHairdos-HDTSMP\Human\Female\KSSMP_Sky239_Human_Female</v>
      </c>
      <c r="D335" s="12" t="str">
        <f t="shared" si="1"/>
        <v>Uvi_Wig_Spell_KS_Sky239,KSHairdos-HDTSMP\Human\Female\KSSMP_Sky239_Human_Female</v>
      </c>
    </row>
    <row r="336">
      <c r="B336" s="12" t="str">
        <f>IFERROR(__xludf.DUMMYFUNCTION("""COMPUTED_VALUE"""),"Uvi_Wig_Spell_KS_Sky250")</f>
        <v>Uvi_Wig_Spell_KS_Sky250</v>
      </c>
      <c r="C336" s="12" t="str">
        <f>IFERROR(__xludf.DUMMYFUNCTION("IF($B336="""","""",SUBSTITUTE(SUBSTITUTE(SUBSTITUTE(SUBSTITUTE(INDEX(Hairstyles!$A:$A,MATCH($B336,Hairstyles!$F:$F,0)),"" "",""""),""'"",""""),""("",""""),"")"","""")&amp;""\""&amp;INDEX(SPLIT($A$2,""_""),1)&amp;""\""&amp;INDEX(SPLIT($A$2,""_""),2)&amp;""\""&amp;SUBSTITUTE(SUBST"&amp;"ITUTE(SUBSTITUTE(SUBSTITUTE(SUBSTITUTE(INDEX(Hairstyles!$C:$C,MATCH($B336,Hairstyles!$F:$F,0)),"" "",""""),""'"",""""),""("",""""),"")"",""""),""-"",""_"")&amp;""_""&amp;$A$2)"),"KSHairdos-HDTSMP\Human\Female\KSSMP_Sky250_Human_Female")</f>
        <v>KSHairdos-HDTSMP\Human\Female\KSSMP_Sky250_Human_Female</v>
      </c>
      <c r="D336" s="12" t="str">
        <f t="shared" si="1"/>
        <v>Uvi_Wig_Spell_KS_Sky250,KSHairdos-HDTSMP\Human\Female\KSSMP_Sky250_Human_Female</v>
      </c>
    </row>
    <row r="337">
      <c r="B337" s="12" t="str">
        <f>IFERROR(__xludf.DUMMYFUNCTION("""COMPUTED_VALUE"""),"Uvi_Wig_Spell_KS_Sky6063")</f>
        <v>Uvi_Wig_Spell_KS_Sky6063</v>
      </c>
      <c r="C337" s="12" t="str">
        <f>IFERROR(__xludf.DUMMYFUNCTION("IF($B337="""","""",SUBSTITUTE(SUBSTITUTE(SUBSTITUTE(SUBSTITUTE(INDEX(Hairstyles!$A:$A,MATCH($B337,Hairstyles!$F:$F,0)),"" "",""""),""'"",""""),""("",""""),"")"","""")&amp;""\""&amp;INDEX(SPLIT($A$2,""_""),1)&amp;""\""&amp;INDEX(SPLIT($A$2,""_""),2)&amp;""\""&amp;SUBSTITUTE(SUBST"&amp;"ITUTE(SUBSTITUTE(SUBSTITUTE(SUBSTITUTE(INDEX(Hairstyles!$C:$C,MATCH($B337,Hairstyles!$F:$F,0)),"" "",""""),""'"",""""),""("",""""),"")"",""""),""-"",""_"")&amp;""_""&amp;$A$2)"),"KSHairdos-HDTSMP\Human\Female\KSSMP_Sky6063_Human_Female")</f>
        <v>KSHairdos-HDTSMP\Human\Female\KSSMP_Sky6063_Human_Female</v>
      </c>
      <c r="D337" s="12" t="str">
        <f t="shared" si="1"/>
        <v>Uvi_Wig_Spell_KS_Sky6063,KSHairdos-HDTSMP\Human\Female\KSSMP_Sky6063_Human_Female</v>
      </c>
    </row>
    <row r="338">
      <c r="B338" s="12" t="str">
        <f>IFERROR(__xludf.DUMMYFUNCTION("""COMPUTED_VALUE"""),"Uvi_Wig_Spell_KS_Slowly")</f>
        <v>Uvi_Wig_Spell_KS_Slowly</v>
      </c>
      <c r="C338" s="12" t="str">
        <f>IFERROR(__xludf.DUMMYFUNCTION("IF($B338="""","""",SUBSTITUTE(SUBSTITUTE(SUBSTITUTE(SUBSTITUTE(INDEX(Hairstyles!$A:$A,MATCH($B338,Hairstyles!$F:$F,0)),"" "",""""),""'"",""""),""("",""""),"")"","""")&amp;""\""&amp;INDEX(SPLIT($A$2,""_""),1)&amp;""\""&amp;INDEX(SPLIT($A$2,""_""),2)&amp;""\""&amp;SUBSTITUTE(SUBST"&amp;"ITUTE(SUBSTITUTE(SUBSTITUTE(SUBSTITUTE(INDEX(Hairstyles!$C:$C,MATCH($B338,Hairstyles!$F:$F,0)),"" "",""""),""'"",""""),""("",""""),"")"",""""),""-"",""_"")&amp;""_""&amp;$A$2)"),"KSHairdos-HDTSMP\Human\Female\KSSMP_Slowly_Human_Female")</f>
        <v>KSHairdos-HDTSMP\Human\Female\KSSMP_Slowly_Human_Female</v>
      </c>
      <c r="D338" s="12" t="str">
        <f t="shared" si="1"/>
        <v>Uvi_Wig_Spell_KS_Slowly,KSHairdos-HDTSMP\Human\Female\KSSMP_Slowly_Human_Female</v>
      </c>
    </row>
    <row r="339">
      <c r="B339" s="12" t="str">
        <f>IFERROR(__xludf.DUMMYFUNCTION("""COMPUTED_VALUE"""),"Uvi_Wig_Spell_KS_Snow")</f>
        <v>Uvi_Wig_Spell_KS_Snow</v>
      </c>
      <c r="C339" s="12" t="str">
        <f>IFERROR(__xludf.DUMMYFUNCTION("IF($B339="""","""",SUBSTITUTE(SUBSTITUTE(SUBSTITUTE(SUBSTITUTE(INDEX(Hairstyles!$A:$A,MATCH($B339,Hairstyles!$F:$F,0)),"" "",""""),""'"",""""),""("",""""),"")"","""")&amp;""\""&amp;INDEX(SPLIT($A$2,""_""),1)&amp;""\""&amp;INDEX(SPLIT($A$2,""_""),2)&amp;""\""&amp;SUBSTITUTE(SUBST"&amp;"ITUTE(SUBSTITUTE(SUBSTITUTE(SUBSTITUTE(INDEX(Hairstyles!$C:$C,MATCH($B339,Hairstyles!$F:$F,0)),"" "",""""),""'"",""""),""("",""""),"")"",""""),""-"",""_"")&amp;""_""&amp;$A$2)"),"KSHairdos-HDTSMP\Human\Female\KSSMP_Snow_Human_Female")</f>
        <v>KSHairdos-HDTSMP\Human\Female\KSSMP_Snow_Human_Female</v>
      </c>
      <c r="D339" s="12" t="str">
        <f t="shared" si="1"/>
        <v>Uvi_Wig_Spell_KS_Snow,KSHairdos-HDTSMP\Human\Female\KSSMP_Snow_Human_Female</v>
      </c>
    </row>
    <row r="340">
      <c r="B340" s="12" t="str">
        <f>IFERROR(__xludf.DUMMYFUNCTION("""COMPUTED_VALUE"""),"Uvi_Wig_Spell_KS_Sparklers")</f>
        <v>Uvi_Wig_Spell_KS_Sparklers</v>
      </c>
      <c r="C340" s="12" t="str">
        <f>IFERROR(__xludf.DUMMYFUNCTION("IF($B340="""","""",SUBSTITUTE(SUBSTITUTE(SUBSTITUTE(SUBSTITUTE(INDEX(Hairstyles!$A:$A,MATCH($B340,Hairstyles!$F:$F,0)),"" "",""""),""'"",""""),""("",""""),"")"","""")&amp;""\""&amp;INDEX(SPLIT($A$2,""_""),1)&amp;""\""&amp;INDEX(SPLIT($A$2,""_""),2)&amp;""\""&amp;SUBSTITUTE(SUBST"&amp;"ITUTE(SUBSTITUTE(SUBSTITUTE(SUBSTITUTE(INDEX(Hairstyles!$C:$C,MATCH($B340,Hairstyles!$F:$F,0)),"" "",""""),""'"",""""),""("",""""),"")"",""""),""-"",""_"")&amp;""_""&amp;$A$2)"),"KSHairdos-HDTSMP\Human\Female\KSSMP_Sparklers_Human_Female")</f>
        <v>KSHairdos-HDTSMP\Human\Female\KSSMP_Sparklers_Human_Female</v>
      </c>
      <c r="D340" s="12" t="str">
        <f t="shared" si="1"/>
        <v>Uvi_Wig_Spell_KS_Sparklers,KSHairdos-HDTSMP\Human\Female\KSSMP_Sparklers_Human_Female</v>
      </c>
    </row>
    <row r="341">
      <c r="B341" s="12" t="str">
        <f>IFERROR(__xludf.DUMMYFUNCTION("""COMPUTED_VALUE"""),"Uvi_Wig_Spell_KS_Spring")</f>
        <v>Uvi_Wig_Spell_KS_Spring</v>
      </c>
      <c r="C341" s="12" t="str">
        <f>IFERROR(__xludf.DUMMYFUNCTION("IF($B341="""","""",SUBSTITUTE(SUBSTITUTE(SUBSTITUTE(SUBSTITUTE(INDEX(Hairstyles!$A:$A,MATCH($B341,Hairstyles!$F:$F,0)),"" "",""""),""'"",""""),""("",""""),"")"","""")&amp;""\""&amp;INDEX(SPLIT($A$2,""_""),1)&amp;""\""&amp;INDEX(SPLIT($A$2,""_""),2)&amp;""\""&amp;SUBSTITUTE(SUBST"&amp;"ITUTE(SUBSTITUTE(SUBSTITUTE(SUBSTITUTE(INDEX(Hairstyles!$C:$C,MATCH($B341,Hairstyles!$F:$F,0)),"" "",""""),""'"",""""),""("",""""),"")"",""""),""-"",""_"")&amp;""_""&amp;$A$2)"),"KSHairdos-HDTSMP\Human\Female\KSSMP_Spring_Human_Female")</f>
        <v>KSHairdos-HDTSMP\Human\Female\KSSMP_Spring_Human_Female</v>
      </c>
      <c r="D341" s="12" t="str">
        <f t="shared" si="1"/>
        <v>Uvi_Wig_Spell_KS_Spring,KSHairdos-HDTSMP\Human\Female\KSSMP_Spring_Human_Female</v>
      </c>
    </row>
    <row r="342">
      <c r="B342" s="12" t="str">
        <f>IFERROR(__xludf.DUMMYFUNCTION("""COMPUTED_VALUE"""),"Uvi_Wig_Spell_KS_Starlet")</f>
        <v>Uvi_Wig_Spell_KS_Starlet</v>
      </c>
      <c r="C342" s="12" t="str">
        <f>IFERROR(__xludf.DUMMYFUNCTION("IF($B342="""","""",SUBSTITUTE(SUBSTITUTE(SUBSTITUTE(SUBSTITUTE(INDEX(Hairstyles!$A:$A,MATCH($B342,Hairstyles!$F:$F,0)),"" "",""""),""'"",""""),""("",""""),"")"","""")&amp;""\""&amp;INDEX(SPLIT($A$2,""_""),1)&amp;""\""&amp;INDEX(SPLIT($A$2,""_""),2)&amp;""\""&amp;SUBSTITUTE(SUBST"&amp;"ITUTE(SUBSTITUTE(SUBSTITUTE(SUBSTITUTE(INDEX(Hairstyles!$C:$C,MATCH($B342,Hairstyles!$F:$F,0)),"" "",""""),""'"",""""),""("",""""),"")"",""""),""-"",""_"")&amp;""_""&amp;$A$2)"),"KSHairdos-HDTSMP\Human\Female\KSSMP_Starlet_Human_Female")</f>
        <v>KSHairdos-HDTSMP\Human\Female\KSSMP_Starlet_Human_Female</v>
      </c>
      <c r="D342" s="12" t="str">
        <f t="shared" si="1"/>
        <v>Uvi_Wig_Spell_KS_Starlet,KSHairdos-HDTSMP\Human\Female\KSSMP_Starlet_Human_Female</v>
      </c>
    </row>
    <row r="343">
      <c r="B343" s="12" t="str">
        <f>IFERROR(__xludf.DUMMYFUNCTION("""COMPUTED_VALUE"""),"Uvi_Wig_Spell_KS_StayAwake")</f>
        <v>Uvi_Wig_Spell_KS_StayAwake</v>
      </c>
      <c r="C343" s="12" t="str">
        <f>IFERROR(__xludf.DUMMYFUNCTION("IF($B343="""","""",SUBSTITUTE(SUBSTITUTE(SUBSTITUTE(SUBSTITUTE(INDEX(Hairstyles!$A:$A,MATCH($B343,Hairstyles!$F:$F,0)),"" "",""""),""'"",""""),""("",""""),"")"","""")&amp;""\""&amp;INDEX(SPLIT($A$2,""_""),1)&amp;""\""&amp;INDEX(SPLIT($A$2,""_""),2)&amp;""\""&amp;SUBSTITUTE(SUBST"&amp;"ITUTE(SUBSTITUTE(SUBSTITUTE(SUBSTITUTE(INDEX(Hairstyles!$C:$C,MATCH($B343,Hairstyles!$F:$F,0)),"" "",""""),""'"",""""),""("",""""),"")"",""""),""-"",""_"")&amp;""_""&amp;$A$2)"),"KSHairdos-HDTSMP\Human\Female\KSSMP_StayAwake_Human_Female")</f>
        <v>KSHairdos-HDTSMP\Human\Female\KSSMP_StayAwake_Human_Female</v>
      </c>
      <c r="D343" s="12" t="str">
        <f t="shared" si="1"/>
        <v>Uvi_Wig_Spell_KS_StayAwake,KSHairdos-HDTSMP\Human\Female\KSSMP_StayAwake_Human_Female</v>
      </c>
    </row>
    <row r="344">
      <c r="B344" s="12" t="str">
        <f>IFERROR(__xludf.DUMMYFUNCTION("""COMPUTED_VALUE"""),"Uvi_Wig_Spell_KS_Steammist")</f>
        <v>Uvi_Wig_Spell_KS_Steammist</v>
      </c>
      <c r="C344" s="12" t="str">
        <f>IFERROR(__xludf.DUMMYFUNCTION("IF($B344="""","""",SUBSTITUTE(SUBSTITUTE(SUBSTITUTE(SUBSTITUTE(INDEX(Hairstyles!$A:$A,MATCH($B344,Hairstyles!$F:$F,0)),"" "",""""),""'"",""""),""("",""""),"")"","""")&amp;""\""&amp;INDEX(SPLIT($A$2,""_""),1)&amp;""\""&amp;INDEX(SPLIT($A$2,""_""),2)&amp;""\""&amp;SUBSTITUTE(SUBST"&amp;"ITUTE(SUBSTITUTE(SUBSTITUTE(SUBSTITUTE(INDEX(Hairstyles!$C:$C,MATCH($B344,Hairstyles!$F:$F,0)),"" "",""""),""'"",""""),""("",""""),"")"",""""),""-"",""_"")&amp;""_""&amp;$A$2)"),"KSHairdos-HDTSMP\Human\Female\KSSMP_Steammist_Human_Female")</f>
        <v>KSHairdos-HDTSMP\Human\Female\KSSMP_Steammist_Human_Female</v>
      </c>
      <c r="D344" s="12" t="str">
        <f t="shared" si="1"/>
        <v>Uvi_Wig_Spell_KS_Steammist,KSHairdos-HDTSMP\Human\Female\KSSMP_Steammist_Human_Female</v>
      </c>
    </row>
    <row r="345">
      <c r="B345" s="12" t="str">
        <f>IFERROR(__xludf.DUMMYFUNCTION("""COMPUTED_VALUE"""),"Uvi_Wig_Spell_KS_Studio")</f>
        <v>Uvi_Wig_Spell_KS_Studio</v>
      </c>
      <c r="C345" s="12" t="str">
        <f>IFERROR(__xludf.DUMMYFUNCTION("IF($B345="""","""",SUBSTITUTE(SUBSTITUTE(SUBSTITUTE(SUBSTITUTE(INDEX(Hairstyles!$A:$A,MATCH($B345,Hairstyles!$F:$F,0)),"" "",""""),""'"",""""),""("",""""),"")"","""")&amp;""\""&amp;INDEX(SPLIT($A$2,""_""),1)&amp;""\""&amp;INDEX(SPLIT($A$2,""_""),2)&amp;""\""&amp;SUBSTITUTE(SUBST"&amp;"ITUTE(SUBSTITUTE(SUBSTITUTE(SUBSTITUTE(INDEX(Hairstyles!$C:$C,MATCH($B345,Hairstyles!$F:$F,0)),"" "",""""),""'"",""""),""("",""""),"")"",""""),""-"",""_"")&amp;""_""&amp;$A$2)"),"KSHairdos-HDTSMP\Human\Female\KSSMP_Studio_Human_Female")</f>
        <v>KSHairdos-HDTSMP\Human\Female\KSSMP_Studio_Human_Female</v>
      </c>
      <c r="D345" s="12" t="str">
        <f t="shared" si="1"/>
        <v>Uvi_Wig_Spell_KS_Studio,KSHairdos-HDTSMP\Human\Female\KSSMP_Studio_Human_Female</v>
      </c>
    </row>
    <row r="346">
      <c r="B346" s="12" t="str">
        <f>IFERROR(__xludf.DUMMYFUNCTION("""COMPUTED_VALUE"""),"Uvi_Wig_Spell_KS_SummerHaze")</f>
        <v>Uvi_Wig_Spell_KS_SummerHaze</v>
      </c>
      <c r="C346" s="12" t="str">
        <f>IFERROR(__xludf.DUMMYFUNCTION("IF($B346="""","""",SUBSTITUTE(SUBSTITUTE(SUBSTITUTE(SUBSTITUTE(INDEX(Hairstyles!$A:$A,MATCH($B346,Hairstyles!$F:$F,0)),"" "",""""),""'"",""""),""("",""""),"")"","""")&amp;""\""&amp;INDEX(SPLIT($A$2,""_""),1)&amp;""\""&amp;INDEX(SPLIT($A$2,""_""),2)&amp;""\""&amp;SUBSTITUTE(SUBST"&amp;"ITUTE(SUBSTITUTE(SUBSTITUTE(SUBSTITUTE(INDEX(Hairstyles!$C:$C,MATCH($B346,Hairstyles!$F:$F,0)),"" "",""""),""'"",""""),""("",""""),"")"",""""),""-"",""_"")&amp;""_""&amp;$A$2)"),"KSHairdos-HDTSMP\Human\Female\KSSMP_SummerHaze_Human_Female")</f>
        <v>KSHairdos-HDTSMP\Human\Female\KSSMP_SummerHaze_Human_Female</v>
      </c>
      <c r="D346" s="12" t="str">
        <f t="shared" si="1"/>
        <v>Uvi_Wig_Spell_KS_SummerHaze,KSHairdos-HDTSMP\Human\Female\KSSMP_SummerHaze_Human_Female</v>
      </c>
    </row>
    <row r="347">
      <c r="B347" s="12" t="str">
        <f>IFERROR(__xludf.DUMMYFUNCTION("""COMPUTED_VALUE"""),"Uvi_Wig_Spell_KS_SweetEscape")</f>
        <v>Uvi_Wig_Spell_KS_SweetEscape</v>
      </c>
      <c r="C347" s="12" t="str">
        <f>IFERROR(__xludf.DUMMYFUNCTION("IF($B347="""","""",SUBSTITUTE(SUBSTITUTE(SUBSTITUTE(SUBSTITUTE(INDEX(Hairstyles!$A:$A,MATCH($B347,Hairstyles!$F:$F,0)),"" "",""""),""'"",""""),""("",""""),"")"","""")&amp;""\""&amp;INDEX(SPLIT($A$2,""_""),1)&amp;""\""&amp;INDEX(SPLIT($A$2,""_""),2)&amp;""\""&amp;SUBSTITUTE(SUBST"&amp;"ITUTE(SUBSTITUTE(SUBSTITUTE(SUBSTITUTE(INDEX(Hairstyles!$C:$C,MATCH($B347,Hairstyles!$F:$F,0)),"" "",""""),""'"",""""),""("",""""),"")"",""""),""-"",""_"")&amp;""_""&amp;$A$2)"),"KSHairdos-HDTSMP\Human\Female\KSSMP_SweetEscape_Human_Female")</f>
        <v>KSHairdos-HDTSMP\Human\Female\KSSMP_SweetEscape_Human_Female</v>
      </c>
      <c r="D347" s="12" t="str">
        <f t="shared" si="1"/>
        <v>Uvi_Wig_Spell_KS_SweetEscape,KSHairdos-HDTSMP\Human\Female\KSSMP_SweetEscape_Human_Female</v>
      </c>
    </row>
    <row r="348">
      <c r="B348" s="12" t="str">
        <f>IFERROR(__xludf.DUMMYFUNCTION("""COMPUTED_VALUE"""),"Uvi_Wig_Spell_KS_SweetScar")</f>
        <v>Uvi_Wig_Spell_KS_SweetScar</v>
      </c>
      <c r="C348" s="12" t="str">
        <f>IFERROR(__xludf.DUMMYFUNCTION("IF($B348="""","""",SUBSTITUTE(SUBSTITUTE(SUBSTITUTE(SUBSTITUTE(INDEX(Hairstyles!$A:$A,MATCH($B348,Hairstyles!$F:$F,0)),"" "",""""),""'"",""""),""("",""""),"")"","""")&amp;""\""&amp;INDEX(SPLIT($A$2,""_""),1)&amp;""\""&amp;INDEX(SPLIT($A$2,""_""),2)&amp;""\""&amp;SUBSTITUTE(SUBST"&amp;"ITUTE(SUBSTITUTE(SUBSTITUTE(SUBSTITUTE(INDEX(Hairstyles!$C:$C,MATCH($B348,Hairstyles!$F:$F,0)),"" "",""""),""'"",""""),""("",""""),"")"",""""),""-"",""_"")&amp;""_""&amp;$A$2)"),"KSHairdos-HDTSMP\Human\Female\KSSMP_SweetScar_Human_Female")</f>
        <v>KSHairdos-HDTSMP\Human\Female\KSSMP_SweetScar_Human_Female</v>
      </c>
      <c r="D348" s="12" t="str">
        <f t="shared" si="1"/>
        <v>Uvi_Wig_Spell_KS_SweetScar,KSHairdos-HDTSMP\Human\Female\KSSMP_SweetScar_Human_Female</v>
      </c>
    </row>
    <row r="349">
      <c r="B349" s="12" t="str">
        <f>IFERROR(__xludf.DUMMYFUNCTION("""COMPUTED_VALUE"""),"Uvi_Wig_Spell_KS_SweetScar2")</f>
        <v>Uvi_Wig_Spell_KS_SweetScar2</v>
      </c>
      <c r="C349" s="12" t="str">
        <f>IFERROR(__xludf.DUMMYFUNCTION("IF($B349="""","""",SUBSTITUTE(SUBSTITUTE(SUBSTITUTE(SUBSTITUTE(INDEX(Hairstyles!$A:$A,MATCH($B349,Hairstyles!$F:$F,0)),"" "",""""),""'"",""""),""("",""""),"")"","""")&amp;""\""&amp;INDEX(SPLIT($A$2,""_""),1)&amp;""\""&amp;INDEX(SPLIT($A$2,""_""),2)&amp;""\""&amp;SUBSTITUTE(SUBST"&amp;"ITUTE(SUBSTITUTE(SUBSTITUTE(SUBSTITUTE(INDEX(Hairstyles!$C:$C,MATCH($B349,Hairstyles!$F:$F,0)),"" "",""""),""'"",""""),""("",""""),"")"",""""),""-"",""_"")&amp;""_""&amp;$A$2)"),"KSHairdos-HDTSMP\Human\Female\KSSMP_SweetScar2_Human_Female")</f>
        <v>KSHairdos-HDTSMP\Human\Female\KSSMP_SweetScar2_Human_Female</v>
      </c>
      <c r="D349" s="12" t="str">
        <f t="shared" si="1"/>
        <v>Uvi_Wig_Spell_KS_SweetScar2,KSHairdos-HDTSMP\Human\Female\KSSMP_SweetScar2_Human_Female</v>
      </c>
    </row>
    <row r="350">
      <c r="B350" s="12" t="str">
        <f>IFERROR(__xludf.DUMMYFUNCTION("""COMPUTED_VALUE"""),"Uvi_Wig_Spell_KS_SweetVillain")</f>
        <v>Uvi_Wig_Spell_KS_SweetVillain</v>
      </c>
      <c r="C350" s="12" t="str">
        <f>IFERROR(__xludf.DUMMYFUNCTION("IF($B350="""","""",SUBSTITUTE(SUBSTITUTE(SUBSTITUTE(SUBSTITUTE(INDEX(Hairstyles!$A:$A,MATCH($B350,Hairstyles!$F:$F,0)),"" "",""""),""'"",""""),""("",""""),"")"","""")&amp;""\""&amp;INDEX(SPLIT($A$2,""_""),1)&amp;""\""&amp;INDEX(SPLIT($A$2,""_""),2)&amp;""\""&amp;SUBSTITUTE(SUBST"&amp;"ITUTE(SUBSTITUTE(SUBSTITUTE(SUBSTITUTE(INDEX(Hairstyles!$C:$C,MATCH($B350,Hairstyles!$F:$F,0)),"" "",""""),""'"",""""),""("",""""),"")"",""""),""-"",""_"")&amp;""_""&amp;$A$2)"),"KSHairdos-HDTSMP\Human\Female\KSSMP_SweetVillain_Human_Female")</f>
        <v>KSHairdos-HDTSMP\Human\Female\KSSMP_SweetVillain_Human_Female</v>
      </c>
      <c r="D350" s="12" t="str">
        <f t="shared" si="1"/>
        <v>Uvi_Wig_Spell_KS_SweetVillain,KSHairdos-HDTSMP\Human\Female\KSSMP_SweetVillain_Human_Female</v>
      </c>
    </row>
    <row r="351">
      <c r="B351" s="12" t="str">
        <f>IFERROR(__xludf.DUMMYFUNCTION("""COMPUTED_VALUE"""),"Uvi_Wig_Spell_KS_TellMe")</f>
        <v>Uvi_Wig_Spell_KS_TellMe</v>
      </c>
      <c r="C351" s="12" t="str">
        <f>IFERROR(__xludf.DUMMYFUNCTION("IF($B351="""","""",SUBSTITUTE(SUBSTITUTE(SUBSTITUTE(SUBSTITUTE(INDEX(Hairstyles!$A:$A,MATCH($B351,Hairstyles!$F:$F,0)),"" "",""""),""'"",""""),""("",""""),"")"","""")&amp;""\""&amp;INDEX(SPLIT($A$2,""_""),1)&amp;""\""&amp;INDEX(SPLIT($A$2,""_""),2)&amp;""\""&amp;SUBSTITUTE(SUBST"&amp;"ITUTE(SUBSTITUTE(SUBSTITUTE(SUBSTITUTE(INDEX(Hairstyles!$C:$C,MATCH($B351,Hairstyles!$F:$F,0)),"" "",""""),""'"",""""),""("",""""),"")"",""""),""-"",""_"")&amp;""_""&amp;$A$2)"),"KSHairdos-HDTSMP\Human\Female\KSSMP_TellMe_Human_Female")</f>
        <v>KSHairdos-HDTSMP\Human\Female\KSSMP_TellMe_Human_Female</v>
      </c>
      <c r="D351" s="12" t="str">
        <f t="shared" si="1"/>
        <v>Uvi_Wig_Spell_KS_TellMe,KSHairdos-HDTSMP\Human\Female\KSSMP_TellMe_Human_Female</v>
      </c>
    </row>
    <row r="352">
      <c r="B352" s="12" t="str">
        <f>IFERROR(__xludf.DUMMYFUNCTION("""COMPUTED_VALUE"""),"Uvi_Wig_Spell_KS_Tonight")</f>
        <v>Uvi_Wig_Spell_KS_Tonight</v>
      </c>
      <c r="C352" s="12" t="str">
        <f>IFERROR(__xludf.DUMMYFUNCTION("IF($B352="""","""",SUBSTITUTE(SUBSTITUTE(SUBSTITUTE(SUBSTITUTE(INDEX(Hairstyles!$A:$A,MATCH($B352,Hairstyles!$F:$F,0)),"" "",""""),""'"",""""),""("",""""),"")"","""")&amp;""\""&amp;INDEX(SPLIT($A$2,""_""),1)&amp;""\""&amp;INDEX(SPLIT($A$2,""_""),2)&amp;""\""&amp;SUBSTITUTE(SUBST"&amp;"ITUTE(SUBSTITUTE(SUBSTITUTE(SUBSTITUTE(INDEX(Hairstyles!$C:$C,MATCH($B352,Hairstyles!$F:$F,0)),"" "",""""),""'"",""""),""("",""""),"")"",""""),""-"",""_"")&amp;""_""&amp;$A$2)"),"KSHairdos-HDTSMP\Human\Female\KSSMP_Tonight_Human_Female")</f>
        <v>KSHairdos-HDTSMP\Human\Female\KSSMP_Tonight_Human_Female</v>
      </c>
      <c r="D352" s="12" t="str">
        <f t="shared" si="1"/>
        <v>Uvi_Wig_Spell_KS_Tonight,KSHairdos-HDTSMP\Human\Female\KSSMP_Tonight_Human_Female</v>
      </c>
    </row>
    <row r="353">
      <c r="B353" s="12" t="str">
        <f>IFERROR(__xludf.DUMMYFUNCTION("""COMPUTED_VALUE"""),"Uvi_Wig_Spell_KS_TopGorgeous")</f>
        <v>Uvi_Wig_Spell_KS_TopGorgeous</v>
      </c>
      <c r="C353" s="12" t="str">
        <f>IFERROR(__xludf.DUMMYFUNCTION("IF($B353="""","""",SUBSTITUTE(SUBSTITUTE(SUBSTITUTE(SUBSTITUTE(INDEX(Hairstyles!$A:$A,MATCH($B353,Hairstyles!$F:$F,0)),"" "",""""),""'"",""""),""("",""""),"")"","""")&amp;""\""&amp;INDEX(SPLIT($A$2,""_""),1)&amp;""\""&amp;INDEX(SPLIT($A$2,""_""),2)&amp;""\""&amp;SUBSTITUTE(SUBST"&amp;"ITUTE(SUBSTITUTE(SUBSTITUTE(SUBSTITUTE(INDEX(Hairstyles!$C:$C,MATCH($B353,Hairstyles!$F:$F,0)),"" "",""""),""'"",""""),""("",""""),"")"",""""),""-"",""_"")&amp;""_""&amp;$A$2)"),"KSHairdos-HDTSMP\Human\Female\KSSMP_TopGorgeous_Human_Female")</f>
        <v>KSHairdos-HDTSMP\Human\Female\KSSMP_TopGorgeous_Human_Female</v>
      </c>
      <c r="D353" s="12" t="str">
        <f t="shared" si="1"/>
        <v>Uvi_Wig_Spell_KS_TopGorgeous,KSHairdos-HDTSMP\Human\Female\KSSMP_TopGorgeous_Human_Female</v>
      </c>
    </row>
    <row r="354">
      <c r="B354" s="12" t="str">
        <f>IFERROR(__xludf.DUMMYFUNCTION("""COMPUTED_VALUE"""),"Uvi_Wig_Spell_KS_Traveler")</f>
        <v>Uvi_Wig_Spell_KS_Traveler</v>
      </c>
      <c r="C354" s="12" t="str">
        <f>IFERROR(__xludf.DUMMYFUNCTION("IF($B354="""","""",SUBSTITUTE(SUBSTITUTE(SUBSTITUTE(SUBSTITUTE(INDEX(Hairstyles!$A:$A,MATCH($B354,Hairstyles!$F:$F,0)),"" "",""""),""'"",""""),""("",""""),"")"","""")&amp;""\""&amp;INDEX(SPLIT($A$2,""_""),1)&amp;""\""&amp;INDEX(SPLIT($A$2,""_""),2)&amp;""\""&amp;SUBSTITUTE(SUBST"&amp;"ITUTE(SUBSTITUTE(SUBSTITUTE(SUBSTITUTE(INDEX(Hairstyles!$C:$C,MATCH($B354,Hairstyles!$F:$F,0)),"" "",""""),""'"",""""),""("",""""),"")"",""""),""-"",""_"")&amp;""_""&amp;$A$2)"),"KSHairdos-HDTSMP\Human\Female\KSSMP_Traveler_Human_Female")</f>
        <v>KSHairdos-HDTSMP\Human\Female\KSSMP_Traveler_Human_Female</v>
      </c>
      <c r="D354" s="12" t="str">
        <f t="shared" si="1"/>
        <v>Uvi_Wig_Spell_KS_Traveler,KSHairdos-HDTSMP\Human\Female\KSSMP_Traveler_Human_Female</v>
      </c>
    </row>
    <row r="355">
      <c r="B355" s="12" t="str">
        <f>IFERROR(__xludf.DUMMYFUNCTION("""COMPUTED_VALUE"""),"Uvi_Wig_Spell_KS_Vapor")</f>
        <v>Uvi_Wig_Spell_KS_Vapor</v>
      </c>
      <c r="C355" s="12" t="str">
        <f>IFERROR(__xludf.DUMMYFUNCTION("IF($B355="""","""",SUBSTITUTE(SUBSTITUTE(SUBSTITUTE(SUBSTITUTE(INDEX(Hairstyles!$A:$A,MATCH($B355,Hairstyles!$F:$F,0)),"" "",""""),""'"",""""),""("",""""),"")"","""")&amp;""\""&amp;INDEX(SPLIT($A$2,""_""),1)&amp;""\""&amp;INDEX(SPLIT($A$2,""_""),2)&amp;""\""&amp;SUBSTITUTE(SUBST"&amp;"ITUTE(SUBSTITUTE(SUBSTITUTE(SUBSTITUTE(INDEX(Hairstyles!$C:$C,MATCH($B355,Hairstyles!$F:$F,0)),"" "",""""),""'"",""""),""("",""""),"")"",""""),""-"",""_"")&amp;""_""&amp;$A$2)"),"KSHairdos-HDTSMP\Human\Female\KSSMP_Vapor_Human_Female")</f>
        <v>KSHairdos-HDTSMP\Human\Female\KSSMP_Vapor_Human_Female</v>
      </c>
      <c r="D355" s="12" t="str">
        <f t="shared" si="1"/>
        <v>Uvi_Wig_Spell_KS_Vapor,KSHairdos-HDTSMP\Human\Female\KSSMP_Vapor_Human_Female</v>
      </c>
    </row>
    <row r="356">
      <c r="B356" s="12" t="str">
        <f>IFERROR(__xludf.DUMMYFUNCTION("""COMPUTED_VALUE"""),"Uvi_Wig_Spell_KS_Veneris")</f>
        <v>Uvi_Wig_Spell_KS_Veneris</v>
      </c>
      <c r="C356" s="12" t="str">
        <f>IFERROR(__xludf.DUMMYFUNCTION("IF($B356="""","""",SUBSTITUTE(SUBSTITUTE(SUBSTITUTE(SUBSTITUTE(INDEX(Hairstyles!$A:$A,MATCH($B356,Hairstyles!$F:$F,0)),"" "",""""),""'"",""""),""("",""""),"")"","""")&amp;""\""&amp;INDEX(SPLIT($A$2,""_""),1)&amp;""\""&amp;INDEX(SPLIT($A$2,""_""),2)&amp;""\""&amp;SUBSTITUTE(SUBST"&amp;"ITUTE(SUBSTITUTE(SUBSTITUTE(SUBSTITUTE(INDEX(Hairstyles!$C:$C,MATCH($B356,Hairstyles!$F:$F,0)),"" "",""""),""'"",""""),""("",""""),"")"",""""),""-"",""_"")&amp;""_""&amp;$A$2)"),"KSHairdos-HDTSMP\Human\Female\KSSMP_Veneris_Human_Female")</f>
        <v>KSHairdos-HDTSMP\Human\Female\KSSMP_Veneris_Human_Female</v>
      </c>
      <c r="D356" s="12" t="str">
        <f t="shared" si="1"/>
        <v>Uvi_Wig_Spell_KS_Veneris,KSHairdos-HDTSMP\Human\Female\KSSMP_Veneris_Human_Female</v>
      </c>
    </row>
    <row r="357">
      <c r="B357" s="12" t="str">
        <f>IFERROR(__xludf.DUMMYFUNCTION("""COMPUTED_VALUE"""),"Uvi_Wig_Spell_KS_ViceCity")</f>
        <v>Uvi_Wig_Spell_KS_ViceCity</v>
      </c>
      <c r="C357" s="12" t="str">
        <f>IFERROR(__xludf.DUMMYFUNCTION("IF($B357="""","""",SUBSTITUTE(SUBSTITUTE(SUBSTITUTE(SUBSTITUTE(INDEX(Hairstyles!$A:$A,MATCH($B357,Hairstyles!$F:$F,0)),"" "",""""),""'"",""""),""("",""""),"")"","""")&amp;""\""&amp;INDEX(SPLIT($A$2,""_""),1)&amp;""\""&amp;INDEX(SPLIT($A$2,""_""),2)&amp;""\""&amp;SUBSTITUTE(SUBST"&amp;"ITUTE(SUBSTITUTE(SUBSTITUTE(SUBSTITUTE(INDEX(Hairstyles!$C:$C,MATCH($B357,Hairstyles!$F:$F,0)),"" "",""""),""'"",""""),""("",""""),"")"",""""),""-"",""_"")&amp;""_""&amp;$A$2)"),"KSHairdos-HDTSMP\Human\Female\KSSMP_ViceCity_Human_Female")</f>
        <v>KSHairdos-HDTSMP\Human\Female\KSSMP_ViceCity_Human_Female</v>
      </c>
      <c r="D357" s="12" t="str">
        <f t="shared" si="1"/>
        <v>Uvi_Wig_Spell_KS_ViceCity,KSHairdos-HDTSMP\Human\Female\KSSMP_ViceCity_Human_Female</v>
      </c>
    </row>
    <row r="358">
      <c r="B358" s="12" t="str">
        <f>IFERROR(__xludf.DUMMYFUNCTION("""COMPUTED_VALUE"""),"Uvi_Wig_Spell_KS_Vivacity")</f>
        <v>Uvi_Wig_Spell_KS_Vivacity</v>
      </c>
      <c r="C358" s="12" t="str">
        <f>IFERROR(__xludf.DUMMYFUNCTION("IF($B358="""","""",SUBSTITUTE(SUBSTITUTE(SUBSTITUTE(SUBSTITUTE(INDEX(Hairstyles!$A:$A,MATCH($B358,Hairstyles!$F:$F,0)),"" "",""""),""'"",""""),""("",""""),"")"","""")&amp;""\""&amp;INDEX(SPLIT($A$2,""_""),1)&amp;""\""&amp;INDEX(SPLIT($A$2,""_""),2)&amp;""\""&amp;SUBSTITUTE(SUBST"&amp;"ITUTE(SUBSTITUTE(SUBSTITUTE(SUBSTITUTE(INDEX(Hairstyles!$C:$C,MATCH($B358,Hairstyles!$F:$F,0)),"" "",""""),""'"",""""),""("",""""),"")"",""""),""-"",""_"")&amp;""_""&amp;$A$2)"),"KSHairdos-HDTSMP\Human\Female\KSSMP_Vivacity_Human_Female")</f>
        <v>KSHairdos-HDTSMP\Human\Female\KSSMP_Vivacity_Human_Female</v>
      </c>
      <c r="D358" s="12" t="str">
        <f t="shared" si="1"/>
        <v>Uvi_Wig_Spell_KS_Vivacity,KSHairdos-HDTSMP\Human\Female\KSSMP_Vivacity_Human_Female</v>
      </c>
    </row>
    <row r="359">
      <c r="B359" s="12" t="str">
        <f>IFERROR(__xludf.DUMMYFUNCTION("""COMPUTED_VALUE"""),"Uvi_Wig_Spell_KS_Wine")</f>
        <v>Uvi_Wig_Spell_KS_Wine</v>
      </c>
      <c r="C359" s="12" t="str">
        <f>IFERROR(__xludf.DUMMYFUNCTION("IF($B359="""","""",SUBSTITUTE(SUBSTITUTE(SUBSTITUTE(SUBSTITUTE(INDEX(Hairstyles!$A:$A,MATCH($B359,Hairstyles!$F:$F,0)),"" "",""""),""'"",""""),""("",""""),"")"","""")&amp;""\""&amp;INDEX(SPLIT($A$2,""_""),1)&amp;""\""&amp;INDEX(SPLIT($A$2,""_""),2)&amp;""\""&amp;SUBSTITUTE(SUBST"&amp;"ITUTE(SUBSTITUTE(SUBSTITUTE(SUBSTITUTE(INDEX(Hairstyles!$C:$C,MATCH($B359,Hairstyles!$F:$F,0)),"" "",""""),""'"",""""),""("",""""),"")"",""""),""-"",""_"")&amp;""_""&amp;$A$2)"),"KSHairdos-HDTSMP\Human\Female\KSSMP_Wine_Human_Female")</f>
        <v>KSHairdos-HDTSMP\Human\Female\KSSMP_Wine_Human_Female</v>
      </c>
      <c r="D359" s="12" t="str">
        <f t="shared" si="1"/>
        <v>Uvi_Wig_Spell_KS_Wine,KSHairdos-HDTSMP\Human\Female\KSSMP_Wine_Human_Female</v>
      </c>
    </row>
    <row r="360">
      <c r="B360" s="12" t="str">
        <f>IFERROR(__xludf.DUMMYFUNCTION("""COMPUTED_VALUE"""),"Uvi_Wig_Spell_KS_XOXO")</f>
        <v>Uvi_Wig_Spell_KS_XOXO</v>
      </c>
      <c r="C360" s="12" t="str">
        <f>IFERROR(__xludf.DUMMYFUNCTION("IF($B360="""","""",SUBSTITUTE(SUBSTITUTE(SUBSTITUTE(SUBSTITUTE(INDEX(Hairstyles!$A:$A,MATCH($B360,Hairstyles!$F:$F,0)),"" "",""""),""'"",""""),""("",""""),"")"","""")&amp;""\""&amp;INDEX(SPLIT($A$2,""_""),1)&amp;""\""&amp;INDEX(SPLIT($A$2,""_""),2)&amp;""\""&amp;SUBSTITUTE(SUBST"&amp;"ITUTE(SUBSTITUTE(SUBSTITUTE(SUBSTITUTE(INDEX(Hairstyles!$C:$C,MATCH($B360,Hairstyles!$F:$F,0)),"" "",""""),""'"",""""),""("",""""),"")"",""""),""-"",""_"")&amp;""_""&amp;$A$2)"),"KSHairdos-HDTSMP\Human\Female\KSSMP_XOXO_Human_Female")</f>
        <v>KSHairdos-HDTSMP\Human\Female\KSSMP_XOXO_Human_Female</v>
      </c>
      <c r="D360" s="12" t="str">
        <f t="shared" si="1"/>
        <v>Uvi_Wig_Spell_KS_XOXO,KSHairdos-HDTSMP\Human\Female\KSSMP_XOXO_Human_Female</v>
      </c>
    </row>
    <row r="361">
      <c r="B361" s="12" t="str">
        <f>IFERROR(__xludf.DUMMYFUNCTION("""COMPUTED_VALUE"""),"Uvi_Wig_Spell_KS_Youth")</f>
        <v>Uvi_Wig_Spell_KS_Youth</v>
      </c>
      <c r="C361" s="12" t="str">
        <f>IFERROR(__xludf.DUMMYFUNCTION("IF($B361="""","""",SUBSTITUTE(SUBSTITUTE(SUBSTITUTE(SUBSTITUTE(INDEX(Hairstyles!$A:$A,MATCH($B361,Hairstyles!$F:$F,0)),"" "",""""),""'"",""""),""("",""""),"")"","""")&amp;""\""&amp;INDEX(SPLIT($A$2,""_""),1)&amp;""\""&amp;INDEX(SPLIT($A$2,""_""),2)&amp;""\""&amp;SUBSTITUTE(SUBST"&amp;"ITUTE(SUBSTITUTE(SUBSTITUTE(SUBSTITUTE(INDEX(Hairstyles!$C:$C,MATCH($B361,Hairstyles!$F:$F,0)),"" "",""""),""'"",""""),""("",""""),"")"",""""),""-"",""_"")&amp;""_""&amp;$A$2)"),"KSHairdos-HDTSMP\Human\Female\KSSMP_Youth_Human_Female")</f>
        <v>KSHairdos-HDTSMP\Human\Female\KSSMP_Youth_Human_Female</v>
      </c>
      <c r="D361" s="12" t="str">
        <f t="shared" si="1"/>
        <v>Uvi_Wig_Spell_KS_Youth,KSHairdos-HDTSMP\Human\Female\KSSMP_Youth_Human_Female</v>
      </c>
    </row>
    <row r="362">
      <c r="B362" s="12" t="str">
        <f>IFERROR(__xludf.DUMMYFUNCTION("""COMPUTED_VALUE"""),"Uvi_Wig_Spell_KS_Zoella")</f>
        <v>Uvi_Wig_Spell_KS_Zoella</v>
      </c>
      <c r="C362" s="12" t="str">
        <f>IFERROR(__xludf.DUMMYFUNCTION("IF($B362="""","""",SUBSTITUTE(SUBSTITUTE(SUBSTITUTE(SUBSTITUTE(INDEX(Hairstyles!$A:$A,MATCH($B362,Hairstyles!$F:$F,0)),"" "",""""),""'"",""""),""("",""""),"")"","""")&amp;""\""&amp;INDEX(SPLIT($A$2,""_""),1)&amp;""\""&amp;INDEX(SPLIT($A$2,""_""),2)&amp;""\""&amp;SUBSTITUTE(SUBST"&amp;"ITUTE(SUBSTITUTE(SUBSTITUTE(SUBSTITUTE(INDEX(Hairstyles!$C:$C,MATCH($B362,Hairstyles!$F:$F,0)),"" "",""""),""'"",""""),""("",""""),"")"",""""),""-"",""_"")&amp;""_""&amp;$A$2)"),"KSHairdos-HDTSMP\Human\Female\KSSMP_Zoella_Human_Female")</f>
        <v>KSHairdos-HDTSMP\Human\Female\KSSMP_Zoella_Human_Female</v>
      </c>
      <c r="D362" s="12" t="str">
        <f t="shared" si="1"/>
        <v>Uvi_Wig_Spell_KS_Zoella,KSHairdos-HDTSMP\Human\Female\KSSMP_Zoella_Human_Female</v>
      </c>
    </row>
    <row r="363">
      <c r="B363" s="12" t="str">
        <f>IFERROR(__xludf.DUMMYFUNCTION("""COMPUTED_VALUE"""),"Uvi_Wig_Spell_Evg_Dove")</f>
        <v>Uvi_Wig_Spell_Evg_Dove</v>
      </c>
      <c r="C363" s="12" t="str">
        <f>IFERROR(__xludf.DUMMYFUNCTION("IF($B363="""","""",SUBSTITUTE(SUBSTITUTE(SUBSTITUTE(SUBSTITUTE(INDEX(Hairstyles!$A:$A,MATCH($B363,Hairstyles!$F:$F,0)),"" "",""""),""'"",""""),""("",""""),"")"","""")&amp;""\""&amp;INDEX(SPLIT($A$2,""_""),1)&amp;""\""&amp;INDEX(SPLIT($A$2,""_""),2)&amp;""\""&amp;SUBSTITUTE(SUBST"&amp;"ITUTE(SUBSTITUTE(SUBSTITUTE(SUBSTITUTE(INDEX(Hairstyles!$C:$C,MATCH($B363,Hairstyles!$F:$F,0)),"" "",""""),""'"",""""),""("",""""),"")"",""""),""-"",""_"")&amp;""_""&amp;$A$2)"),"ModularSMPHair\Human\Female\ModularSMPHair_Dove_Human_Female")</f>
        <v>ModularSMPHair\Human\Female\ModularSMPHair_Dove_Human_Female</v>
      </c>
      <c r="D363" s="12" t="str">
        <f t="shared" si="1"/>
        <v>Uvi_Wig_Spell_Evg_Dove,ModularSMPHair\Human\Female\ModularSMPHair_Dove_Human_Female</v>
      </c>
    </row>
    <row r="364">
      <c r="B364" s="12" t="str">
        <f>IFERROR(__xludf.DUMMYFUNCTION("""COMPUTED_VALUE"""),"Uvi_Wig_Spell_Evg_Eventually")</f>
        <v>Uvi_Wig_Spell_Evg_Eventually</v>
      </c>
      <c r="C364" s="12" t="str">
        <f>IFERROR(__xludf.DUMMYFUNCTION("IF($B364="""","""",SUBSTITUTE(SUBSTITUTE(SUBSTITUTE(SUBSTITUTE(INDEX(Hairstyles!$A:$A,MATCH($B364,Hairstyles!$F:$F,0)),"" "",""""),""'"",""""),""("",""""),"")"","""")&amp;""\""&amp;INDEX(SPLIT($A$2,""_""),1)&amp;""\""&amp;INDEX(SPLIT($A$2,""_""),2)&amp;""\""&amp;SUBSTITUTE(SUBST"&amp;"ITUTE(SUBSTITUTE(SUBSTITUTE(SUBSTITUTE(INDEX(Hairstyles!$C:$C,MATCH($B364,Hairstyles!$F:$F,0)),"" "",""""),""'"",""""),""("",""""),"")"",""""),""-"",""_"")&amp;""_""&amp;$A$2)"),"ModularSMPHair\Human\Female\ModularSMPHair_Eventually_Human_Female")</f>
        <v>ModularSMPHair\Human\Female\ModularSMPHair_Eventually_Human_Female</v>
      </c>
      <c r="D364" s="12" t="str">
        <f t="shared" si="1"/>
        <v>Uvi_Wig_Spell_Evg_Eventually,ModularSMPHair\Human\Female\ModularSMPHair_Eventually_Human_Female</v>
      </c>
    </row>
    <row r="365">
      <c r="B365" s="12" t="str">
        <f>IFERROR(__xludf.DUMMYFUNCTION("""COMPUTED_VALUE"""),"Uvi_Wig_Spell_Evg_Intensity")</f>
        <v>Uvi_Wig_Spell_Evg_Intensity</v>
      </c>
      <c r="C365" s="12" t="str">
        <f>IFERROR(__xludf.DUMMYFUNCTION("IF($B365="""","""",SUBSTITUTE(SUBSTITUTE(SUBSTITUTE(SUBSTITUTE(INDEX(Hairstyles!$A:$A,MATCH($B365,Hairstyles!$F:$F,0)),"" "",""""),""'"",""""),""("",""""),"")"","""")&amp;""\""&amp;INDEX(SPLIT($A$2,""_""),1)&amp;""\""&amp;INDEX(SPLIT($A$2,""_""),2)&amp;""\""&amp;SUBSTITUTE(SUBST"&amp;"ITUTE(SUBSTITUTE(SUBSTITUTE(SUBSTITUTE(INDEX(Hairstyles!$C:$C,MATCH($B365,Hairstyles!$F:$F,0)),"" "",""""),""'"",""""),""("",""""),"")"",""""),""-"",""_"")&amp;""_""&amp;$A$2)"),"ModularSMPHair\Human\Female\ModularSMPHair_Intensity_Human_Female")</f>
        <v>ModularSMPHair\Human\Female\ModularSMPHair_Intensity_Human_Female</v>
      </c>
      <c r="D365" s="12" t="str">
        <f t="shared" si="1"/>
        <v>Uvi_Wig_Spell_Evg_Intensity,ModularSMPHair\Human\Female\ModularSMPHair_Intensity_Human_Female</v>
      </c>
    </row>
    <row r="366">
      <c r="B366" s="12" t="str">
        <f>IFERROR(__xludf.DUMMYFUNCTION("""COMPUTED_VALUE"""),"Uvi_Wig_Spell_Evg_Oracle")</f>
        <v>Uvi_Wig_Spell_Evg_Oracle</v>
      </c>
      <c r="C366" s="12" t="str">
        <f>IFERROR(__xludf.DUMMYFUNCTION("IF($B366="""","""",SUBSTITUTE(SUBSTITUTE(SUBSTITUTE(SUBSTITUTE(INDEX(Hairstyles!$A:$A,MATCH($B366,Hairstyles!$F:$F,0)),"" "",""""),""'"",""""),""("",""""),"")"","""")&amp;""\""&amp;INDEX(SPLIT($A$2,""_""),1)&amp;""\""&amp;INDEX(SPLIT($A$2,""_""),2)&amp;""\""&amp;SUBSTITUTE(SUBST"&amp;"ITUTE(SUBSTITUTE(SUBSTITUTE(SUBSTITUTE(INDEX(Hairstyles!$C:$C,MATCH($B366,Hairstyles!$F:$F,0)),"" "",""""),""'"",""""),""("",""""),"")"",""""),""-"",""_"")&amp;""_""&amp;$A$2)"),"ModularSMPHair\Human\Female\ModularSMPHair_Oracle_Human_Female")</f>
        <v>ModularSMPHair\Human\Female\ModularSMPHair_Oracle_Human_Female</v>
      </c>
      <c r="D366" s="12" t="str">
        <f t="shared" si="1"/>
        <v>Uvi_Wig_Spell_Evg_Oracle,ModularSMPHair\Human\Female\ModularSMPHair_Oracle_Human_Female</v>
      </c>
    </row>
    <row r="367">
      <c r="B367" s="12" t="str">
        <f>IFERROR(__xludf.DUMMYFUNCTION("""COMPUTED_VALUE"""),"Uvi_Wig_Spell_Evg_Rogueish")</f>
        <v>Uvi_Wig_Spell_Evg_Rogueish</v>
      </c>
      <c r="C367" s="12" t="str">
        <f>IFERROR(__xludf.DUMMYFUNCTION("IF($B367="""","""",SUBSTITUTE(SUBSTITUTE(SUBSTITUTE(SUBSTITUTE(INDEX(Hairstyles!$A:$A,MATCH($B367,Hairstyles!$F:$F,0)),"" "",""""),""'"",""""),""("",""""),"")"","""")&amp;""\""&amp;INDEX(SPLIT($A$2,""_""),1)&amp;""\""&amp;INDEX(SPLIT($A$2,""_""),2)&amp;""\""&amp;SUBSTITUTE(SUBST"&amp;"ITUTE(SUBSTITUTE(SUBSTITUTE(SUBSTITUTE(INDEX(Hairstyles!$C:$C,MATCH($B367,Hairstyles!$F:$F,0)),"" "",""""),""'"",""""),""("",""""),"")"",""""),""-"",""_"")&amp;""_""&amp;$A$2)"),"ModularSMPHair\Human\Female\ModularSMPHair_Rogueish_Human_Female")</f>
        <v>ModularSMPHair\Human\Female\ModularSMPHair_Rogueish_Human_Female</v>
      </c>
      <c r="D367" s="12" t="str">
        <f t="shared" si="1"/>
        <v>Uvi_Wig_Spell_Evg_Rogueish,ModularSMPHair\Human\Female\ModularSMPHair_Rogueish_Human_Female</v>
      </c>
    </row>
    <row r="368">
      <c r="B368" s="12" t="str">
        <f>IFERROR(__xludf.DUMMYFUNCTION("""COMPUTED_VALUE"""),"Uvi_Wig_Spell_Evg_Scryer")</f>
        <v>Uvi_Wig_Spell_Evg_Scryer</v>
      </c>
      <c r="C368" s="12" t="str">
        <f>IFERROR(__xludf.DUMMYFUNCTION("IF($B368="""","""",SUBSTITUTE(SUBSTITUTE(SUBSTITUTE(SUBSTITUTE(INDEX(Hairstyles!$A:$A,MATCH($B368,Hairstyles!$F:$F,0)),"" "",""""),""'"",""""),""("",""""),"")"","""")&amp;""\""&amp;INDEX(SPLIT($A$2,""_""),1)&amp;""\""&amp;INDEX(SPLIT($A$2,""_""),2)&amp;""\""&amp;SUBSTITUTE(SUBST"&amp;"ITUTE(SUBSTITUTE(SUBSTITUTE(SUBSTITUTE(INDEX(Hairstyles!$C:$C,MATCH($B368,Hairstyles!$F:$F,0)),"" "",""""),""'"",""""),""("",""""),"")"",""""),""-"",""_"")&amp;""_""&amp;$A$2)"),"ModularSMPHair\Human\Female\ModularSMPHair_Scryer_Human_Female")</f>
        <v>ModularSMPHair\Human\Female\ModularSMPHair_Scryer_Human_Female</v>
      </c>
      <c r="D368" s="12" t="str">
        <f t="shared" si="1"/>
        <v>Uvi_Wig_Spell_Evg_Scryer,ModularSMPHair\Human\Female\ModularSMPHair_Scryer_Human_Female</v>
      </c>
    </row>
    <row r="369">
      <c r="B369" s="12" t="str">
        <f>IFERROR(__xludf.DUMMYFUNCTION("""COMPUTED_VALUE"""),"Uvi_Wig_Spell_Evg_A")</f>
        <v>Uvi_Wig_Spell_Evg_A</v>
      </c>
      <c r="C369" s="12" t="str">
        <f>IFERROR(__xludf.DUMMYFUNCTION("IF($B369="""","""",SUBSTITUTE(SUBSTITUTE(SUBSTITUTE(SUBSTITUTE(INDEX(Hairstyles!$A:$A,MATCH($B369,Hairstyles!$F:$F,0)),"" "",""""),""'"",""""),""("",""""),"")"","""")&amp;""\""&amp;INDEX(SPLIT($A$2,""_""),1)&amp;""\""&amp;INDEX(SPLIT($A$2,""_""),2)&amp;""\""&amp;SUBSTITUTE(SUBST"&amp;"ITUTE(SUBSTITUTE(SUBSTITUTE(SUBSTITUTE(INDEX(Hairstyles!$C:$C,MATCH($B369,Hairstyles!$F:$F,0)),"" "",""""),""'"",""""),""("",""""),"")"",""""),""-"",""_"")&amp;""_""&amp;$A$2)"),"ModularSMPHair\Human\Female\ModularSMPHair_A_Human_Female")</f>
        <v>ModularSMPHair\Human\Female\ModularSMPHair_A_Human_Female</v>
      </c>
      <c r="D369" s="12" t="str">
        <f t="shared" si="1"/>
        <v>Uvi_Wig_Spell_Evg_A,ModularSMPHair\Human\Female\ModularSMPHair_A_Human_Female</v>
      </c>
    </row>
    <row r="370">
      <c r="B370" s="12" t="str">
        <f>IFERROR(__xludf.DUMMYFUNCTION("""COMPUTED_VALUE"""),"Uvi_Wig_Spell_Evg_A-A")</f>
        <v>Uvi_Wig_Spell_Evg_A-A</v>
      </c>
      <c r="C370" s="12" t="str">
        <f>IFERROR(__xludf.DUMMYFUNCTION("IF($B370="""","""",SUBSTITUTE(SUBSTITUTE(SUBSTITUTE(SUBSTITUTE(INDEX(Hairstyles!$A:$A,MATCH($B370,Hairstyles!$F:$F,0)),"" "",""""),""'"",""""),""("",""""),"")"","""")&amp;""\""&amp;INDEX(SPLIT($A$2,""_""),1)&amp;""\""&amp;INDEX(SPLIT($A$2,""_""),2)&amp;""\""&amp;SUBSTITUTE(SUBST"&amp;"ITUTE(SUBSTITUTE(SUBSTITUTE(SUBSTITUTE(INDEX(Hairstyles!$C:$C,MATCH($B370,Hairstyles!$F:$F,0)),"" "",""""),""'"",""""),""("",""""),"")"",""""),""-"",""_"")&amp;""_""&amp;$A$2)"),"ModularSMPHair\Human\Female\ModularSMPHair_AA_Human_Female")</f>
        <v>ModularSMPHair\Human\Female\ModularSMPHair_AA_Human_Female</v>
      </c>
      <c r="D370" s="12" t="str">
        <f t="shared" si="1"/>
        <v>Uvi_Wig_Spell_Evg_A-A,ModularSMPHair\Human\Female\ModularSMPHair_AA_Human_Female</v>
      </c>
    </row>
    <row r="371">
      <c r="B371" s="12" t="str">
        <f>IFERROR(__xludf.DUMMYFUNCTION("""COMPUTED_VALUE"""),"Uvi_Wig_Spell_Evg_A-B")</f>
        <v>Uvi_Wig_Spell_Evg_A-B</v>
      </c>
      <c r="C371" s="12" t="str">
        <f>IFERROR(__xludf.DUMMYFUNCTION("IF($B371="""","""",SUBSTITUTE(SUBSTITUTE(SUBSTITUTE(SUBSTITUTE(INDEX(Hairstyles!$A:$A,MATCH($B371,Hairstyles!$F:$F,0)),"" "",""""),""'"",""""),""("",""""),"")"","""")&amp;""\""&amp;INDEX(SPLIT($A$2,""_""),1)&amp;""\""&amp;INDEX(SPLIT($A$2,""_""),2)&amp;""\""&amp;SUBSTITUTE(SUBST"&amp;"ITUTE(SUBSTITUTE(SUBSTITUTE(SUBSTITUTE(INDEX(Hairstyles!$C:$C,MATCH($B371,Hairstyles!$F:$F,0)),"" "",""""),""'"",""""),""("",""""),"")"",""""),""-"",""_"")&amp;""_""&amp;$A$2)"),"ModularSMPHair\Human\Female\ModularSMPHair_AB_Human_Female")</f>
        <v>ModularSMPHair\Human\Female\ModularSMPHair_AB_Human_Female</v>
      </c>
      <c r="D371" s="12" t="str">
        <f t="shared" si="1"/>
        <v>Uvi_Wig_Spell_Evg_A-B,ModularSMPHair\Human\Female\ModularSMPHair_AB_Human_Female</v>
      </c>
    </row>
    <row r="372">
      <c r="B372" s="12" t="str">
        <f>IFERROR(__xludf.DUMMYFUNCTION("""COMPUTED_VALUE"""),"Uvi_Wig_Spell_Evg_A-C")</f>
        <v>Uvi_Wig_Spell_Evg_A-C</v>
      </c>
      <c r="C372" s="12" t="str">
        <f>IFERROR(__xludf.DUMMYFUNCTION("IF($B372="""","""",SUBSTITUTE(SUBSTITUTE(SUBSTITUTE(SUBSTITUTE(INDEX(Hairstyles!$A:$A,MATCH($B372,Hairstyles!$F:$F,0)),"" "",""""),""'"",""""),""("",""""),"")"","""")&amp;""\""&amp;INDEX(SPLIT($A$2,""_""),1)&amp;""\""&amp;INDEX(SPLIT($A$2,""_""),2)&amp;""\""&amp;SUBSTITUTE(SUBST"&amp;"ITUTE(SUBSTITUTE(SUBSTITUTE(SUBSTITUTE(INDEX(Hairstyles!$C:$C,MATCH($B372,Hairstyles!$F:$F,0)),"" "",""""),""'"",""""),""("",""""),"")"",""""),""-"",""_"")&amp;""_""&amp;$A$2)"),"ModularSMPHair\Human\Female\ModularSMPHair_AC_Human_Female")</f>
        <v>ModularSMPHair\Human\Female\ModularSMPHair_AC_Human_Female</v>
      </c>
      <c r="D372" s="12" t="str">
        <f t="shared" si="1"/>
        <v>Uvi_Wig_Spell_Evg_A-C,ModularSMPHair\Human\Female\ModularSMPHair_AC_Human_Female</v>
      </c>
    </row>
    <row r="373">
      <c r="B373" s="12" t="str">
        <f>IFERROR(__xludf.DUMMYFUNCTION("""COMPUTED_VALUE"""),"Uvi_Wig_Spell_Evg_A-D")</f>
        <v>Uvi_Wig_Spell_Evg_A-D</v>
      </c>
      <c r="C373" s="12" t="str">
        <f>IFERROR(__xludf.DUMMYFUNCTION("IF($B373="""","""",SUBSTITUTE(SUBSTITUTE(SUBSTITUTE(SUBSTITUTE(INDEX(Hairstyles!$A:$A,MATCH($B373,Hairstyles!$F:$F,0)),"" "",""""),""'"",""""),""("",""""),"")"","""")&amp;""\""&amp;INDEX(SPLIT($A$2,""_""),1)&amp;""\""&amp;INDEX(SPLIT($A$2,""_""),2)&amp;""\""&amp;SUBSTITUTE(SUBST"&amp;"ITUTE(SUBSTITUTE(SUBSTITUTE(SUBSTITUTE(INDEX(Hairstyles!$C:$C,MATCH($B373,Hairstyles!$F:$F,0)),"" "",""""),""'"",""""),""("",""""),"")"",""""),""-"",""_"")&amp;""_""&amp;$A$2)"),"ModularSMPHair\Human\Female\ModularSMPHair_AD_Human_Female")</f>
        <v>ModularSMPHair\Human\Female\ModularSMPHair_AD_Human_Female</v>
      </c>
      <c r="D373" s="12" t="str">
        <f t="shared" si="1"/>
        <v>Uvi_Wig_Spell_Evg_A-D,ModularSMPHair\Human\Female\ModularSMPHair_AD_Human_Female</v>
      </c>
    </row>
    <row r="374">
      <c r="B374" s="12" t="str">
        <f>IFERROR(__xludf.DUMMYFUNCTION("""COMPUTED_VALUE"""),"Uvi_Wig_Spell_Evg_A-E")</f>
        <v>Uvi_Wig_Spell_Evg_A-E</v>
      </c>
      <c r="C374" s="12" t="str">
        <f>IFERROR(__xludf.DUMMYFUNCTION("IF($B374="""","""",SUBSTITUTE(SUBSTITUTE(SUBSTITUTE(SUBSTITUTE(INDEX(Hairstyles!$A:$A,MATCH($B374,Hairstyles!$F:$F,0)),"" "",""""),""'"",""""),""("",""""),"")"","""")&amp;""\""&amp;INDEX(SPLIT($A$2,""_""),1)&amp;""\""&amp;INDEX(SPLIT($A$2,""_""),2)&amp;""\""&amp;SUBSTITUTE(SUBST"&amp;"ITUTE(SUBSTITUTE(SUBSTITUTE(SUBSTITUTE(INDEX(Hairstyles!$C:$C,MATCH($B374,Hairstyles!$F:$F,0)),"" "",""""),""'"",""""),""("",""""),"")"",""""),""-"",""_"")&amp;""_""&amp;$A$2)"),"ModularSMPHair\Human\Female\ModularSMPHair_AE_Human_Female")</f>
        <v>ModularSMPHair\Human\Female\ModularSMPHair_AE_Human_Female</v>
      </c>
      <c r="D374" s="12" t="str">
        <f t="shared" si="1"/>
        <v>Uvi_Wig_Spell_Evg_A-E,ModularSMPHair\Human\Female\ModularSMPHair_AE_Human_Female</v>
      </c>
    </row>
    <row r="375">
      <c r="B375" s="12" t="str">
        <f>IFERROR(__xludf.DUMMYFUNCTION("""COMPUTED_VALUE"""),"Uvi_Wig_Spell_Evg_A-F")</f>
        <v>Uvi_Wig_Spell_Evg_A-F</v>
      </c>
      <c r="C375" s="12" t="str">
        <f>IFERROR(__xludf.DUMMYFUNCTION("IF($B375="""","""",SUBSTITUTE(SUBSTITUTE(SUBSTITUTE(SUBSTITUTE(INDEX(Hairstyles!$A:$A,MATCH($B375,Hairstyles!$F:$F,0)),"" "",""""),""'"",""""),""("",""""),"")"","""")&amp;""\""&amp;INDEX(SPLIT($A$2,""_""),1)&amp;""\""&amp;INDEX(SPLIT($A$2,""_""),2)&amp;""\""&amp;SUBSTITUTE(SUBST"&amp;"ITUTE(SUBSTITUTE(SUBSTITUTE(SUBSTITUTE(INDEX(Hairstyles!$C:$C,MATCH($B375,Hairstyles!$F:$F,0)),"" "",""""),""'"",""""),""("",""""),"")"",""""),""-"",""_"")&amp;""_""&amp;$A$2)"),"ModularSMPHair\Human\Female\ModularSMPHair_AF_Human_Female")</f>
        <v>ModularSMPHair\Human\Female\ModularSMPHair_AF_Human_Female</v>
      </c>
      <c r="D375" s="12" t="str">
        <f t="shared" si="1"/>
        <v>Uvi_Wig_Spell_Evg_A-F,ModularSMPHair\Human\Female\ModularSMPHair_AF_Human_Female</v>
      </c>
    </row>
    <row r="376">
      <c r="B376" s="12" t="str">
        <f>IFERROR(__xludf.DUMMYFUNCTION("""COMPUTED_VALUE"""),"Uvi_Wig_Spell_Evg_A-G")</f>
        <v>Uvi_Wig_Spell_Evg_A-G</v>
      </c>
      <c r="C376" s="12" t="str">
        <f>IFERROR(__xludf.DUMMYFUNCTION("IF($B376="""","""",SUBSTITUTE(SUBSTITUTE(SUBSTITUTE(SUBSTITUTE(INDEX(Hairstyles!$A:$A,MATCH($B376,Hairstyles!$F:$F,0)),"" "",""""),""'"",""""),""("",""""),"")"","""")&amp;""\""&amp;INDEX(SPLIT($A$2,""_""),1)&amp;""\""&amp;INDEX(SPLIT($A$2,""_""),2)&amp;""\""&amp;SUBSTITUTE(SUBST"&amp;"ITUTE(SUBSTITUTE(SUBSTITUTE(SUBSTITUTE(INDEX(Hairstyles!$C:$C,MATCH($B376,Hairstyles!$F:$F,0)),"" "",""""),""'"",""""),""("",""""),"")"",""""),""-"",""_"")&amp;""_""&amp;$A$2)"),"ModularSMPHair\Human\Female\ModularSMPHair_AG_Human_Female")</f>
        <v>ModularSMPHair\Human\Female\ModularSMPHair_AG_Human_Female</v>
      </c>
      <c r="D376" s="12" t="str">
        <f t="shared" si="1"/>
        <v>Uvi_Wig_Spell_Evg_A-G,ModularSMPHair\Human\Female\ModularSMPHair_AG_Human_Female</v>
      </c>
    </row>
    <row r="377">
      <c r="B377" s="12" t="str">
        <f>IFERROR(__xludf.DUMMYFUNCTION("""COMPUTED_VALUE"""),"Uvi_Wig_Spell_Evg_A-I")</f>
        <v>Uvi_Wig_Spell_Evg_A-I</v>
      </c>
      <c r="C377" s="12" t="str">
        <f>IFERROR(__xludf.DUMMYFUNCTION("IF($B377="""","""",SUBSTITUTE(SUBSTITUTE(SUBSTITUTE(SUBSTITUTE(INDEX(Hairstyles!$A:$A,MATCH($B377,Hairstyles!$F:$F,0)),"" "",""""),""'"",""""),""("",""""),"")"","""")&amp;""\""&amp;INDEX(SPLIT($A$2,""_""),1)&amp;""\""&amp;INDEX(SPLIT($A$2,""_""),2)&amp;""\""&amp;SUBSTITUTE(SUBST"&amp;"ITUTE(SUBSTITUTE(SUBSTITUTE(SUBSTITUTE(INDEX(Hairstyles!$C:$C,MATCH($B377,Hairstyles!$F:$F,0)),"" "",""""),""'"",""""),""("",""""),"")"",""""),""-"",""_"")&amp;""_""&amp;$A$2)"),"ModularSMPHair\Human\Female\ModularSMPHair_AI_Human_Female")</f>
        <v>ModularSMPHair\Human\Female\ModularSMPHair_AI_Human_Female</v>
      </c>
      <c r="D377" s="12" t="str">
        <f t="shared" si="1"/>
        <v>Uvi_Wig_Spell_Evg_A-I,ModularSMPHair\Human\Female\ModularSMPHair_AI_Human_Female</v>
      </c>
    </row>
    <row r="378">
      <c r="B378" s="12" t="str">
        <f>IFERROR(__xludf.DUMMYFUNCTION("""COMPUTED_VALUE"""),"Uvi_Wig_Spell_Evg_A-J")</f>
        <v>Uvi_Wig_Spell_Evg_A-J</v>
      </c>
      <c r="C378" s="12" t="str">
        <f>IFERROR(__xludf.DUMMYFUNCTION("IF($B378="""","""",SUBSTITUTE(SUBSTITUTE(SUBSTITUTE(SUBSTITUTE(INDEX(Hairstyles!$A:$A,MATCH($B378,Hairstyles!$F:$F,0)),"" "",""""),""'"",""""),""("",""""),"")"","""")&amp;""\""&amp;INDEX(SPLIT($A$2,""_""),1)&amp;""\""&amp;INDEX(SPLIT($A$2,""_""),2)&amp;""\""&amp;SUBSTITUTE(SUBST"&amp;"ITUTE(SUBSTITUTE(SUBSTITUTE(SUBSTITUTE(INDEX(Hairstyles!$C:$C,MATCH($B378,Hairstyles!$F:$F,0)),"" "",""""),""'"",""""),""("",""""),"")"",""""),""-"",""_"")&amp;""_""&amp;$A$2)"),"ModularSMPHair\Human\Female\ModularSMPHair_AJ_Human_Female")</f>
        <v>ModularSMPHair\Human\Female\ModularSMPHair_AJ_Human_Female</v>
      </c>
      <c r="D378" s="12" t="str">
        <f t="shared" si="1"/>
        <v>Uvi_Wig_Spell_Evg_A-J,ModularSMPHair\Human\Female\ModularSMPHair_AJ_Human_Female</v>
      </c>
    </row>
    <row r="379">
      <c r="B379" s="12" t="str">
        <f>IFERROR(__xludf.DUMMYFUNCTION("""COMPUTED_VALUE"""),"Uvi_Wig_Spell_Evg_A-K")</f>
        <v>Uvi_Wig_Spell_Evg_A-K</v>
      </c>
      <c r="C379" s="12" t="str">
        <f>IFERROR(__xludf.DUMMYFUNCTION("IF($B379="""","""",SUBSTITUTE(SUBSTITUTE(SUBSTITUTE(SUBSTITUTE(INDEX(Hairstyles!$A:$A,MATCH($B379,Hairstyles!$F:$F,0)),"" "",""""),""'"",""""),""("",""""),"")"","""")&amp;""\""&amp;INDEX(SPLIT($A$2,""_""),1)&amp;""\""&amp;INDEX(SPLIT($A$2,""_""),2)&amp;""\""&amp;SUBSTITUTE(SUBST"&amp;"ITUTE(SUBSTITUTE(SUBSTITUTE(SUBSTITUTE(INDEX(Hairstyles!$C:$C,MATCH($B379,Hairstyles!$F:$F,0)),"" "",""""),""'"",""""),""("",""""),"")"",""""),""-"",""_"")&amp;""_""&amp;$A$2)"),"ModularSMPHair\Human\Female\ModularSMPHair_AK_Human_Female")</f>
        <v>ModularSMPHair\Human\Female\ModularSMPHair_AK_Human_Female</v>
      </c>
      <c r="D379" s="12" t="str">
        <f t="shared" si="1"/>
        <v>Uvi_Wig_Spell_Evg_A-K,ModularSMPHair\Human\Female\ModularSMPHair_AK_Human_Female</v>
      </c>
    </row>
    <row r="380">
      <c r="B380" s="12" t="str">
        <f>IFERROR(__xludf.DUMMYFUNCTION("""COMPUTED_VALUE"""),"Uvi_Wig_Spell_Evg_A-L")</f>
        <v>Uvi_Wig_Spell_Evg_A-L</v>
      </c>
      <c r="C380" s="12" t="str">
        <f>IFERROR(__xludf.DUMMYFUNCTION("IF($B380="""","""",SUBSTITUTE(SUBSTITUTE(SUBSTITUTE(SUBSTITUTE(INDEX(Hairstyles!$A:$A,MATCH($B380,Hairstyles!$F:$F,0)),"" "",""""),""'"",""""),""("",""""),"")"","""")&amp;""\""&amp;INDEX(SPLIT($A$2,""_""),1)&amp;""\""&amp;INDEX(SPLIT($A$2,""_""),2)&amp;""\""&amp;SUBSTITUTE(SUBST"&amp;"ITUTE(SUBSTITUTE(SUBSTITUTE(SUBSTITUTE(INDEX(Hairstyles!$C:$C,MATCH($B380,Hairstyles!$F:$F,0)),"" "",""""),""'"",""""),""("",""""),"")"",""""),""-"",""_"")&amp;""_""&amp;$A$2)"),"ModularSMPHair\Human\Female\ModularSMPHair_AL_Human_Female")</f>
        <v>ModularSMPHair\Human\Female\ModularSMPHair_AL_Human_Female</v>
      </c>
      <c r="D380" s="12" t="str">
        <f t="shared" si="1"/>
        <v>Uvi_Wig_Spell_Evg_A-L,ModularSMPHair\Human\Female\ModularSMPHair_AL_Human_Female</v>
      </c>
    </row>
    <row r="381">
      <c r="B381" s="12" t="str">
        <f>IFERROR(__xludf.DUMMYFUNCTION("""COMPUTED_VALUE"""),"Uvi_Wig_Spell_Evg_A-M1")</f>
        <v>Uvi_Wig_Spell_Evg_A-M1</v>
      </c>
      <c r="C381" s="12" t="str">
        <f>IFERROR(__xludf.DUMMYFUNCTION("IF($B381="""","""",SUBSTITUTE(SUBSTITUTE(SUBSTITUTE(SUBSTITUTE(INDEX(Hairstyles!$A:$A,MATCH($B381,Hairstyles!$F:$F,0)),"" "",""""),""'"",""""),""("",""""),"")"","""")&amp;""\""&amp;INDEX(SPLIT($A$2,""_""),1)&amp;""\""&amp;INDEX(SPLIT($A$2,""_""),2)&amp;""\""&amp;SUBSTITUTE(SUBST"&amp;"ITUTE(SUBSTITUTE(SUBSTITUTE(SUBSTITUTE(INDEX(Hairstyles!$C:$C,MATCH($B381,Hairstyles!$F:$F,0)),"" "",""""),""'"",""""),""("",""""),"")"",""""),""-"",""_"")&amp;""_""&amp;$A$2)"),"ModularSMPHair\Human\Female\ModularSMPHair_AM1_Human_Female")</f>
        <v>ModularSMPHair\Human\Female\ModularSMPHair_AM1_Human_Female</v>
      </c>
      <c r="D381" s="12" t="str">
        <f t="shared" si="1"/>
        <v>Uvi_Wig_Spell_Evg_A-M1,ModularSMPHair\Human\Female\ModularSMPHair_AM1_Human_Female</v>
      </c>
    </row>
    <row r="382">
      <c r="B382" s="12" t="str">
        <f>IFERROR(__xludf.DUMMYFUNCTION("""COMPUTED_VALUE"""),"Uvi_Wig_Spell_Evg_A-M2")</f>
        <v>Uvi_Wig_Spell_Evg_A-M2</v>
      </c>
      <c r="C382" s="12" t="str">
        <f>IFERROR(__xludf.DUMMYFUNCTION("IF($B382="""","""",SUBSTITUTE(SUBSTITUTE(SUBSTITUTE(SUBSTITUTE(INDEX(Hairstyles!$A:$A,MATCH($B382,Hairstyles!$F:$F,0)),"" "",""""),""'"",""""),""("",""""),"")"","""")&amp;""\""&amp;INDEX(SPLIT($A$2,""_""),1)&amp;""\""&amp;INDEX(SPLIT($A$2,""_""),2)&amp;""\""&amp;SUBSTITUTE(SUBST"&amp;"ITUTE(SUBSTITUTE(SUBSTITUTE(SUBSTITUTE(INDEX(Hairstyles!$C:$C,MATCH($B382,Hairstyles!$F:$F,0)),"" "",""""),""'"",""""),""("",""""),"")"",""""),""-"",""_"")&amp;""_""&amp;$A$2)"),"ModularSMPHair\Human\Female\ModularSMPHair_AM2_Human_Female")</f>
        <v>ModularSMPHair\Human\Female\ModularSMPHair_AM2_Human_Female</v>
      </c>
      <c r="D382" s="12" t="str">
        <f t="shared" si="1"/>
        <v>Uvi_Wig_Spell_Evg_A-M2,ModularSMPHair\Human\Female\ModularSMPHair_AM2_Human_Female</v>
      </c>
    </row>
    <row r="383">
      <c r="B383" s="12" t="str">
        <f>IFERROR(__xludf.DUMMYFUNCTION("""COMPUTED_VALUE"""),"Uvi_Wig_Spell_Evg_B")</f>
        <v>Uvi_Wig_Spell_Evg_B</v>
      </c>
      <c r="C383" s="12" t="str">
        <f>IFERROR(__xludf.DUMMYFUNCTION("IF($B383="""","""",SUBSTITUTE(SUBSTITUTE(SUBSTITUTE(SUBSTITUTE(INDEX(Hairstyles!$A:$A,MATCH($B383,Hairstyles!$F:$F,0)),"" "",""""),""'"",""""),""("",""""),"")"","""")&amp;""\""&amp;INDEX(SPLIT($A$2,""_""),1)&amp;""\""&amp;INDEX(SPLIT($A$2,""_""),2)&amp;""\""&amp;SUBSTITUTE(SUBST"&amp;"ITUTE(SUBSTITUTE(SUBSTITUTE(SUBSTITUTE(INDEX(Hairstyles!$C:$C,MATCH($B383,Hairstyles!$F:$F,0)),"" "",""""),""'"",""""),""("",""""),"")"",""""),""-"",""_"")&amp;""_""&amp;$A$2)"),"ModularSMPHair\Human\Female\ModularSMPHair_B_Human_Female")</f>
        <v>ModularSMPHair\Human\Female\ModularSMPHair_B_Human_Female</v>
      </c>
      <c r="D383" s="12" t="str">
        <f t="shared" si="1"/>
        <v>Uvi_Wig_Spell_Evg_B,ModularSMPHair\Human\Female\ModularSMPHair_B_Human_Female</v>
      </c>
    </row>
    <row r="384">
      <c r="B384" s="12" t="str">
        <f>IFERROR(__xludf.DUMMYFUNCTION("""COMPUTED_VALUE"""),"Uvi_Wig_Spell_Evg_B-A")</f>
        <v>Uvi_Wig_Spell_Evg_B-A</v>
      </c>
      <c r="C384" s="12" t="str">
        <f>IFERROR(__xludf.DUMMYFUNCTION("IF($B384="""","""",SUBSTITUTE(SUBSTITUTE(SUBSTITUTE(SUBSTITUTE(INDEX(Hairstyles!$A:$A,MATCH($B384,Hairstyles!$F:$F,0)),"" "",""""),""'"",""""),""("",""""),"")"","""")&amp;""\""&amp;INDEX(SPLIT($A$2,""_""),1)&amp;""\""&amp;INDEX(SPLIT($A$2,""_""),2)&amp;""\""&amp;SUBSTITUTE(SUBST"&amp;"ITUTE(SUBSTITUTE(SUBSTITUTE(SUBSTITUTE(INDEX(Hairstyles!$C:$C,MATCH($B384,Hairstyles!$F:$F,0)),"" "",""""),""'"",""""),""("",""""),"")"",""""),""-"",""_"")&amp;""_""&amp;$A$2)"),"ModularSMPHair\Human\Female\ModularSMPHair_BA_Human_Female")</f>
        <v>ModularSMPHair\Human\Female\ModularSMPHair_BA_Human_Female</v>
      </c>
      <c r="D384" s="12" t="str">
        <f t="shared" si="1"/>
        <v>Uvi_Wig_Spell_Evg_B-A,ModularSMPHair\Human\Female\ModularSMPHair_BA_Human_Female</v>
      </c>
    </row>
    <row r="385">
      <c r="B385" s="12" t="str">
        <f>IFERROR(__xludf.DUMMYFUNCTION("""COMPUTED_VALUE"""),"Uvi_Wig_Spell_Evg_B-B")</f>
        <v>Uvi_Wig_Spell_Evg_B-B</v>
      </c>
      <c r="C385" s="12" t="str">
        <f>IFERROR(__xludf.DUMMYFUNCTION("IF($B385="""","""",SUBSTITUTE(SUBSTITUTE(SUBSTITUTE(SUBSTITUTE(INDEX(Hairstyles!$A:$A,MATCH($B385,Hairstyles!$F:$F,0)),"" "",""""),""'"",""""),""("",""""),"")"","""")&amp;""\""&amp;INDEX(SPLIT($A$2,""_""),1)&amp;""\""&amp;INDEX(SPLIT($A$2,""_""),2)&amp;""\""&amp;SUBSTITUTE(SUBST"&amp;"ITUTE(SUBSTITUTE(SUBSTITUTE(SUBSTITUTE(INDEX(Hairstyles!$C:$C,MATCH($B385,Hairstyles!$F:$F,0)),"" "",""""),""'"",""""),""("",""""),"")"",""""),""-"",""_"")&amp;""_""&amp;$A$2)"),"ModularSMPHair\Human\Female\ModularSMPHair_BB_Human_Female")</f>
        <v>ModularSMPHair\Human\Female\ModularSMPHair_BB_Human_Female</v>
      </c>
      <c r="D385" s="12" t="str">
        <f t="shared" si="1"/>
        <v>Uvi_Wig_Spell_Evg_B-B,ModularSMPHair\Human\Female\ModularSMPHair_BB_Human_Female</v>
      </c>
    </row>
    <row r="386">
      <c r="B386" s="12" t="str">
        <f>IFERROR(__xludf.DUMMYFUNCTION("""COMPUTED_VALUE"""),"Uvi_Wig_Spell_Evg_B-C")</f>
        <v>Uvi_Wig_Spell_Evg_B-C</v>
      </c>
      <c r="C386" s="12" t="str">
        <f>IFERROR(__xludf.DUMMYFUNCTION("IF($B386="""","""",SUBSTITUTE(SUBSTITUTE(SUBSTITUTE(SUBSTITUTE(INDEX(Hairstyles!$A:$A,MATCH($B386,Hairstyles!$F:$F,0)),"" "",""""),""'"",""""),""("",""""),"")"","""")&amp;""\""&amp;INDEX(SPLIT($A$2,""_""),1)&amp;""\""&amp;INDEX(SPLIT($A$2,""_""),2)&amp;""\""&amp;SUBSTITUTE(SUBST"&amp;"ITUTE(SUBSTITUTE(SUBSTITUTE(SUBSTITUTE(INDEX(Hairstyles!$C:$C,MATCH($B386,Hairstyles!$F:$F,0)),"" "",""""),""'"",""""),""("",""""),"")"",""""),""-"",""_"")&amp;""_""&amp;$A$2)"),"ModularSMPHair\Human\Female\ModularSMPHair_BC_Human_Female")</f>
        <v>ModularSMPHair\Human\Female\ModularSMPHair_BC_Human_Female</v>
      </c>
      <c r="D386" s="12" t="str">
        <f t="shared" si="1"/>
        <v>Uvi_Wig_Spell_Evg_B-C,ModularSMPHair\Human\Female\ModularSMPHair_BC_Human_Female</v>
      </c>
    </row>
    <row r="387">
      <c r="B387" s="12" t="str">
        <f>IFERROR(__xludf.DUMMYFUNCTION("""COMPUTED_VALUE"""),"Uvi_Wig_Spell_Evg_B-D")</f>
        <v>Uvi_Wig_Spell_Evg_B-D</v>
      </c>
      <c r="C387" s="12" t="str">
        <f>IFERROR(__xludf.DUMMYFUNCTION("IF($B387="""","""",SUBSTITUTE(SUBSTITUTE(SUBSTITUTE(SUBSTITUTE(INDEX(Hairstyles!$A:$A,MATCH($B387,Hairstyles!$F:$F,0)),"" "",""""),""'"",""""),""("",""""),"")"","""")&amp;""\""&amp;INDEX(SPLIT($A$2,""_""),1)&amp;""\""&amp;INDEX(SPLIT($A$2,""_""),2)&amp;""\""&amp;SUBSTITUTE(SUBST"&amp;"ITUTE(SUBSTITUTE(SUBSTITUTE(SUBSTITUTE(INDEX(Hairstyles!$C:$C,MATCH($B387,Hairstyles!$F:$F,0)),"" "",""""),""'"",""""),""("",""""),"")"",""""),""-"",""_"")&amp;""_""&amp;$A$2)"),"ModularSMPHair\Human\Female\ModularSMPHair_BD_Human_Female")</f>
        <v>ModularSMPHair\Human\Female\ModularSMPHair_BD_Human_Female</v>
      </c>
      <c r="D387" s="12" t="str">
        <f t="shared" si="1"/>
        <v>Uvi_Wig_Spell_Evg_B-D,ModularSMPHair\Human\Female\ModularSMPHair_BD_Human_Female</v>
      </c>
    </row>
    <row r="388">
      <c r="B388" s="12" t="str">
        <f>IFERROR(__xludf.DUMMYFUNCTION("""COMPUTED_VALUE"""),"Uvi_Wig_Spell_Evg_B-E")</f>
        <v>Uvi_Wig_Spell_Evg_B-E</v>
      </c>
      <c r="C388" s="12" t="str">
        <f>IFERROR(__xludf.DUMMYFUNCTION("IF($B388="""","""",SUBSTITUTE(SUBSTITUTE(SUBSTITUTE(SUBSTITUTE(INDEX(Hairstyles!$A:$A,MATCH($B388,Hairstyles!$F:$F,0)),"" "",""""),""'"",""""),""("",""""),"")"","""")&amp;""\""&amp;INDEX(SPLIT($A$2,""_""),1)&amp;""\""&amp;INDEX(SPLIT($A$2,""_""),2)&amp;""\""&amp;SUBSTITUTE(SUBST"&amp;"ITUTE(SUBSTITUTE(SUBSTITUTE(SUBSTITUTE(INDEX(Hairstyles!$C:$C,MATCH($B388,Hairstyles!$F:$F,0)),"" "",""""),""'"",""""),""("",""""),"")"",""""),""-"",""_"")&amp;""_""&amp;$A$2)"),"ModularSMPHair\Human\Female\ModularSMPHair_BE_Human_Female")</f>
        <v>ModularSMPHair\Human\Female\ModularSMPHair_BE_Human_Female</v>
      </c>
      <c r="D388" s="12" t="str">
        <f t="shared" si="1"/>
        <v>Uvi_Wig_Spell_Evg_B-E,ModularSMPHair\Human\Female\ModularSMPHair_BE_Human_Female</v>
      </c>
    </row>
    <row r="389">
      <c r="B389" s="12" t="str">
        <f>IFERROR(__xludf.DUMMYFUNCTION("""COMPUTED_VALUE"""),"Uvi_Wig_Spell_Evg_B-F")</f>
        <v>Uvi_Wig_Spell_Evg_B-F</v>
      </c>
      <c r="C389" s="12" t="str">
        <f>IFERROR(__xludf.DUMMYFUNCTION("IF($B389="""","""",SUBSTITUTE(SUBSTITUTE(SUBSTITUTE(SUBSTITUTE(INDEX(Hairstyles!$A:$A,MATCH($B389,Hairstyles!$F:$F,0)),"" "",""""),""'"",""""),""("",""""),"")"","""")&amp;""\""&amp;INDEX(SPLIT($A$2,""_""),1)&amp;""\""&amp;INDEX(SPLIT($A$2,""_""),2)&amp;""\""&amp;SUBSTITUTE(SUBST"&amp;"ITUTE(SUBSTITUTE(SUBSTITUTE(SUBSTITUTE(INDEX(Hairstyles!$C:$C,MATCH($B389,Hairstyles!$F:$F,0)),"" "",""""),""'"",""""),""("",""""),"")"",""""),""-"",""_"")&amp;""_""&amp;$A$2)"),"ModularSMPHair\Human\Female\ModularSMPHair_BF_Human_Female")</f>
        <v>ModularSMPHair\Human\Female\ModularSMPHair_BF_Human_Female</v>
      </c>
      <c r="D389" s="12" t="str">
        <f t="shared" si="1"/>
        <v>Uvi_Wig_Spell_Evg_B-F,ModularSMPHair\Human\Female\ModularSMPHair_BF_Human_Female</v>
      </c>
    </row>
    <row r="390">
      <c r="B390" s="12" t="str">
        <f>IFERROR(__xludf.DUMMYFUNCTION("""COMPUTED_VALUE"""),"Uvi_Wig_Spell_Evg_B-G")</f>
        <v>Uvi_Wig_Spell_Evg_B-G</v>
      </c>
      <c r="C390" s="12" t="str">
        <f>IFERROR(__xludf.DUMMYFUNCTION("IF($B390="""","""",SUBSTITUTE(SUBSTITUTE(SUBSTITUTE(SUBSTITUTE(INDEX(Hairstyles!$A:$A,MATCH($B390,Hairstyles!$F:$F,0)),"" "",""""),""'"",""""),""("",""""),"")"","""")&amp;""\""&amp;INDEX(SPLIT($A$2,""_""),1)&amp;""\""&amp;INDEX(SPLIT($A$2,""_""),2)&amp;""\""&amp;SUBSTITUTE(SUBST"&amp;"ITUTE(SUBSTITUTE(SUBSTITUTE(SUBSTITUTE(INDEX(Hairstyles!$C:$C,MATCH($B390,Hairstyles!$F:$F,0)),"" "",""""),""'"",""""),""("",""""),"")"",""""),""-"",""_"")&amp;""_""&amp;$A$2)"),"ModularSMPHair\Human\Female\ModularSMPHair_BG_Human_Female")</f>
        <v>ModularSMPHair\Human\Female\ModularSMPHair_BG_Human_Female</v>
      </c>
      <c r="D390" s="12" t="str">
        <f t="shared" si="1"/>
        <v>Uvi_Wig_Spell_Evg_B-G,ModularSMPHair\Human\Female\ModularSMPHair_BG_Human_Female</v>
      </c>
    </row>
    <row r="391">
      <c r="B391" s="12" t="str">
        <f>IFERROR(__xludf.DUMMYFUNCTION("""COMPUTED_VALUE"""),"Uvi_Wig_Spell_Evg_B-I")</f>
        <v>Uvi_Wig_Spell_Evg_B-I</v>
      </c>
      <c r="C391" s="12" t="str">
        <f>IFERROR(__xludf.DUMMYFUNCTION("IF($B391="""","""",SUBSTITUTE(SUBSTITUTE(SUBSTITUTE(SUBSTITUTE(INDEX(Hairstyles!$A:$A,MATCH($B391,Hairstyles!$F:$F,0)),"" "",""""),""'"",""""),""("",""""),"")"","""")&amp;""\""&amp;INDEX(SPLIT($A$2,""_""),1)&amp;""\""&amp;INDEX(SPLIT($A$2,""_""),2)&amp;""\""&amp;SUBSTITUTE(SUBST"&amp;"ITUTE(SUBSTITUTE(SUBSTITUTE(SUBSTITUTE(INDEX(Hairstyles!$C:$C,MATCH($B391,Hairstyles!$F:$F,0)),"" "",""""),""'"",""""),""("",""""),"")"",""""),""-"",""_"")&amp;""_""&amp;$A$2)"),"ModularSMPHair\Human\Female\ModularSMPHair_BI_Human_Female")</f>
        <v>ModularSMPHair\Human\Female\ModularSMPHair_BI_Human_Female</v>
      </c>
      <c r="D391" s="12" t="str">
        <f t="shared" si="1"/>
        <v>Uvi_Wig_Spell_Evg_B-I,ModularSMPHair\Human\Female\ModularSMPHair_BI_Human_Female</v>
      </c>
    </row>
    <row r="392">
      <c r="B392" s="12" t="str">
        <f>IFERROR(__xludf.DUMMYFUNCTION("""COMPUTED_VALUE"""),"Uvi_Wig_Spell_Evg_B-J")</f>
        <v>Uvi_Wig_Spell_Evg_B-J</v>
      </c>
      <c r="C392" s="12" t="str">
        <f>IFERROR(__xludf.DUMMYFUNCTION("IF($B392="""","""",SUBSTITUTE(SUBSTITUTE(SUBSTITUTE(SUBSTITUTE(INDEX(Hairstyles!$A:$A,MATCH($B392,Hairstyles!$F:$F,0)),"" "",""""),""'"",""""),""("",""""),"")"","""")&amp;""\""&amp;INDEX(SPLIT($A$2,""_""),1)&amp;""\""&amp;INDEX(SPLIT($A$2,""_""),2)&amp;""\""&amp;SUBSTITUTE(SUBST"&amp;"ITUTE(SUBSTITUTE(SUBSTITUTE(SUBSTITUTE(INDEX(Hairstyles!$C:$C,MATCH($B392,Hairstyles!$F:$F,0)),"" "",""""),""'"",""""),""("",""""),"")"",""""),""-"",""_"")&amp;""_""&amp;$A$2)"),"ModularSMPHair\Human\Female\ModularSMPHair_BJ_Human_Female")</f>
        <v>ModularSMPHair\Human\Female\ModularSMPHair_BJ_Human_Female</v>
      </c>
      <c r="D392" s="12" t="str">
        <f t="shared" si="1"/>
        <v>Uvi_Wig_Spell_Evg_B-J,ModularSMPHair\Human\Female\ModularSMPHair_BJ_Human_Female</v>
      </c>
    </row>
    <row r="393">
      <c r="B393" s="12" t="str">
        <f>IFERROR(__xludf.DUMMYFUNCTION("""COMPUTED_VALUE"""),"Uvi_Wig_Spell_Evg_B-K")</f>
        <v>Uvi_Wig_Spell_Evg_B-K</v>
      </c>
      <c r="C393" s="12" t="str">
        <f>IFERROR(__xludf.DUMMYFUNCTION("IF($B393="""","""",SUBSTITUTE(SUBSTITUTE(SUBSTITUTE(SUBSTITUTE(INDEX(Hairstyles!$A:$A,MATCH($B393,Hairstyles!$F:$F,0)),"" "",""""),""'"",""""),""("",""""),"")"","""")&amp;""\""&amp;INDEX(SPLIT($A$2,""_""),1)&amp;""\""&amp;INDEX(SPLIT($A$2,""_""),2)&amp;""\""&amp;SUBSTITUTE(SUBST"&amp;"ITUTE(SUBSTITUTE(SUBSTITUTE(SUBSTITUTE(INDEX(Hairstyles!$C:$C,MATCH($B393,Hairstyles!$F:$F,0)),"" "",""""),""'"",""""),""("",""""),"")"",""""),""-"",""_"")&amp;""_""&amp;$A$2)"),"ModularSMPHair\Human\Female\ModularSMPHair_BK_Human_Female")</f>
        <v>ModularSMPHair\Human\Female\ModularSMPHair_BK_Human_Female</v>
      </c>
      <c r="D393" s="12" t="str">
        <f t="shared" si="1"/>
        <v>Uvi_Wig_Spell_Evg_B-K,ModularSMPHair\Human\Female\ModularSMPHair_BK_Human_Female</v>
      </c>
    </row>
    <row r="394">
      <c r="B394" s="12" t="str">
        <f>IFERROR(__xludf.DUMMYFUNCTION("""COMPUTED_VALUE"""),"Uvi_Wig_Spell_Evg_B-L")</f>
        <v>Uvi_Wig_Spell_Evg_B-L</v>
      </c>
      <c r="C394" s="12" t="str">
        <f>IFERROR(__xludf.DUMMYFUNCTION("IF($B394="""","""",SUBSTITUTE(SUBSTITUTE(SUBSTITUTE(SUBSTITUTE(INDEX(Hairstyles!$A:$A,MATCH($B394,Hairstyles!$F:$F,0)),"" "",""""),""'"",""""),""("",""""),"")"","""")&amp;""\""&amp;INDEX(SPLIT($A$2,""_""),1)&amp;""\""&amp;INDEX(SPLIT($A$2,""_""),2)&amp;""\""&amp;SUBSTITUTE(SUBST"&amp;"ITUTE(SUBSTITUTE(SUBSTITUTE(SUBSTITUTE(INDEX(Hairstyles!$C:$C,MATCH($B394,Hairstyles!$F:$F,0)),"" "",""""),""'"",""""),""("",""""),"")"",""""),""-"",""_"")&amp;""_""&amp;$A$2)"),"ModularSMPHair\Human\Female\ModularSMPHair_BL_Human_Female")</f>
        <v>ModularSMPHair\Human\Female\ModularSMPHair_BL_Human_Female</v>
      </c>
      <c r="D394" s="12" t="str">
        <f t="shared" si="1"/>
        <v>Uvi_Wig_Spell_Evg_B-L,ModularSMPHair\Human\Female\ModularSMPHair_BL_Human_Female</v>
      </c>
    </row>
    <row r="395">
      <c r="B395" s="12" t="str">
        <f>IFERROR(__xludf.DUMMYFUNCTION("""COMPUTED_VALUE"""),"Uvi_Wig_Spell_Evg_B-M1")</f>
        <v>Uvi_Wig_Spell_Evg_B-M1</v>
      </c>
      <c r="C395" s="12" t="str">
        <f>IFERROR(__xludf.DUMMYFUNCTION("IF($B395="""","""",SUBSTITUTE(SUBSTITUTE(SUBSTITUTE(SUBSTITUTE(INDEX(Hairstyles!$A:$A,MATCH($B395,Hairstyles!$F:$F,0)),"" "",""""),""'"",""""),""("",""""),"")"","""")&amp;""\""&amp;INDEX(SPLIT($A$2,""_""),1)&amp;""\""&amp;INDEX(SPLIT($A$2,""_""),2)&amp;""\""&amp;SUBSTITUTE(SUBST"&amp;"ITUTE(SUBSTITUTE(SUBSTITUTE(SUBSTITUTE(INDEX(Hairstyles!$C:$C,MATCH($B395,Hairstyles!$F:$F,0)),"" "",""""),""'"",""""),""("",""""),"")"",""""),""-"",""_"")&amp;""_""&amp;$A$2)"),"ModularSMPHair\Human\Female\ModularSMPHair_BM1_Human_Female")</f>
        <v>ModularSMPHair\Human\Female\ModularSMPHair_BM1_Human_Female</v>
      </c>
      <c r="D395" s="12" t="str">
        <f t="shared" si="1"/>
        <v>Uvi_Wig_Spell_Evg_B-M1,ModularSMPHair\Human\Female\ModularSMPHair_BM1_Human_Female</v>
      </c>
    </row>
    <row r="396">
      <c r="B396" s="12" t="str">
        <f>IFERROR(__xludf.DUMMYFUNCTION("""COMPUTED_VALUE"""),"Uvi_Wig_Spell_Evg_B-M2")</f>
        <v>Uvi_Wig_Spell_Evg_B-M2</v>
      </c>
      <c r="C396" s="12" t="str">
        <f>IFERROR(__xludf.DUMMYFUNCTION("IF($B396="""","""",SUBSTITUTE(SUBSTITUTE(SUBSTITUTE(SUBSTITUTE(INDEX(Hairstyles!$A:$A,MATCH($B396,Hairstyles!$F:$F,0)),"" "",""""),""'"",""""),""("",""""),"")"","""")&amp;""\""&amp;INDEX(SPLIT($A$2,""_""),1)&amp;""\""&amp;INDEX(SPLIT($A$2,""_""),2)&amp;""\""&amp;SUBSTITUTE(SUBST"&amp;"ITUTE(SUBSTITUTE(SUBSTITUTE(SUBSTITUTE(INDEX(Hairstyles!$C:$C,MATCH($B396,Hairstyles!$F:$F,0)),"" "",""""),""'"",""""),""("",""""),"")"",""""),""-"",""_"")&amp;""_""&amp;$A$2)"),"ModularSMPHair\Human\Female\ModularSMPHair_BM2_Human_Female")</f>
        <v>ModularSMPHair\Human\Female\ModularSMPHair_BM2_Human_Female</v>
      </c>
      <c r="D396" s="12" t="str">
        <f t="shared" si="1"/>
        <v>Uvi_Wig_Spell_Evg_B-M2,ModularSMPHair\Human\Female\ModularSMPHair_BM2_Human_Female</v>
      </c>
    </row>
    <row r="397">
      <c r="B397" s="12" t="str">
        <f>IFERROR(__xludf.DUMMYFUNCTION("""COMPUTED_VALUE"""),"Uvi_Wig_Spell_Evg_C")</f>
        <v>Uvi_Wig_Spell_Evg_C</v>
      </c>
      <c r="C397" s="12" t="str">
        <f>IFERROR(__xludf.DUMMYFUNCTION("IF($B397="""","""",SUBSTITUTE(SUBSTITUTE(SUBSTITUTE(SUBSTITUTE(INDEX(Hairstyles!$A:$A,MATCH($B397,Hairstyles!$F:$F,0)),"" "",""""),""'"",""""),""("",""""),"")"","""")&amp;""\""&amp;INDEX(SPLIT($A$2,""_""),1)&amp;""\""&amp;INDEX(SPLIT($A$2,""_""),2)&amp;""\""&amp;SUBSTITUTE(SUBST"&amp;"ITUTE(SUBSTITUTE(SUBSTITUTE(SUBSTITUTE(INDEX(Hairstyles!$C:$C,MATCH($B397,Hairstyles!$F:$F,0)),"" "",""""),""'"",""""),""("",""""),"")"",""""),""-"",""_"")&amp;""_""&amp;$A$2)"),"ModularSMPHair\Human\Female\ModularSMPHair_C_Human_Female")</f>
        <v>ModularSMPHair\Human\Female\ModularSMPHair_C_Human_Female</v>
      </c>
      <c r="D397" s="12" t="str">
        <f t="shared" si="1"/>
        <v>Uvi_Wig_Spell_Evg_C,ModularSMPHair\Human\Female\ModularSMPHair_C_Human_Female</v>
      </c>
    </row>
    <row r="398">
      <c r="B398" s="12" t="str">
        <f>IFERROR(__xludf.DUMMYFUNCTION("""COMPUTED_VALUE"""),"Uvi_Wig_Spell_Evg_C-A")</f>
        <v>Uvi_Wig_Spell_Evg_C-A</v>
      </c>
      <c r="C398" s="12" t="str">
        <f>IFERROR(__xludf.DUMMYFUNCTION("IF($B398="""","""",SUBSTITUTE(SUBSTITUTE(SUBSTITUTE(SUBSTITUTE(INDEX(Hairstyles!$A:$A,MATCH($B398,Hairstyles!$F:$F,0)),"" "",""""),""'"",""""),""("",""""),"")"","""")&amp;""\""&amp;INDEX(SPLIT($A$2,""_""),1)&amp;""\""&amp;INDEX(SPLIT($A$2,""_""),2)&amp;""\""&amp;SUBSTITUTE(SUBST"&amp;"ITUTE(SUBSTITUTE(SUBSTITUTE(SUBSTITUTE(INDEX(Hairstyles!$C:$C,MATCH($B398,Hairstyles!$F:$F,0)),"" "",""""),""'"",""""),""("",""""),"")"",""""),""-"",""_"")&amp;""_""&amp;$A$2)"),"ModularSMPHair\Human\Female\ModularSMPHair_CA_Human_Female")</f>
        <v>ModularSMPHair\Human\Female\ModularSMPHair_CA_Human_Female</v>
      </c>
      <c r="D398" s="12" t="str">
        <f t="shared" si="1"/>
        <v>Uvi_Wig_Spell_Evg_C-A,ModularSMPHair\Human\Female\ModularSMPHair_CA_Human_Female</v>
      </c>
    </row>
    <row r="399">
      <c r="B399" s="12" t="str">
        <f>IFERROR(__xludf.DUMMYFUNCTION("""COMPUTED_VALUE"""),"Uvi_Wig_Spell_Evg_C-B")</f>
        <v>Uvi_Wig_Spell_Evg_C-B</v>
      </c>
      <c r="C399" s="12" t="str">
        <f>IFERROR(__xludf.DUMMYFUNCTION("IF($B399="""","""",SUBSTITUTE(SUBSTITUTE(SUBSTITUTE(SUBSTITUTE(INDEX(Hairstyles!$A:$A,MATCH($B399,Hairstyles!$F:$F,0)),"" "",""""),""'"",""""),""("",""""),"")"","""")&amp;""\""&amp;INDEX(SPLIT($A$2,""_""),1)&amp;""\""&amp;INDEX(SPLIT($A$2,""_""),2)&amp;""\""&amp;SUBSTITUTE(SUBST"&amp;"ITUTE(SUBSTITUTE(SUBSTITUTE(SUBSTITUTE(INDEX(Hairstyles!$C:$C,MATCH($B399,Hairstyles!$F:$F,0)),"" "",""""),""'"",""""),""("",""""),"")"",""""),""-"",""_"")&amp;""_""&amp;$A$2)"),"ModularSMPHair\Human\Female\ModularSMPHair_CB_Human_Female")</f>
        <v>ModularSMPHair\Human\Female\ModularSMPHair_CB_Human_Female</v>
      </c>
      <c r="D399" s="12" t="str">
        <f t="shared" si="1"/>
        <v>Uvi_Wig_Spell_Evg_C-B,ModularSMPHair\Human\Female\ModularSMPHair_CB_Human_Female</v>
      </c>
    </row>
    <row r="400">
      <c r="B400" s="12" t="str">
        <f>IFERROR(__xludf.DUMMYFUNCTION("""COMPUTED_VALUE"""),"Uvi_Wig_Spell_Evg_C-C")</f>
        <v>Uvi_Wig_Spell_Evg_C-C</v>
      </c>
      <c r="C400" s="12" t="str">
        <f>IFERROR(__xludf.DUMMYFUNCTION("IF($B400="""","""",SUBSTITUTE(SUBSTITUTE(SUBSTITUTE(SUBSTITUTE(INDEX(Hairstyles!$A:$A,MATCH($B400,Hairstyles!$F:$F,0)),"" "",""""),""'"",""""),""("",""""),"")"","""")&amp;""\""&amp;INDEX(SPLIT($A$2,""_""),1)&amp;""\""&amp;INDEX(SPLIT($A$2,""_""),2)&amp;""\""&amp;SUBSTITUTE(SUBST"&amp;"ITUTE(SUBSTITUTE(SUBSTITUTE(SUBSTITUTE(INDEX(Hairstyles!$C:$C,MATCH($B400,Hairstyles!$F:$F,0)),"" "",""""),""'"",""""),""("",""""),"")"",""""),""-"",""_"")&amp;""_""&amp;$A$2)"),"ModularSMPHair\Human\Female\ModularSMPHair_CC_Human_Female")</f>
        <v>ModularSMPHair\Human\Female\ModularSMPHair_CC_Human_Female</v>
      </c>
      <c r="D400" s="12" t="str">
        <f t="shared" si="1"/>
        <v>Uvi_Wig_Spell_Evg_C-C,ModularSMPHair\Human\Female\ModularSMPHair_CC_Human_Female</v>
      </c>
    </row>
    <row r="401">
      <c r="B401" s="12" t="str">
        <f>IFERROR(__xludf.DUMMYFUNCTION("""COMPUTED_VALUE"""),"Uvi_Wig_Spell_Evg_C-D")</f>
        <v>Uvi_Wig_Spell_Evg_C-D</v>
      </c>
      <c r="C401" s="12" t="str">
        <f>IFERROR(__xludf.DUMMYFUNCTION("IF($B401="""","""",SUBSTITUTE(SUBSTITUTE(SUBSTITUTE(SUBSTITUTE(INDEX(Hairstyles!$A:$A,MATCH($B401,Hairstyles!$F:$F,0)),"" "",""""),""'"",""""),""("",""""),"")"","""")&amp;""\""&amp;INDEX(SPLIT($A$2,""_""),1)&amp;""\""&amp;INDEX(SPLIT($A$2,""_""),2)&amp;""\""&amp;SUBSTITUTE(SUBST"&amp;"ITUTE(SUBSTITUTE(SUBSTITUTE(SUBSTITUTE(INDEX(Hairstyles!$C:$C,MATCH($B401,Hairstyles!$F:$F,0)),"" "",""""),""'"",""""),""("",""""),"")"",""""),""-"",""_"")&amp;""_""&amp;$A$2)"),"ModularSMPHair\Human\Female\ModularSMPHair_CD_Human_Female")</f>
        <v>ModularSMPHair\Human\Female\ModularSMPHair_CD_Human_Female</v>
      </c>
      <c r="D401" s="12" t="str">
        <f t="shared" si="1"/>
        <v>Uvi_Wig_Spell_Evg_C-D,ModularSMPHair\Human\Female\ModularSMPHair_CD_Human_Female</v>
      </c>
    </row>
    <row r="402">
      <c r="B402" s="12" t="str">
        <f>IFERROR(__xludf.DUMMYFUNCTION("""COMPUTED_VALUE"""),"Uvi_Wig_Spell_Evg_C-E")</f>
        <v>Uvi_Wig_Spell_Evg_C-E</v>
      </c>
      <c r="C402" s="12" t="str">
        <f>IFERROR(__xludf.DUMMYFUNCTION("IF($B402="""","""",SUBSTITUTE(SUBSTITUTE(SUBSTITUTE(SUBSTITUTE(INDEX(Hairstyles!$A:$A,MATCH($B402,Hairstyles!$F:$F,0)),"" "",""""),""'"",""""),""("",""""),"")"","""")&amp;""\""&amp;INDEX(SPLIT($A$2,""_""),1)&amp;""\""&amp;INDEX(SPLIT($A$2,""_""),2)&amp;""\""&amp;SUBSTITUTE(SUBST"&amp;"ITUTE(SUBSTITUTE(SUBSTITUTE(SUBSTITUTE(INDEX(Hairstyles!$C:$C,MATCH($B402,Hairstyles!$F:$F,0)),"" "",""""),""'"",""""),""("",""""),"")"",""""),""-"",""_"")&amp;""_""&amp;$A$2)"),"ModularSMPHair\Human\Female\ModularSMPHair_CE_Human_Female")</f>
        <v>ModularSMPHair\Human\Female\ModularSMPHair_CE_Human_Female</v>
      </c>
      <c r="D402" s="12" t="str">
        <f t="shared" si="1"/>
        <v>Uvi_Wig_Spell_Evg_C-E,ModularSMPHair\Human\Female\ModularSMPHair_CE_Human_Female</v>
      </c>
    </row>
    <row r="403">
      <c r="B403" s="12" t="str">
        <f>IFERROR(__xludf.DUMMYFUNCTION("""COMPUTED_VALUE"""),"Uvi_Wig_Spell_Evg_C-F")</f>
        <v>Uvi_Wig_Spell_Evg_C-F</v>
      </c>
      <c r="C403" s="12" t="str">
        <f>IFERROR(__xludf.DUMMYFUNCTION("IF($B403="""","""",SUBSTITUTE(SUBSTITUTE(SUBSTITUTE(SUBSTITUTE(INDEX(Hairstyles!$A:$A,MATCH($B403,Hairstyles!$F:$F,0)),"" "",""""),""'"",""""),""("",""""),"")"","""")&amp;""\""&amp;INDEX(SPLIT($A$2,""_""),1)&amp;""\""&amp;INDEX(SPLIT($A$2,""_""),2)&amp;""\""&amp;SUBSTITUTE(SUBST"&amp;"ITUTE(SUBSTITUTE(SUBSTITUTE(SUBSTITUTE(INDEX(Hairstyles!$C:$C,MATCH($B403,Hairstyles!$F:$F,0)),"" "",""""),""'"",""""),""("",""""),"")"",""""),""-"",""_"")&amp;""_""&amp;$A$2)"),"ModularSMPHair\Human\Female\ModularSMPHair_CF_Human_Female")</f>
        <v>ModularSMPHair\Human\Female\ModularSMPHair_CF_Human_Female</v>
      </c>
      <c r="D403" s="12" t="str">
        <f t="shared" si="1"/>
        <v>Uvi_Wig_Spell_Evg_C-F,ModularSMPHair\Human\Female\ModularSMPHair_CF_Human_Female</v>
      </c>
    </row>
    <row r="404">
      <c r="B404" s="12" t="str">
        <f>IFERROR(__xludf.DUMMYFUNCTION("""COMPUTED_VALUE"""),"Uvi_Wig_Spell_Evg_C-G")</f>
        <v>Uvi_Wig_Spell_Evg_C-G</v>
      </c>
      <c r="C404" s="12" t="str">
        <f>IFERROR(__xludf.DUMMYFUNCTION("IF($B404="""","""",SUBSTITUTE(SUBSTITUTE(SUBSTITUTE(SUBSTITUTE(INDEX(Hairstyles!$A:$A,MATCH($B404,Hairstyles!$F:$F,0)),"" "",""""),""'"",""""),""("",""""),"")"","""")&amp;""\""&amp;INDEX(SPLIT($A$2,""_""),1)&amp;""\""&amp;INDEX(SPLIT($A$2,""_""),2)&amp;""\""&amp;SUBSTITUTE(SUBST"&amp;"ITUTE(SUBSTITUTE(SUBSTITUTE(SUBSTITUTE(INDEX(Hairstyles!$C:$C,MATCH($B404,Hairstyles!$F:$F,0)),"" "",""""),""'"",""""),""("",""""),"")"",""""),""-"",""_"")&amp;""_""&amp;$A$2)"),"ModularSMPHair\Human\Female\ModularSMPHair_CG_Human_Female")</f>
        <v>ModularSMPHair\Human\Female\ModularSMPHair_CG_Human_Female</v>
      </c>
      <c r="D404" s="12" t="str">
        <f t="shared" si="1"/>
        <v>Uvi_Wig_Spell_Evg_C-G,ModularSMPHair\Human\Female\ModularSMPHair_CG_Human_Female</v>
      </c>
    </row>
    <row r="405">
      <c r="B405" s="12" t="str">
        <f>IFERROR(__xludf.DUMMYFUNCTION("""COMPUTED_VALUE"""),"Uvi_Wig_Spell_Evg_C-I")</f>
        <v>Uvi_Wig_Spell_Evg_C-I</v>
      </c>
      <c r="C405" s="12" t="str">
        <f>IFERROR(__xludf.DUMMYFUNCTION("IF($B405="""","""",SUBSTITUTE(SUBSTITUTE(SUBSTITUTE(SUBSTITUTE(INDEX(Hairstyles!$A:$A,MATCH($B405,Hairstyles!$F:$F,0)),"" "",""""),""'"",""""),""("",""""),"")"","""")&amp;""\""&amp;INDEX(SPLIT($A$2,""_""),1)&amp;""\""&amp;INDEX(SPLIT($A$2,""_""),2)&amp;""\""&amp;SUBSTITUTE(SUBST"&amp;"ITUTE(SUBSTITUTE(SUBSTITUTE(SUBSTITUTE(INDEX(Hairstyles!$C:$C,MATCH($B405,Hairstyles!$F:$F,0)),"" "",""""),""'"",""""),""("",""""),"")"",""""),""-"",""_"")&amp;""_""&amp;$A$2)"),"ModularSMPHair\Human\Female\ModularSMPHair_CI_Human_Female")</f>
        <v>ModularSMPHair\Human\Female\ModularSMPHair_CI_Human_Female</v>
      </c>
      <c r="D405" s="12" t="str">
        <f t="shared" si="1"/>
        <v>Uvi_Wig_Spell_Evg_C-I,ModularSMPHair\Human\Female\ModularSMPHair_CI_Human_Female</v>
      </c>
    </row>
    <row r="406">
      <c r="B406" s="12" t="str">
        <f>IFERROR(__xludf.DUMMYFUNCTION("""COMPUTED_VALUE"""),"Uvi_Wig_Spell_Evg_C-J")</f>
        <v>Uvi_Wig_Spell_Evg_C-J</v>
      </c>
      <c r="C406" s="12" t="str">
        <f>IFERROR(__xludf.DUMMYFUNCTION("IF($B406="""","""",SUBSTITUTE(SUBSTITUTE(SUBSTITUTE(SUBSTITUTE(INDEX(Hairstyles!$A:$A,MATCH($B406,Hairstyles!$F:$F,0)),"" "",""""),""'"",""""),""("",""""),"")"","""")&amp;""\""&amp;INDEX(SPLIT($A$2,""_""),1)&amp;""\""&amp;INDEX(SPLIT($A$2,""_""),2)&amp;""\""&amp;SUBSTITUTE(SUBST"&amp;"ITUTE(SUBSTITUTE(SUBSTITUTE(SUBSTITUTE(INDEX(Hairstyles!$C:$C,MATCH($B406,Hairstyles!$F:$F,0)),"" "",""""),""'"",""""),""("",""""),"")"",""""),""-"",""_"")&amp;""_""&amp;$A$2)"),"ModularSMPHair\Human\Female\ModularSMPHair_CJ_Human_Female")</f>
        <v>ModularSMPHair\Human\Female\ModularSMPHair_CJ_Human_Female</v>
      </c>
      <c r="D406" s="12" t="str">
        <f t="shared" si="1"/>
        <v>Uvi_Wig_Spell_Evg_C-J,ModularSMPHair\Human\Female\ModularSMPHair_CJ_Human_Female</v>
      </c>
    </row>
    <row r="407">
      <c r="B407" s="12" t="str">
        <f>IFERROR(__xludf.DUMMYFUNCTION("""COMPUTED_VALUE"""),"Uvi_Wig_Spell_Evg_C-K")</f>
        <v>Uvi_Wig_Spell_Evg_C-K</v>
      </c>
      <c r="C407" s="12" t="str">
        <f>IFERROR(__xludf.DUMMYFUNCTION("IF($B407="""","""",SUBSTITUTE(SUBSTITUTE(SUBSTITUTE(SUBSTITUTE(INDEX(Hairstyles!$A:$A,MATCH($B407,Hairstyles!$F:$F,0)),"" "",""""),""'"",""""),""("",""""),"")"","""")&amp;""\""&amp;INDEX(SPLIT($A$2,""_""),1)&amp;""\""&amp;INDEX(SPLIT($A$2,""_""),2)&amp;""\""&amp;SUBSTITUTE(SUBST"&amp;"ITUTE(SUBSTITUTE(SUBSTITUTE(SUBSTITUTE(INDEX(Hairstyles!$C:$C,MATCH($B407,Hairstyles!$F:$F,0)),"" "",""""),""'"",""""),""("",""""),"")"",""""),""-"",""_"")&amp;""_""&amp;$A$2)"),"ModularSMPHair\Human\Female\ModularSMPHair_CK_Human_Female")</f>
        <v>ModularSMPHair\Human\Female\ModularSMPHair_CK_Human_Female</v>
      </c>
      <c r="D407" s="12" t="str">
        <f t="shared" si="1"/>
        <v>Uvi_Wig_Spell_Evg_C-K,ModularSMPHair\Human\Female\ModularSMPHair_CK_Human_Female</v>
      </c>
    </row>
    <row r="408">
      <c r="B408" s="12" t="str">
        <f>IFERROR(__xludf.DUMMYFUNCTION("""COMPUTED_VALUE"""),"Uvi_Wig_Spell_Evg_C-L")</f>
        <v>Uvi_Wig_Spell_Evg_C-L</v>
      </c>
      <c r="C408" s="12" t="str">
        <f>IFERROR(__xludf.DUMMYFUNCTION("IF($B408="""","""",SUBSTITUTE(SUBSTITUTE(SUBSTITUTE(SUBSTITUTE(INDEX(Hairstyles!$A:$A,MATCH($B408,Hairstyles!$F:$F,0)),"" "",""""),""'"",""""),""("",""""),"")"","""")&amp;""\""&amp;INDEX(SPLIT($A$2,""_""),1)&amp;""\""&amp;INDEX(SPLIT($A$2,""_""),2)&amp;""\""&amp;SUBSTITUTE(SUBST"&amp;"ITUTE(SUBSTITUTE(SUBSTITUTE(SUBSTITUTE(INDEX(Hairstyles!$C:$C,MATCH($B408,Hairstyles!$F:$F,0)),"" "",""""),""'"",""""),""("",""""),"")"",""""),""-"",""_"")&amp;""_""&amp;$A$2)"),"ModularSMPHair\Human\Female\ModularSMPHair_CL_Human_Female")</f>
        <v>ModularSMPHair\Human\Female\ModularSMPHair_CL_Human_Female</v>
      </c>
      <c r="D408" s="12" t="str">
        <f t="shared" si="1"/>
        <v>Uvi_Wig_Spell_Evg_C-L,ModularSMPHair\Human\Female\ModularSMPHair_CL_Human_Female</v>
      </c>
    </row>
    <row r="409">
      <c r="B409" s="12" t="str">
        <f>IFERROR(__xludf.DUMMYFUNCTION("""COMPUTED_VALUE"""),"Uvi_Wig_Spell_Evg_C-M1")</f>
        <v>Uvi_Wig_Spell_Evg_C-M1</v>
      </c>
      <c r="C409" s="12" t="str">
        <f>IFERROR(__xludf.DUMMYFUNCTION("IF($B409="""","""",SUBSTITUTE(SUBSTITUTE(SUBSTITUTE(SUBSTITUTE(INDEX(Hairstyles!$A:$A,MATCH($B409,Hairstyles!$F:$F,0)),"" "",""""),""'"",""""),""("",""""),"")"","""")&amp;""\""&amp;INDEX(SPLIT($A$2,""_""),1)&amp;""\""&amp;INDEX(SPLIT($A$2,""_""),2)&amp;""\""&amp;SUBSTITUTE(SUBST"&amp;"ITUTE(SUBSTITUTE(SUBSTITUTE(SUBSTITUTE(INDEX(Hairstyles!$C:$C,MATCH($B409,Hairstyles!$F:$F,0)),"" "",""""),""'"",""""),""("",""""),"")"",""""),""-"",""_"")&amp;""_""&amp;$A$2)"),"ModularSMPHair\Human\Female\ModularSMPHair_CM1_Human_Female")</f>
        <v>ModularSMPHair\Human\Female\ModularSMPHair_CM1_Human_Female</v>
      </c>
      <c r="D409" s="12" t="str">
        <f t="shared" si="1"/>
        <v>Uvi_Wig_Spell_Evg_C-M1,ModularSMPHair\Human\Female\ModularSMPHair_CM1_Human_Female</v>
      </c>
    </row>
    <row r="410">
      <c r="B410" s="12" t="str">
        <f>IFERROR(__xludf.DUMMYFUNCTION("""COMPUTED_VALUE"""),"Uvi_Wig_Spell_Evg_C-M2")</f>
        <v>Uvi_Wig_Spell_Evg_C-M2</v>
      </c>
      <c r="C410" s="12" t="str">
        <f>IFERROR(__xludf.DUMMYFUNCTION("IF($B410="""","""",SUBSTITUTE(SUBSTITUTE(SUBSTITUTE(SUBSTITUTE(INDEX(Hairstyles!$A:$A,MATCH($B410,Hairstyles!$F:$F,0)),"" "",""""),""'"",""""),""("",""""),"")"","""")&amp;""\""&amp;INDEX(SPLIT($A$2,""_""),1)&amp;""\""&amp;INDEX(SPLIT($A$2,""_""),2)&amp;""\""&amp;SUBSTITUTE(SUBST"&amp;"ITUTE(SUBSTITUTE(SUBSTITUTE(SUBSTITUTE(INDEX(Hairstyles!$C:$C,MATCH($B410,Hairstyles!$F:$F,0)),"" "",""""),""'"",""""),""("",""""),"")"",""""),""-"",""_"")&amp;""_""&amp;$A$2)"),"ModularSMPHair\Human\Female\ModularSMPHair_CM2_Human_Female")</f>
        <v>ModularSMPHair\Human\Female\ModularSMPHair_CM2_Human_Female</v>
      </c>
      <c r="D410" s="12" t="str">
        <f t="shared" si="1"/>
        <v>Uvi_Wig_Spell_Evg_C-M2,ModularSMPHair\Human\Female\ModularSMPHair_CM2_Human_Female</v>
      </c>
    </row>
    <row r="411">
      <c r="B411" s="12" t="str">
        <f>IFERROR(__xludf.DUMMYFUNCTION("""COMPUTED_VALUE"""),"Uvi_Wig_Spell_Evg_D")</f>
        <v>Uvi_Wig_Spell_Evg_D</v>
      </c>
      <c r="C411" s="12" t="str">
        <f>IFERROR(__xludf.DUMMYFUNCTION("IF($B411="""","""",SUBSTITUTE(SUBSTITUTE(SUBSTITUTE(SUBSTITUTE(INDEX(Hairstyles!$A:$A,MATCH($B411,Hairstyles!$F:$F,0)),"" "",""""),""'"",""""),""("",""""),"")"","""")&amp;""\""&amp;INDEX(SPLIT($A$2,""_""),1)&amp;""\""&amp;INDEX(SPLIT($A$2,""_""),2)&amp;""\""&amp;SUBSTITUTE(SUBST"&amp;"ITUTE(SUBSTITUTE(SUBSTITUTE(SUBSTITUTE(INDEX(Hairstyles!$C:$C,MATCH($B411,Hairstyles!$F:$F,0)),"" "",""""),""'"",""""),""("",""""),"")"",""""),""-"",""_"")&amp;""_""&amp;$A$2)"),"ModularSMPHair\Human\Female\ModularSMPHair_D_Human_Female")</f>
        <v>ModularSMPHair\Human\Female\ModularSMPHair_D_Human_Female</v>
      </c>
      <c r="D411" s="12" t="str">
        <f t="shared" si="1"/>
        <v>Uvi_Wig_Spell_Evg_D,ModularSMPHair\Human\Female\ModularSMPHair_D_Human_Female</v>
      </c>
    </row>
    <row r="412">
      <c r="B412" s="12" t="str">
        <f>IFERROR(__xludf.DUMMYFUNCTION("""COMPUTED_VALUE"""),"Uvi_Wig_Spell_Evg_D-B")</f>
        <v>Uvi_Wig_Spell_Evg_D-B</v>
      </c>
      <c r="C412" s="12" t="str">
        <f>IFERROR(__xludf.DUMMYFUNCTION("IF($B412="""","""",SUBSTITUTE(SUBSTITUTE(SUBSTITUTE(SUBSTITUTE(INDEX(Hairstyles!$A:$A,MATCH($B412,Hairstyles!$F:$F,0)),"" "",""""),""'"",""""),""("",""""),"")"","""")&amp;""\""&amp;INDEX(SPLIT($A$2,""_""),1)&amp;""\""&amp;INDEX(SPLIT($A$2,""_""),2)&amp;""\""&amp;SUBSTITUTE(SUBST"&amp;"ITUTE(SUBSTITUTE(SUBSTITUTE(SUBSTITUTE(INDEX(Hairstyles!$C:$C,MATCH($B412,Hairstyles!$F:$F,0)),"" "",""""),""'"",""""),""("",""""),"")"",""""),""-"",""_"")&amp;""_""&amp;$A$2)"),"ModularSMPHair\Human\Female\ModularSMPHair_DB_Human_Female")</f>
        <v>ModularSMPHair\Human\Female\ModularSMPHair_DB_Human_Female</v>
      </c>
      <c r="D412" s="12" t="str">
        <f t="shared" si="1"/>
        <v>Uvi_Wig_Spell_Evg_D-B,ModularSMPHair\Human\Female\ModularSMPHair_DB_Human_Female</v>
      </c>
    </row>
    <row r="413">
      <c r="B413" s="12" t="str">
        <f>IFERROR(__xludf.DUMMYFUNCTION("""COMPUTED_VALUE"""),"Uvi_Wig_Spell_Evg_D-C")</f>
        <v>Uvi_Wig_Spell_Evg_D-C</v>
      </c>
      <c r="C413" s="12" t="str">
        <f>IFERROR(__xludf.DUMMYFUNCTION("IF($B413="""","""",SUBSTITUTE(SUBSTITUTE(SUBSTITUTE(SUBSTITUTE(INDEX(Hairstyles!$A:$A,MATCH($B413,Hairstyles!$F:$F,0)),"" "",""""),""'"",""""),""("",""""),"")"","""")&amp;""\""&amp;INDEX(SPLIT($A$2,""_""),1)&amp;""\""&amp;INDEX(SPLIT($A$2,""_""),2)&amp;""\""&amp;SUBSTITUTE(SUBST"&amp;"ITUTE(SUBSTITUTE(SUBSTITUTE(SUBSTITUTE(INDEX(Hairstyles!$C:$C,MATCH($B413,Hairstyles!$F:$F,0)),"" "",""""),""'"",""""),""("",""""),"")"",""""),""-"",""_"")&amp;""_""&amp;$A$2)"),"ModularSMPHair\Human\Female\ModularSMPHair_DC_Human_Female")</f>
        <v>ModularSMPHair\Human\Female\ModularSMPHair_DC_Human_Female</v>
      </c>
      <c r="D413" s="12" t="str">
        <f t="shared" si="1"/>
        <v>Uvi_Wig_Spell_Evg_D-C,ModularSMPHair\Human\Female\ModularSMPHair_DC_Human_Female</v>
      </c>
    </row>
    <row r="414">
      <c r="B414" s="12" t="str">
        <f>IFERROR(__xludf.DUMMYFUNCTION("""COMPUTED_VALUE"""),"Uvi_Wig_Spell_Evg_D-E")</f>
        <v>Uvi_Wig_Spell_Evg_D-E</v>
      </c>
      <c r="C414" s="12" t="str">
        <f>IFERROR(__xludf.DUMMYFUNCTION("IF($B414="""","""",SUBSTITUTE(SUBSTITUTE(SUBSTITUTE(SUBSTITUTE(INDEX(Hairstyles!$A:$A,MATCH($B414,Hairstyles!$F:$F,0)),"" "",""""),""'"",""""),""("",""""),"")"","""")&amp;""\""&amp;INDEX(SPLIT($A$2,""_""),1)&amp;""\""&amp;INDEX(SPLIT($A$2,""_""),2)&amp;""\""&amp;SUBSTITUTE(SUBST"&amp;"ITUTE(SUBSTITUTE(SUBSTITUTE(SUBSTITUTE(INDEX(Hairstyles!$C:$C,MATCH($B414,Hairstyles!$F:$F,0)),"" "",""""),""'"",""""),""("",""""),"")"",""""),""-"",""_"")&amp;""_""&amp;$A$2)"),"ModularSMPHair\Human\Female\ModularSMPHair_DE_Human_Female")</f>
        <v>ModularSMPHair\Human\Female\ModularSMPHair_DE_Human_Female</v>
      </c>
      <c r="D414" s="12" t="str">
        <f t="shared" si="1"/>
        <v>Uvi_Wig_Spell_Evg_D-E,ModularSMPHair\Human\Female\ModularSMPHair_DE_Human_Female</v>
      </c>
    </row>
    <row r="415">
      <c r="B415" s="12" t="str">
        <f>IFERROR(__xludf.DUMMYFUNCTION("""COMPUTED_VALUE"""),"Uvi_Wig_Spell_Evg_D-F")</f>
        <v>Uvi_Wig_Spell_Evg_D-F</v>
      </c>
      <c r="C415" s="12" t="str">
        <f>IFERROR(__xludf.DUMMYFUNCTION("IF($B415="""","""",SUBSTITUTE(SUBSTITUTE(SUBSTITUTE(SUBSTITUTE(INDEX(Hairstyles!$A:$A,MATCH($B415,Hairstyles!$F:$F,0)),"" "",""""),""'"",""""),""("",""""),"")"","""")&amp;""\""&amp;INDEX(SPLIT($A$2,""_""),1)&amp;""\""&amp;INDEX(SPLIT($A$2,""_""),2)&amp;""\""&amp;SUBSTITUTE(SUBST"&amp;"ITUTE(SUBSTITUTE(SUBSTITUTE(SUBSTITUTE(INDEX(Hairstyles!$C:$C,MATCH($B415,Hairstyles!$F:$F,0)),"" "",""""),""'"",""""),""("",""""),"")"",""""),""-"",""_"")&amp;""_""&amp;$A$2)"),"ModularSMPHair\Human\Female\ModularSMPHair_DF_Human_Female")</f>
        <v>ModularSMPHair\Human\Female\ModularSMPHair_DF_Human_Female</v>
      </c>
      <c r="D415" s="12" t="str">
        <f t="shared" si="1"/>
        <v>Uvi_Wig_Spell_Evg_D-F,ModularSMPHair\Human\Female\ModularSMPHair_DF_Human_Female</v>
      </c>
    </row>
    <row r="416">
      <c r="B416" s="12" t="str">
        <f>IFERROR(__xludf.DUMMYFUNCTION("""COMPUTED_VALUE"""),"Uvi_Wig_Spell_Evg_D-G")</f>
        <v>Uvi_Wig_Spell_Evg_D-G</v>
      </c>
      <c r="C416" s="12" t="str">
        <f>IFERROR(__xludf.DUMMYFUNCTION("IF($B416="""","""",SUBSTITUTE(SUBSTITUTE(SUBSTITUTE(SUBSTITUTE(INDEX(Hairstyles!$A:$A,MATCH($B416,Hairstyles!$F:$F,0)),"" "",""""),""'"",""""),""("",""""),"")"","""")&amp;""\""&amp;INDEX(SPLIT($A$2,""_""),1)&amp;""\""&amp;INDEX(SPLIT($A$2,""_""),2)&amp;""\""&amp;SUBSTITUTE(SUBST"&amp;"ITUTE(SUBSTITUTE(SUBSTITUTE(SUBSTITUTE(INDEX(Hairstyles!$C:$C,MATCH($B416,Hairstyles!$F:$F,0)),"" "",""""),""'"",""""),""("",""""),"")"",""""),""-"",""_"")&amp;""_""&amp;$A$2)"),"ModularSMPHair\Human\Female\ModularSMPHair_DG_Human_Female")</f>
        <v>ModularSMPHair\Human\Female\ModularSMPHair_DG_Human_Female</v>
      </c>
      <c r="D416" s="12" t="str">
        <f t="shared" si="1"/>
        <v>Uvi_Wig_Spell_Evg_D-G,ModularSMPHair\Human\Female\ModularSMPHair_DG_Human_Female</v>
      </c>
    </row>
    <row r="417">
      <c r="B417" s="12" t="str">
        <f>IFERROR(__xludf.DUMMYFUNCTION("""COMPUTED_VALUE"""),"Uvi_Wig_Spell_Evg_D-H")</f>
        <v>Uvi_Wig_Spell_Evg_D-H</v>
      </c>
      <c r="C417" s="12" t="str">
        <f>IFERROR(__xludf.DUMMYFUNCTION("IF($B417="""","""",SUBSTITUTE(SUBSTITUTE(SUBSTITUTE(SUBSTITUTE(INDEX(Hairstyles!$A:$A,MATCH($B417,Hairstyles!$F:$F,0)),"" "",""""),""'"",""""),""("",""""),"")"","""")&amp;""\""&amp;INDEX(SPLIT($A$2,""_""),1)&amp;""\""&amp;INDEX(SPLIT($A$2,""_""),2)&amp;""\""&amp;SUBSTITUTE(SUBST"&amp;"ITUTE(SUBSTITUTE(SUBSTITUTE(SUBSTITUTE(INDEX(Hairstyles!$C:$C,MATCH($B417,Hairstyles!$F:$F,0)),"" "",""""),""'"",""""),""("",""""),"")"",""""),""-"",""_"")&amp;""_""&amp;$A$2)"),"ModularSMPHair\Human\Female\ModularSMPHair_DH_Human_Female")</f>
        <v>ModularSMPHair\Human\Female\ModularSMPHair_DH_Human_Female</v>
      </c>
      <c r="D417" s="12" t="str">
        <f t="shared" si="1"/>
        <v>Uvi_Wig_Spell_Evg_D-H,ModularSMPHair\Human\Female\ModularSMPHair_DH_Human_Female</v>
      </c>
    </row>
    <row r="418">
      <c r="B418" s="12" t="str">
        <f>IFERROR(__xludf.DUMMYFUNCTION("""COMPUTED_VALUE"""),"Uvi_Wig_Spell_Evg_D-I")</f>
        <v>Uvi_Wig_Spell_Evg_D-I</v>
      </c>
      <c r="C418" s="12" t="str">
        <f>IFERROR(__xludf.DUMMYFUNCTION("IF($B418="""","""",SUBSTITUTE(SUBSTITUTE(SUBSTITUTE(SUBSTITUTE(INDEX(Hairstyles!$A:$A,MATCH($B418,Hairstyles!$F:$F,0)),"" "",""""),""'"",""""),""("",""""),"")"","""")&amp;""\""&amp;INDEX(SPLIT($A$2,""_""),1)&amp;""\""&amp;INDEX(SPLIT($A$2,""_""),2)&amp;""\""&amp;SUBSTITUTE(SUBST"&amp;"ITUTE(SUBSTITUTE(SUBSTITUTE(SUBSTITUTE(INDEX(Hairstyles!$C:$C,MATCH($B418,Hairstyles!$F:$F,0)),"" "",""""),""'"",""""),""("",""""),"")"",""""),""-"",""_"")&amp;""_""&amp;$A$2)"),"ModularSMPHair\Human\Female\ModularSMPHair_DI_Human_Female")</f>
        <v>ModularSMPHair\Human\Female\ModularSMPHair_DI_Human_Female</v>
      </c>
      <c r="D418" s="12" t="str">
        <f t="shared" si="1"/>
        <v>Uvi_Wig_Spell_Evg_D-I,ModularSMPHair\Human\Female\ModularSMPHair_DI_Human_Female</v>
      </c>
    </row>
    <row r="419">
      <c r="B419" s="12" t="str">
        <f>IFERROR(__xludf.DUMMYFUNCTION("""COMPUTED_VALUE"""),"Uvi_Wig_Spell_Evg_D-J")</f>
        <v>Uvi_Wig_Spell_Evg_D-J</v>
      </c>
      <c r="C419" s="12" t="str">
        <f>IFERROR(__xludf.DUMMYFUNCTION("IF($B419="""","""",SUBSTITUTE(SUBSTITUTE(SUBSTITUTE(SUBSTITUTE(INDEX(Hairstyles!$A:$A,MATCH($B419,Hairstyles!$F:$F,0)),"" "",""""),""'"",""""),""("",""""),"")"","""")&amp;""\""&amp;INDEX(SPLIT($A$2,""_""),1)&amp;""\""&amp;INDEX(SPLIT($A$2,""_""),2)&amp;""\""&amp;SUBSTITUTE(SUBST"&amp;"ITUTE(SUBSTITUTE(SUBSTITUTE(SUBSTITUTE(INDEX(Hairstyles!$C:$C,MATCH($B419,Hairstyles!$F:$F,0)),"" "",""""),""'"",""""),""("",""""),"")"",""""),""-"",""_"")&amp;""_""&amp;$A$2)"),"ModularSMPHair\Human\Female\ModularSMPHair_DJ_Human_Female")</f>
        <v>ModularSMPHair\Human\Female\ModularSMPHair_DJ_Human_Female</v>
      </c>
      <c r="D419" s="12" t="str">
        <f t="shared" si="1"/>
        <v>Uvi_Wig_Spell_Evg_D-J,ModularSMPHair\Human\Female\ModularSMPHair_DJ_Human_Female</v>
      </c>
    </row>
    <row r="420">
      <c r="B420" s="12" t="str">
        <f>IFERROR(__xludf.DUMMYFUNCTION("""COMPUTED_VALUE"""),"Uvi_Wig_Spell_Evg_D-K")</f>
        <v>Uvi_Wig_Spell_Evg_D-K</v>
      </c>
      <c r="C420" s="12" t="str">
        <f>IFERROR(__xludf.DUMMYFUNCTION("IF($B420="""","""",SUBSTITUTE(SUBSTITUTE(SUBSTITUTE(SUBSTITUTE(INDEX(Hairstyles!$A:$A,MATCH($B420,Hairstyles!$F:$F,0)),"" "",""""),""'"",""""),""("",""""),"")"","""")&amp;""\""&amp;INDEX(SPLIT($A$2,""_""),1)&amp;""\""&amp;INDEX(SPLIT($A$2,""_""),2)&amp;""\""&amp;SUBSTITUTE(SUBST"&amp;"ITUTE(SUBSTITUTE(SUBSTITUTE(SUBSTITUTE(INDEX(Hairstyles!$C:$C,MATCH($B420,Hairstyles!$F:$F,0)),"" "",""""),""'"",""""),""("",""""),"")"",""""),""-"",""_"")&amp;""_""&amp;$A$2)"),"ModularSMPHair\Human\Female\ModularSMPHair_DK_Human_Female")</f>
        <v>ModularSMPHair\Human\Female\ModularSMPHair_DK_Human_Female</v>
      </c>
      <c r="D420" s="12" t="str">
        <f t="shared" si="1"/>
        <v>Uvi_Wig_Spell_Evg_D-K,ModularSMPHair\Human\Female\ModularSMPHair_DK_Human_Female</v>
      </c>
    </row>
    <row r="421">
      <c r="B421" s="12" t="str">
        <f>IFERROR(__xludf.DUMMYFUNCTION("""COMPUTED_VALUE"""),"Uvi_Wig_Spell_Evg_D-L")</f>
        <v>Uvi_Wig_Spell_Evg_D-L</v>
      </c>
      <c r="C421" s="12" t="str">
        <f>IFERROR(__xludf.DUMMYFUNCTION("IF($B421="""","""",SUBSTITUTE(SUBSTITUTE(SUBSTITUTE(SUBSTITUTE(INDEX(Hairstyles!$A:$A,MATCH($B421,Hairstyles!$F:$F,0)),"" "",""""),""'"",""""),""("",""""),"")"","""")&amp;""\""&amp;INDEX(SPLIT($A$2,""_""),1)&amp;""\""&amp;INDEX(SPLIT($A$2,""_""),2)&amp;""\""&amp;SUBSTITUTE(SUBST"&amp;"ITUTE(SUBSTITUTE(SUBSTITUTE(SUBSTITUTE(INDEX(Hairstyles!$C:$C,MATCH($B421,Hairstyles!$F:$F,0)),"" "",""""),""'"",""""),""("",""""),"")"",""""),""-"",""_"")&amp;""_""&amp;$A$2)"),"ModularSMPHair\Human\Female\ModularSMPHair_DL_Human_Female")</f>
        <v>ModularSMPHair\Human\Female\ModularSMPHair_DL_Human_Female</v>
      </c>
      <c r="D421" s="12" t="str">
        <f t="shared" si="1"/>
        <v>Uvi_Wig_Spell_Evg_D-L,ModularSMPHair\Human\Female\ModularSMPHair_DL_Human_Female</v>
      </c>
    </row>
    <row r="422">
      <c r="B422" s="12" t="str">
        <f>IFERROR(__xludf.DUMMYFUNCTION("""COMPUTED_VALUE"""),"Uvi_Wig_Spell_Evg_D-M1")</f>
        <v>Uvi_Wig_Spell_Evg_D-M1</v>
      </c>
      <c r="C422" s="12" t="str">
        <f>IFERROR(__xludf.DUMMYFUNCTION("IF($B422="""","""",SUBSTITUTE(SUBSTITUTE(SUBSTITUTE(SUBSTITUTE(INDEX(Hairstyles!$A:$A,MATCH($B422,Hairstyles!$F:$F,0)),"" "",""""),""'"",""""),""("",""""),"")"","""")&amp;""\""&amp;INDEX(SPLIT($A$2,""_""),1)&amp;""\""&amp;INDEX(SPLIT($A$2,""_""),2)&amp;""\""&amp;SUBSTITUTE(SUBST"&amp;"ITUTE(SUBSTITUTE(SUBSTITUTE(SUBSTITUTE(INDEX(Hairstyles!$C:$C,MATCH($B422,Hairstyles!$F:$F,0)),"" "",""""),""'"",""""),""("",""""),"")"",""""),""-"",""_"")&amp;""_""&amp;$A$2)"),"ModularSMPHair\Human\Female\ModularSMPHair_DM1_Human_Female")</f>
        <v>ModularSMPHair\Human\Female\ModularSMPHair_DM1_Human_Female</v>
      </c>
      <c r="D422" s="12" t="str">
        <f t="shared" si="1"/>
        <v>Uvi_Wig_Spell_Evg_D-M1,ModularSMPHair\Human\Female\ModularSMPHair_DM1_Human_Female</v>
      </c>
    </row>
    <row r="423">
      <c r="B423" s="12" t="str">
        <f>IFERROR(__xludf.DUMMYFUNCTION("""COMPUTED_VALUE"""),"Uvi_Wig_Spell_Evg_D-M2")</f>
        <v>Uvi_Wig_Spell_Evg_D-M2</v>
      </c>
      <c r="C423" s="12" t="str">
        <f>IFERROR(__xludf.DUMMYFUNCTION("IF($B423="""","""",SUBSTITUTE(SUBSTITUTE(SUBSTITUTE(SUBSTITUTE(INDEX(Hairstyles!$A:$A,MATCH($B423,Hairstyles!$F:$F,0)),"" "",""""),""'"",""""),""("",""""),"")"","""")&amp;""\""&amp;INDEX(SPLIT($A$2,""_""),1)&amp;""\""&amp;INDEX(SPLIT($A$2,""_""),2)&amp;""\""&amp;SUBSTITUTE(SUBST"&amp;"ITUTE(SUBSTITUTE(SUBSTITUTE(SUBSTITUTE(INDEX(Hairstyles!$C:$C,MATCH($B423,Hairstyles!$F:$F,0)),"" "",""""),""'"",""""),""("",""""),"")"",""""),""-"",""_"")&amp;""_""&amp;$A$2)"),"ModularSMPHair\Human\Female\ModularSMPHair_DM2_Human_Female")</f>
        <v>ModularSMPHair\Human\Female\ModularSMPHair_DM2_Human_Female</v>
      </c>
      <c r="D423" s="12" t="str">
        <f t="shared" si="1"/>
        <v>Uvi_Wig_Spell_Evg_D-M2,ModularSMPHair\Human\Female\ModularSMPHair_DM2_Human_Female</v>
      </c>
    </row>
    <row r="424">
      <c r="B424" s="12" t="str">
        <f>IFERROR(__xludf.DUMMYFUNCTION("""COMPUTED_VALUE"""),"Uvi_Wig_Spell_Evg_E")</f>
        <v>Uvi_Wig_Spell_Evg_E</v>
      </c>
      <c r="C424" s="12" t="str">
        <f>IFERROR(__xludf.DUMMYFUNCTION("IF($B424="""","""",SUBSTITUTE(SUBSTITUTE(SUBSTITUTE(SUBSTITUTE(INDEX(Hairstyles!$A:$A,MATCH($B424,Hairstyles!$F:$F,0)),"" "",""""),""'"",""""),""("",""""),"")"","""")&amp;""\""&amp;INDEX(SPLIT($A$2,""_""),1)&amp;""\""&amp;INDEX(SPLIT($A$2,""_""),2)&amp;""\""&amp;SUBSTITUTE(SUBST"&amp;"ITUTE(SUBSTITUTE(SUBSTITUTE(SUBSTITUTE(INDEX(Hairstyles!$C:$C,MATCH($B424,Hairstyles!$F:$F,0)),"" "",""""),""'"",""""),""("",""""),"")"",""""),""-"",""_"")&amp;""_""&amp;$A$2)"),"ModularSMPHair\Human\Female\ModularSMPHair_E_Human_Female")</f>
        <v>ModularSMPHair\Human\Female\ModularSMPHair_E_Human_Female</v>
      </c>
      <c r="D424" s="12" t="str">
        <f t="shared" si="1"/>
        <v>Uvi_Wig_Spell_Evg_E,ModularSMPHair\Human\Female\ModularSMPHair_E_Human_Female</v>
      </c>
    </row>
    <row r="425">
      <c r="B425" s="12" t="str">
        <f>IFERROR(__xludf.DUMMYFUNCTION("""COMPUTED_VALUE"""),"Uvi_Wig_Spell_Evg_E-B")</f>
        <v>Uvi_Wig_Spell_Evg_E-B</v>
      </c>
      <c r="C425" s="12" t="str">
        <f>IFERROR(__xludf.DUMMYFUNCTION("IF($B425="""","""",SUBSTITUTE(SUBSTITUTE(SUBSTITUTE(SUBSTITUTE(INDEX(Hairstyles!$A:$A,MATCH($B425,Hairstyles!$F:$F,0)),"" "",""""),""'"",""""),""("",""""),"")"","""")&amp;""\""&amp;INDEX(SPLIT($A$2,""_""),1)&amp;""\""&amp;INDEX(SPLIT($A$2,""_""),2)&amp;""\""&amp;SUBSTITUTE(SUBST"&amp;"ITUTE(SUBSTITUTE(SUBSTITUTE(SUBSTITUTE(INDEX(Hairstyles!$C:$C,MATCH($B425,Hairstyles!$F:$F,0)),"" "",""""),""'"",""""),""("",""""),"")"",""""),""-"",""_"")&amp;""_""&amp;$A$2)"),"ModularSMPHair\Human\Female\ModularSMPHair_EB_Human_Female")</f>
        <v>ModularSMPHair\Human\Female\ModularSMPHair_EB_Human_Female</v>
      </c>
      <c r="D425" s="12" t="str">
        <f t="shared" si="1"/>
        <v>Uvi_Wig_Spell_Evg_E-B,ModularSMPHair\Human\Female\ModularSMPHair_EB_Human_Female</v>
      </c>
    </row>
    <row r="426">
      <c r="B426" s="12" t="str">
        <f>IFERROR(__xludf.DUMMYFUNCTION("""COMPUTED_VALUE"""),"Uvi_Wig_Spell_Evg_E-C")</f>
        <v>Uvi_Wig_Spell_Evg_E-C</v>
      </c>
      <c r="C426" s="12" t="str">
        <f>IFERROR(__xludf.DUMMYFUNCTION("IF($B426="""","""",SUBSTITUTE(SUBSTITUTE(SUBSTITUTE(SUBSTITUTE(INDEX(Hairstyles!$A:$A,MATCH($B426,Hairstyles!$F:$F,0)),"" "",""""),""'"",""""),""("",""""),"")"","""")&amp;""\""&amp;INDEX(SPLIT($A$2,""_""),1)&amp;""\""&amp;INDEX(SPLIT($A$2,""_""),2)&amp;""\""&amp;SUBSTITUTE(SUBST"&amp;"ITUTE(SUBSTITUTE(SUBSTITUTE(SUBSTITUTE(INDEX(Hairstyles!$C:$C,MATCH($B426,Hairstyles!$F:$F,0)),"" "",""""),""'"",""""),""("",""""),"")"",""""),""-"",""_"")&amp;""_""&amp;$A$2)"),"ModularSMPHair\Human\Female\ModularSMPHair_EC_Human_Female")</f>
        <v>ModularSMPHair\Human\Female\ModularSMPHair_EC_Human_Female</v>
      </c>
      <c r="D426" s="12" t="str">
        <f t="shared" si="1"/>
        <v>Uvi_Wig_Spell_Evg_E-C,ModularSMPHair\Human\Female\ModularSMPHair_EC_Human_Female</v>
      </c>
    </row>
    <row r="427">
      <c r="B427" s="12" t="str">
        <f>IFERROR(__xludf.DUMMYFUNCTION("""COMPUTED_VALUE"""),"Uvi_Wig_Spell_Evg_E-E")</f>
        <v>Uvi_Wig_Spell_Evg_E-E</v>
      </c>
      <c r="C427" s="12" t="str">
        <f>IFERROR(__xludf.DUMMYFUNCTION("IF($B427="""","""",SUBSTITUTE(SUBSTITUTE(SUBSTITUTE(SUBSTITUTE(INDEX(Hairstyles!$A:$A,MATCH($B427,Hairstyles!$F:$F,0)),"" "",""""),""'"",""""),""("",""""),"")"","""")&amp;""\""&amp;INDEX(SPLIT($A$2,""_""),1)&amp;""\""&amp;INDEX(SPLIT($A$2,""_""),2)&amp;""\""&amp;SUBSTITUTE(SUBST"&amp;"ITUTE(SUBSTITUTE(SUBSTITUTE(SUBSTITUTE(INDEX(Hairstyles!$C:$C,MATCH($B427,Hairstyles!$F:$F,0)),"" "",""""),""'"",""""),""("",""""),"")"",""""),""-"",""_"")&amp;""_""&amp;$A$2)"),"ModularSMPHair\Human\Female\ModularSMPHair_EE_Human_Female")</f>
        <v>ModularSMPHair\Human\Female\ModularSMPHair_EE_Human_Female</v>
      </c>
      <c r="D427" s="12" t="str">
        <f t="shared" si="1"/>
        <v>Uvi_Wig_Spell_Evg_E-E,ModularSMPHair\Human\Female\ModularSMPHair_EE_Human_Female</v>
      </c>
    </row>
    <row r="428">
      <c r="B428" s="12" t="str">
        <f>IFERROR(__xludf.DUMMYFUNCTION("""COMPUTED_VALUE"""),"Uvi_Wig_Spell_Evg_E-F")</f>
        <v>Uvi_Wig_Spell_Evg_E-F</v>
      </c>
      <c r="C428" s="12" t="str">
        <f>IFERROR(__xludf.DUMMYFUNCTION("IF($B428="""","""",SUBSTITUTE(SUBSTITUTE(SUBSTITUTE(SUBSTITUTE(INDEX(Hairstyles!$A:$A,MATCH($B428,Hairstyles!$F:$F,0)),"" "",""""),""'"",""""),""("",""""),"")"","""")&amp;""\""&amp;INDEX(SPLIT($A$2,""_""),1)&amp;""\""&amp;INDEX(SPLIT($A$2,""_""),2)&amp;""\""&amp;SUBSTITUTE(SUBST"&amp;"ITUTE(SUBSTITUTE(SUBSTITUTE(SUBSTITUTE(INDEX(Hairstyles!$C:$C,MATCH($B428,Hairstyles!$F:$F,0)),"" "",""""),""'"",""""),""("",""""),"")"",""""),""-"",""_"")&amp;""_""&amp;$A$2)"),"ModularSMPHair\Human\Female\ModularSMPHair_EF_Human_Female")</f>
        <v>ModularSMPHair\Human\Female\ModularSMPHair_EF_Human_Female</v>
      </c>
      <c r="D428" s="12" t="str">
        <f t="shared" si="1"/>
        <v>Uvi_Wig_Spell_Evg_E-F,ModularSMPHair\Human\Female\ModularSMPHair_EF_Human_Female</v>
      </c>
    </row>
    <row r="429">
      <c r="B429" s="12" t="str">
        <f>IFERROR(__xludf.DUMMYFUNCTION("""COMPUTED_VALUE"""),"Uvi_Wig_Spell_Evg_E-G")</f>
        <v>Uvi_Wig_Spell_Evg_E-G</v>
      </c>
      <c r="C429" s="12" t="str">
        <f>IFERROR(__xludf.DUMMYFUNCTION("IF($B429="""","""",SUBSTITUTE(SUBSTITUTE(SUBSTITUTE(SUBSTITUTE(INDEX(Hairstyles!$A:$A,MATCH($B429,Hairstyles!$F:$F,0)),"" "",""""),""'"",""""),""("",""""),"")"","""")&amp;""\""&amp;INDEX(SPLIT($A$2,""_""),1)&amp;""\""&amp;INDEX(SPLIT($A$2,""_""),2)&amp;""\""&amp;SUBSTITUTE(SUBST"&amp;"ITUTE(SUBSTITUTE(SUBSTITUTE(SUBSTITUTE(INDEX(Hairstyles!$C:$C,MATCH($B429,Hairstyles!$F:$F,0)),"" "",""""),""'"",""""),""("",""""),"")"",""""),""-"",""_"")&amp;""_""&amp;$A$2)"),"ModularSMPHair\Human\Female\ModularSMPHair_EG_Human_Female")</f>
        <v>ModularSMPHair\Human\Female\ModularSMPHair_EG_Human_Female</v>
      </c>
      <c r="D429" s="12" t="str">
        <f t="shared" si="1"/>
        <v>Uvi_Wig_Spell_Evg_E-G,ModularSMPHair\Human\Female\ModularSMPHair_EG_Human_Female</v>
      </c>
    </row>
    <row r="430">
      <c r="B430" s="12" t="str">
        <f>IFERROR(__xludf.DUMMYFUNCTION("""COMPUTED_VALUE"""),"Uvi_Wig_Spell_Evg_E-H")</f>
        <v>Uvi_Wig_Spell_Evg_E-H</v>
      </c>
      <c r="C430" s="12" t="str">
        <f>IFERROR(__xludf.DUMMYFUNCTION("IF($B430="""","""",SUBSTITUTE(SUBSTITUTE(SUBSTITUTE(SUBSTITUTE(INDEX(Hairstyles!$A:$A,MATCH($B430,Hairstyles!$F:$F,0)),"" "",""""),""'"",""""),""("",""""),"")"","""")&amp;""\""&amp;INDEX(SPLIT($A$2,""_""),1)&amp;""\""&amp;INDEX(SPLIT($A$2,""_""),2)&amp;""\""&amp;SUBSTITUTE(SUBST"&amp;"ITUTE(SUBSTITUTE(SUBSTITUTE(SUBSTITUTE(INDEX(Hairstyles!$C:$C,MATCH($B430,Hairstyles!$F:$F,0)),"" "",""""),""'"",""""),""("",""""),"")"",""""),""-"",""_"")&amp;""_""&amp;$A$2)"),"ModularSMPHair\Human\Female\ModularSMPHair_EH_Human_Female")</f>
        <v>ModularSMPHair\Human\Female\ModularSMPHair_EH_Human_Female</v>
      </c>
      <c r="D430" s="12" t="str">
        <f t="shared" si="1"/>
        <v>Uvi_Wig_Spell_Evg_E-H,ModularSMPHair\Human\Female\ModularSMPHair_EH_Human_Female</v>
      </c>
    </row>
    <row r="431">
      <c r="B431" s="12" t="str">
        <f>IFERROR(__xludf.DUMMYFUNCTION("""COMPUTED_VALUE"""),"Uvi_Wig_Spell_Evg_E-I")</f>
        <v>Uvi_Wig_Spell_Evg_E-I</v>
      </c>
      <c r="C431" s="12" t="str">
        <f>IFERROR(__xludf.DUMMYFUNCTION("IF($B431="""","""",SUBSTITUTE(SUBSTITUTE(SUBSTITUTE(SUBSTITUTE(INDEX(Hairstyles!$A:$A,MATCH($B431,Hairstyles!$F:$F,0)),"" "",""""),""'"",""""),""("",""""),"")"","""")&amp;""\""&amp;INDEX(SPLIT($A$2,""_""),1)&amp;""\""&amp;INDEX(SPLIT($A$2,""_""),2)&amp;""\""&amp;SUBSTITUTE(SUBST"&amp;"ITUTE(SUBSTITUTE(SUBSTITUTE(SUBSTITUTE(INDEX(Hairstyles!$C:$C,MATCH($B431,Hairstyles!$F:$F,0)),"" "",""""),""'"",""""),""("",""""),"")"",""""),""-"",""_"")&amp;""_""&amp;$A$2)"),"ModularSMPHair\Human\Female\ModularSMPHair_EI_Human_Female")</f>
        <v>ModularSMPHair\Human\Female\ModularSMPHair_EI_Human_Female</v>
      </c>
      <c r="D431" s="12" t="str">
        <f t="shared" si="1"/>
        <v>Uvi_Wig_Spell_Evg_E-I,ModularSMPHair\Human\Female\ModularSMPHair_EI_Human_Female</v>
      </c>
    </row>
    <row r="432">
      <c r="B432" s="12" t="str">
        <f>IFERROR(__xludf.DUMMYFUNCTION("""COMPUTED_VALUE"""),"Uvi_Wig_Spell_Evg_E-J")</f>
        <v>Uvi_Wig_Spell_Evg_E-J</v>
      </c>
      <c r="C432" s="12" t="str">
        <f>IFERROR(__xludf.DUMMYFUNCTION("IF($B432="""","""",SUBSTITUTE(SUBSTITUTE(SUBSTITUTE(SUBSTITUTE(INDEX(Hairstyles!$A:$A,MATCH($B432,Hairstyles!$F:$F,0)),"" "",""""),""'"",""""),""("",""""),"")"","""")&amp;""\""&amp;INDEX(SPLIT($A$2,""_""),1)&amp;""\""&amp;INDEX(SPLIT($A$2,""_""),2)&amp;""\""&amp;SUBSTITUTE(SUBST"&amp;"ITUTE(SUBSTITUTE(SUBSTITUTE(SUBSTITUTE(INDEX(Hairstyles!$C:$C,MATCH($B432,Hairstyles!$F:$F,0)),"" "",""""),""'"",""""),""("",""""),"")"",""""),""-"",""_"")&amp;""_""&amp;$A$2)"),"ModularSMPHair\Human\Female\ModularSMPHair_EJ_Human_Female")</f>
        <v>ModularSMPHair\Human\Female\ModularSMPHair_EJ_Human_Female</v>
      </c>
      <c r="D432" s="12" t="str">
        <f t="shared" si="1"/>
        <v>Uvi_Wig_Spell_Evg_E-J,ModularSMPHair\Human\Female\ModularSMPHair_EJ_Human_Female</v>
      </c>
    </row>
    <row r="433">
      <c r="B433" s="12" t="str">
        <f>IFERROR(__xludf.DUMMYFUNCTION("""COMPUTED_VALUE"""),"Uvi_Wig_Spell_Evg_E-K")</f>
        <v>Uvi_Wig_Spell_Evg_E-K</v>
      </c>
      <c r="C433" s="12" t="str">
        <f>IFERROR(__xludf.DUMMYFUNCTION("IF($B433="""","""",SUBSTITUTE(SUBSTITUTE(SUBSTITUTE(SUBSTITUTE(INDEX(Hairstyles!$A:$A,MATCH($B433,Hairstyles!$F:$F,0)),"" "",""""),""'"",""""),""("",""""),"")"","""")&amp;""\""&amp;INDEX(SPLIT($A$2,""_""),1)&amp;""\""&amp;INDEX(SPLIT($A$2,""_""),2)&amp;""\""&amp;SUBSTITUTE(SUBST"&amp;"ITUTE(SUBSTITUTE(SUBSTITUTE(SUBSTITUTE(INDEX(Hairstyles!$C:$C,MATCH($B433,Hairstyles!$F:$F,0)),"" "",""""),""'"",""""),""("",""""),"")"",""""),""-"",""_"")&amp;""_""&amp;$A$2)"),"ModularSMPHair\Human\Female\ModularSMPHair_EK_Human_Female")</f>
        <v>ModularSMPHair\Human\Female\ModularSMPHair_EK_Human_Female</v>
      </c>
      <c r="D433" s="12" t="str">
        <f t="shared" si="1"/>
        <v>Uvi_Wig_Spell_Evg_E-K,ModularSMPHair\Human\Female\ModularSMPHair_EK_Human_Female</v>
      </c>
    </row>
    <row r="434">
      <c r="B434" s="12" t="str">
        <f>IFERROR(__xludf.DUMMYFUNCTION("""COMPUTED_VALUE"""),"Uvi_Wig_Spell_Evg_E-L")</f>
        <v>Uvi_Wig_Spell_Evg_E-L</v>
      </c>
      <c r="C434" s="12" t="str">
        <f>IFERROR(__xludf.DUMMYFUNCTION("IF($B434="""","""",SUBSTITUTE(SUBSTITUTE(SUBSTITUTE(SUBSTITUTE(INDEX(Hairstyles!$A:$A,MATCH($B434,Hairstyles!$F:$F,0)),"" "",""""),""'"",""""),""("",""""),"")"","""")&amp;""\""&amp;INDEX(SPLIT($A$2,""_""),1)&amp;""\""&amp;INDEX(SPLIT($A$2,""_""),2)&amp;""\""&amp;SUBSTITUTE(SUBST"&amp;"ITUTE(SUBSTITUTE(SUBSTITUTE(SUBSTITUTE(INDEX(Hairstyles!$C:$C,MATCH($B434,Hairstyles!$F:$F,0)),"" "",""""),""'"",""""),""("",""""),"")"",""""),""-"",""_"")&amp;""_""&amp;$A$2)"),"ModularSMPHair\Human\Female\ModularSMPHair_EL_Human_Female")</f>
        <v>ModularSMPHair\Human\Female\ModularSMPHair_EL_Human_Female</v>
      </c>
      <c r="D434" s="12" t="str">
        <f t="shared" si="1"/>
        <v>Uvi_Wig_Spell_Evg_E-L,ModularSMPHair\Human\Female\ModularSMPHair_EL_Human_Female</v>
      </c>
    </row>
    <row r="435">
      <c r="B435" s="12" t="str">
        <f>IFERROR(__xludf.DUMMYFUNCTION("""COMPUTED_VALUE"""),"Uvi_Wig_Spell_Evg_E-M1")</f>
        <v>Uvi_Wig_Spell_Evg_E-M1</v>
      </c>
      <c r="C435" s="12" t="str">
        <f>IFERROR(__xludf.DUMMYFUNCTION("IF($B435="""","""",SUBSTITUTE(SUBSTITUTE(SUBSTITUTE(SUBSTITUTE(INDEX(Hairstyles!$A:$A,MATCH($B435,Hairstyles!$F:$F,0)),"" "",""""),""'"",""""),""("",""""),"")"","""")&amp;""\""&amp;INDEX(SPLIT($A$2,""_""),1)&amp;""\""&amp;INDEX(SPLIT($A$2,""_""),2)&amp;""\""&amp;SUBSTITUTE(SUBST"&amp;"ITUTE(SUBSTITUTE(SUBSTITUTE(SUBSTITUTE(INDEX(Hairstyles!$C:$C,MATCH($B435,Hairstyles!$F:$F,0)),"" "",""""),""'"",""""),""("",""""),"")"",""""),""-"",""_"")&amp;""_""&amp;$A$2)"),"ModularSMPHair\Human\Female\ModularSMPHair_EM1_Human_Female")</f>
        <v>ModularSMPHair\Human\Female\ModularSMPHair_EM1_Human_Female</v>
      </c>
      <c r="D435" s="12" t="str">
        <f t="shared" si="1"/>
        <v>Uvi_Wig_Spell_Evg_E-M1,ModularSMPHair\Human\Female\ModularSMPHair_EM1_Human_Female</v>
      </c>
    </row>
    <row r="436">
      <c r="B436" s="12" t="str">
        <f>IFERROR(__xludf.DUMMYFUNCTION("""COMPUTED_VALUE"""),"Uvi_Wig_Spell_Evg_E-M2")</f>
        <v>Uvi_Wig_Spell_Evg_E-M2</v>
      </c>
      <c r="C436" s="12" t="str">
        <f>IFERROR(__xludf.DUMMYFUNCTION("IF($B436="""","""",SUBSTITUTE(SUBSTITUTE(SUBSTITUTE(SUBSTITUTE(INDEX(Hairstyles!$A:$A,MATCH($B436,Hairstyles!$F:$F,0)),"" "",""""),""'"",""""),""("",""""),"")"","""")&amp;""\""&amp;INDEX(SPLIT($A$2,""_""),1)&amp;""\""&amp;INDEX(SPLIT($A$2,""_""),2)&amp;""\""&amp;SUBSTITUTE(SUBST"&amp;"ITUTE(SUBSTITUTE(SUBSTITUTE(SUBSTITUTE(INDEX(Hairstyles!$C:$C,MATCH($B436,Hairstyles!$F:$F,0)),"" "",""""),""'"",""""),""("",""""),"")"",""""),""-"",""_"")&amp;""_""&amp;$A$2)"),"ModularSMPHair\Human\Female\ModularSMPHair_EM2_Human_Female")</f>
        <v>ModularSMPHair\Human\Female\ModularSMPHair_EM2_Human_Female</v>
      </c>
      <c r="D436" s="12" t="str">
        <f t="shared" si="1"/>
        <v>Uvi_Wig_Spell_Evg_E-M2,ModularSMPHair\Human\Female\ModularSMPHair_EM2_Human_Female</v>
      </c>
    </row>
    <row r="437">
      <c r="B437" s="12" t="str">
        <f>IFERROR(__xludf.DUMMYFUNCTION("""COMPUTED_VALUE"""),"Uvi_Wig_Spell_Evg_F")</f>
        <v>Uvi_Wig_Spell_Evg_F</v>
      </c>
      <c r="C437" s="12" t="str">
        <f>IFERROR(__xludf.DUMMYFUNCTION("IF($B437="""","""",SUBSTITUTE(SUBSTITUTE(SUBSTITUTE(SUBSTITUTE(INDEX(Hairstyles!$A:$A,MATCH($B437,Hairstyles!$F:$F,0)),"" "",""""),""'"",""""),""("",""""),"")"","""")&amp;""\""&amp;INDEX(SPLIT($A$2,""_""),1)&amp;""\""&amp;INDEX(SPLIT($A$2,""_""),2)&amp;""\""&amp;SUBSTITUTE(SUBST"&amp;"ITUTE(SUBSTITUTE(SUBSTITUTE(SUBSTITUTE(INDEX(Hairstyles!$C:$C,MATCH($B437,Hairstyles!$F:$F,0)),"" "",""""),""'"",""""),""("",""""),"")"",""""),""-"",""_"")&amp;""_""&amp;$A$2)"),"ModularSMPHair\Human\Female\ModularSMPHair_F_Human_Female")</f>
        <v>ModularSMPHair\Human\Female\ModularSMPHair_F_Human_Female</v>
      </c>
      <c r="D437" s="12" t="str">
        <f t="shared" si="1"/>
        <v>Uvi_Wig_Spell_Evg_F,ModularSMPHair\Human\Female\ModularSMPHair_F_Human_Female</v>
      </c>
    </row>
    <row r="438">
      <c r="B438" s="12" t="str">
        <f>IFERROR(__xludf.DUMMYFUNCTION("""COMPUTED_VALUE"""),"Uvi_Wig_Spell_Evg_F-B")</f>
        <v>Uvi_Wig_Spell_Evg_F-B</v>
      </c>
      <c r="C438" s="12" t="str">
        <f>IFERROR(__xludf.DUMMYFUNCTION("IF($B438="""","""",SUBSTITUTE(SUBSTITUTE(SUBSTITUTE(SUBSTITUTE(INDEX(Hairstyles!$A:$A,MATCH($B438,Hairstyles!$F:$F,0)),"" "",""""),""'"",""""),""("",""""),"")"","""")&amp;""\""&amp;INDEX(SPLIT($A$2,""_""),1)&amp;""\""&amp;INDEX(SPLIT($A$2,""_""),2)&amp;""\""&amp;SUBSTITUTE(SUBST"&amp;"ITUTE(SUBSTITUTE(SUBSTITUTE(SUBSTITUTE(INDEX(Hairstyles!$C:$C,MATCH($B438,Hairstyles!$F:$F,0)),"" "",""""),""'"",""""),""("",""""),"")"",""""),""-"",""_"")&amp;""_""&amp;$A$2)"),"ModularSMPHair\Human\Female\ModularSMPHair_FB_Human_Female")</f>
        <v>ModularSMPHair\Human\Female\ModularSMPHair_FB_Human_Female</v>
      </c>
      <c r="D438" s="12" t="str">
        <f t="shared" si="1"/>
        <v>Uvi_Wig_Spell_Evg_F-B,ModularSMPHair\Human\Female\ModularSMPHair_FB_Human_Female</v>
      </c>
    </row>
    <row r="439">
      <c r="B439" s="12" t="str">
        <f>IFERROR(__xludf.DUMMYFUNCTION("""COMPUTED_VALUE"""),"Uvi_Wig_Spell_Evg_F-C")</f>
        <v>Uvi_Wig_Spell_Evg_F-C</v>
      </c>
      <c r="C439" s="12" t="str">
        <f>IFERROR(__xludf.DUMMYFUNCTION("IF($B439="""","""",SUBSTITUTE(SUBSTITUTE(SUBSTITUTE(SUBSTITUTE(INDEX(Hairstyles!$A:$A,MATCH($B439,Hairstyles!$F:$F,0)),"" "",""""),""'"",""""),""("",""""),"")"","""")&amp;""\""&amp;INDEX(SPLIT($A$2,""_""),1)&amp;""\""&amp;INDEX(SPLIT($A$2,""_""),2)&amp;""\""&amp;SUBSTITUTE(SUBST"&amp;"ITUTE(SUBSTITUTE(SUBSTITUTE(SUBSTITUTE(INDEX(Hairstyles!$C:$C,MATCH($B439,Hairstyles!$F:$F,0)),"" "",""""),""'"",""""),""("",""""),"")"",""""),""-"",""_"")&amp;""_""&amp;$A$2)"),"ModularSMPHair\Human\Female\ModularSMPHair_FC_Human_Female")</f>
        <v>ModularSMPHair\Human\Female\ModularSMPHair_FC_Human_Female</v>
      </c>
      <c r="D439" s="12" t="str">
        <f t="shared" si="1"/>
        <v>Uvi_Wig_Spell_Evg_F-C,ModularSMPHair\Human\Female\ModularSMPHair_FC_Human_Female</v>
      </c>
    </row>
    <row r="440">
      <c r="B440" s="12" t="str">
        <f>IFERROR(__xludf.DUMMYFUNCTION("""COMPUTED_VALUE"""),"Uvi_Wig_Spell_Evg_F-E")</f>
        <v>Uvi_Wig_Spell_Evg_F-E</v>
      </c>
      <c r="C440" s="12" t="str">
        <f>IFERROR(__xludf.DUMMYFUNCTION("IF($B440="""","""",SUBSTITUTE(SUBSTITUTE(SUBSTITUTE(SUBSTITUTE(INDEX(Hairstyles!$A:$A,MATCH($B440,Hairstyles!$F:$F,0)),"" "",""""),""'"",""""),""("",""""),"")"","""")&amp;""\""&amp;INDEX(SPLIT($A$2,""_""),1)&amp;""\""&amp;INDEX(SPLIT($A$2,""_""),2)&amp;""\""&amp;SUBSTITUTE(SUBST"&amp;"ITUTE(SUBSTITUTE(SUBSTITUTE(SUBSTITUTE(INDEX(Hairstyles!$C:$C,MATCH($B440,Hairstyles!$F:$F,0)),"" "",""""),""'"",""""),""("",""""),"")"",""""),""-"",""_"")&amp;""_""&amp;$A$2)"),"ModularSMPHair\Human\Female\ModularSMPHair_FE_Human_Female")</f>
        <v>ModularSMPHair\Human\Female\ModularSMPHair_FE_Human_Female</v>
      </c>
      <c r="D440" s="12" t="str">
        <f t="shared" si="1"/>
        <v>Uvi_Wig_Spell_Evg_F-E,ModularSMPHair\Human\Female\ModularSMPHair_FE_Human_Female</v>
      </c>
    </row>
    <row r="441">
      <c r="B441" s="12" t="str">
        <f>IFERROR(__xludf.DUMMYFUNCTION("""COMPUTED_VALUE"""),"Uvi_Wig_Spell_Evg_F-F")</f>
        <v>Uvi_Wig_Spell_Evg_F-F</v>
      </c>
      <c r="C441" s="12" t="str">
        <f>IFERROR(__xludf.DUMMYFUNCTION("IF($B441="""","""",SUBSTITUTE(SUBSTITUTE(SUBSTITUTE(SUBSTITUTE(INDEX(Hairstyles!$A:$A,MATCH($B441,Hairstyles!$F:$F,0)),"" "",""""),""'"",""""),""("",""""),"")"","""")&amp;""\""&amp;INDEX(SPLIT($A$2,""_""),1)&amp;""\""&amp;INDEX(SPLIT($A$2,""_""),2)&amp;""\""&amp;SUBSTITUTE(SUBST"&amp;"ITUTE(SUBSTITUTE(SUBSTITUTE(SUBSTITUTE(INDEX(Hairstyles!$C:$C,MATCH($B441,Hairstyles!$F:$F,0)),"" "",""""),""'"",""""),""("",""""),"")"",""""),""-"",""_"")&amp;""_""&amp;$A$2)"),"ModularSMPHair\Human\Female\ModularSMPHair_FF_Human_Female")</f>
        <v>ModularSMPHair\Human\Female\ModularSMPHair_FF_Human_Female</v>
      </c>
      <c r="D441" s="12" t="str">
        <f t="shared" si="1"/>
        <v>Uvi_Wig_Spell_Evg_F-F,ModularSMPHair\Human\Female\ModularSMPHair_FF_Human_Female</v>
      </c>
    </row>
    <row r="442">
      <c r="B442" s="12" t="str">
        <f>IFERROR(__xludf.DUMMYFUNCTION("""COMPUTED_VALUE"""),"Uvi_Wig_Spell_Evg_F-G")</f>
        <v>Uvi_Wig_Spell_Evg_F-G</v>
      </c>
      <c r="C442" s="12" t="str">
        <f>IFERROR(__xludf.DUMMYFUNCTION("IF($B442="""","""",SUBSTITUTE(SUBSTITUTE(SUBSTITUTE(SUBSTITUTE(INDEX(Hairstyles!$A:$A,MATCH($B442,Hairstyles!$F:$F,0)),"" "",""""),""'"",""""),""("",""""),"")"","""")&amp;""\""&amp;INDEX(SPLIT($A$2,""_""),1)&amp;""\""&amp;INDEX(SPLIT($A$2,""_""),2)&amp;""\""&amp;SUBSTITUTE(SUBST"&amp;"ITUTE(SUBSTITUTE(SUBSTITUTE(SUBSTITUTE(INDEX(Hairstyles!$C:$C,MATCH($B442,Hairstyles!$F:$F,0)),"" "",""""),""'"",""""),""("",""""),"")"",""""),""-"",""_"")&amp;""_""&amp;$A$2)"),"ModularSMPHair\Human\Female\ModularSMPHair_FG_Human_Female")</f>
        <v>ModularSMPHair\Human\Female\ModularSMPHair_FG_Human_Female</v>
      </c>
      <c r="D442" s="12" t="str">
        <f t="shared" si="1"/>
        <v>Uvi_Wig_Spell_Evg_F-G,ModularSMPHair\Human\Female\ModularSMPHair_FG_Human_Female</v>
      </c>
    </row>
    <row r="443">
      <c r="B443" s="12" t="str">
        <f>IFERROR(__xludf.DUMMYFUNCTION("""COMPUTED_VALUE"""),"Uvi_Wig_Spell_Evg_F-H")</f>
        <v>Uvi_Wig_Spell_Evg_F-H</v>
      </c>
      <c r="C443" s="12" t="str">
        <f>IFERROR(__xludf.DUMMYFUNCTION("IF($B443="""","""",SUBSTITUTE(SUBSTITUTE(SUBSTITUTE(SUBSTITUTE(INDEX(Hairstyles!$A:$A,MATCH($B443,Hairstyles!$F:$F,0)),"" "",""""),""'"",""""),""("",""""),"")"","""")&amp;""\""&amp;INDEX(SPLIT($A$2,""_""),1)&amp;""\""&amp;INDEX(SPLIT($A$2,""_""),2)&amp;""\""&amp;SUBSTITUTE(SUBST"&amp;"ITUTE(SUBSTITUTE(SUBSTITUTE(SUBSTITUTE(INDEX(Hairstyles!$C:$C,MATCH($B443,Hairstyles!$F:$F,0)),"" "",""""),""'"",""""),""("",""""),"")"",""""),""-"",""_"")&amp;""_""&amp;$A$2)"),"ModularSMPHair\Human\Female\ModularSMPHair_FH_Human_Female")</f>
        <v>ModularSMPHair\Human\Female\ModularSMPHair_FH_Human_Female</v>
      </c>
      <c r="D443" s="12" t="str">
        <f t="shared" si="1"/>
        <v>Uvi_Wig_Spell_Evg_F-H,ModularSMPHair\Human\Female\ModularSMPHair_FH_Human_Female</v>
      </c>
    </row>
    <row r="444">
      <c r="B444" s="12" t="str">
        <f>IFERROR(__xludf.DUMMYFUNCTION("""COMPUTED_VALUE"""),"Uvi_Wig_Spell_Evg_F-I")</f>
        <v>Uvi_Wig_Spell_Evg_F-I</v>
      </c>
      <c r="C444" s="12" t="str">
        <f>IFERROR(__xludf.DUMMYFUNCTION("IF($B444="""","""",SUBSTITUTE(SUBSTITUTE(SUBSTITUTE(SUBSTITUTE(INDEX(Hairstyles!$A:$A,MATCH($B444,Hairstyles!$F:$F,0)),"" "",""""),""'"",""""),""("",""""),"")"","""")&amp;""\""&amp;INDEX(SPLIT($A$2,""_""),1)&amp;""\""&amp;INDEX(SPLIT($A$2,""_""),2)&amp;""\""&amp;SUBSTITUTE(SUBST"&amp;"ITUTE(SUBSTITUTE(SUBSTITUTE(SUBSTITUTE(INDEX(Hairstyles!$C:$C,MATCH($B444,Hairstyles!$F:$F,0)),"" "",""""),""'"",""""),""("",""""),"")"",""""),""-"",""_"")&amp;""_""&amp;$A$2)"),"ModularSMPHair\Human\Female\ModularSMPHair_FI_Human_Female")</f>
        <v>ModularSMPHair\Human\Female\ModularSMPHair_FI_Human_Female</v>
      </c>
      <c r="D444" s="12" t="str">
        <f t="shared" si="1"/>
        <v>Uvi_Wig_Spell_Evg_F-I,ModularSMPHair\Human\Female\ModularSMPHair_FI_Human_Female</v>
      </c>
    </row>
    <row r="445">
      <c r="B445" s="12" t="str">
        <f>IFERROR(__xludf.DUMMYFUNCTION("""COMPUTED_VALUE"""),"Uvi_Wig_Spell_Evg_F-J")</f>
        <v>Uvi_Wig_Spell_Evg_F-J</v>
      </c>
      <c r="C445" s="12" t="str">
        <f>IFERROR(__xludf.DUMMYFUNCTION("IF($B445="""","""",SUBSTITUTE(SUBSTITUTE(SUBSTITUTE(SUBSTITUTE(INDEX(Hairstyles!$A:$A,MATCH($B445,Hairstyles!$F:$F,0)),"" "",""""),""'"",""""),""("",""""),"")"","""")&amp;""\""&amp;INDEX(SPLIT($A$2,""_""),1)&amp;""\""&amp;INDEX(SPLIT($A$2,""_""),2)&amp;""\""&amp;SUBSTITUTE(SUBST"&amp;"ITUTE(SUBSTITUTE(SUBSTITUTE(SUBSTITUTE(INDEX(Hairstyles!$C:$C,MATCH($B445,Hairstyles!$F:$F,0)),"" "",""""),""'"",""""),""("",""""),"")"",""""),""-"",""_"")&amp;""_""&amp;$A$2)"),"ModularSMPHair\Human\Female\ModularSMPHair_FJ_Human_Female")</f>
        <v>ModularSMPHair\Human\Female\ModularSMPHair_FJ_Human_Female</v>
      </c>
      <c r="D445" s="12" t="str">
        <f t="shared" si="1"/>
        <v>Uvi_Wig_Spell_Evg_F-J,ModularSMPHair\Human\Female\ModularSMPHair_FJ_Human_Female</v>
      </c>
    </row>
    <row r="446">
      <c r="B446" s="12" t="str">
        <f>IFERROR(__xludf.DUMMYFUNCTION("""COMPUTED_VALUE"""),"Uvi_Wig_Spell_Evg_F-K")</f>
        <v>Uvi_Wig_Spell_Evg_F-K</v>
      </c>
      <c r="C446" s="12" t="str">
        <f>IFERROR(__xludf.DUMMYFUNCTION("IF($B446="""","""",SUBSTITUTE(SUBSTITUTE(SUBSTITUTE(SUBSTITUTE(INDEX(Hairstyles!$A:$A,MATCH($B446,Hairstyles!$F:$F,0)),"" "",""""),""'"",""""),""("",""""),"")"","""")&amp;""\""&amp;INDEX(SPLIT($A$2,""_""),1)&amp;""\""&amp;INDEX(SPLIT($A$2,""_""),2)&amp;""\""&amp;SUBSTITUTE(SUBST"&amp;"ITUTE(SUBSTITUTE(SUBSTITUTE(SUBSTITUTE(INDEX(Hairstyles!$C:$C,MATCH($B446,Hairstyles!$F:$F,0)),"" "",""""),""'"",""""),""("",""""),"")"",""""),""-"",""_"")&amp;""_""&amp;$A$2)"),"ModularSMPHair\Human\Female\ModularSMPHair_FK_Human_Female")</f>
        <v>ModularSMPHair\Human\Female\ModularSMPHair_FK_Human_Female</v>
      </c>
      <c r="D446" s="12" t="str">
        <f t="shared" si="1"/>
        <v>Uvi_Wig_Spell_Evg_F-K,ModularSMPHair\Human\Female\ModularSMPHair_FK_Human_Female</v>
      </c>
    </row>
    <row r="447">
      <c r="B447" s="12" t="str">
        <f>IFERROR(__xludf.DUMMYFUNCTION("""COMPUTED_VALUE"""),"Uvi_Wig_Spell_Evg_F-L")</f>
        <v>Uvi_Wig_Spell_Evg_F-L</v>
      </c>
      <c r="C447" s="12" t="str">
        <f>IFERROR(__xludf.DUMMYFUNCTION("IF($B447="""","""",SUBSTITUTE(SUBSTITUTE(SUBSTITUTE(SUBSTITUTE(INDEX(Hairstyles!$A:$A,MATCH($B447,Hairstyles!$F:$F,0)),"" "",""""),""'"",""""),""("",""""),"")"","""")&amp;""\""&amp;INDEX(SPLIT($A$2,""_""),1)&amp;""\""&amp;INDEX(SPLIT($A$2,""_""),2)&amp;""\""&amp;SUBSTITUTE(SUBST"&amp;"ITUTE(SUBSTITUTE(SUBSTITUTE(SUBSTITUTE(INDEX(Hairstyles!$C:$C,MATCH($B447,Hairstyles!$F:$F,0)),"" "",""""),""'"",""""),""("",""""),"")"",""""),""-"",""_"")&amp;""_""&amp;$A$2)"),"ModularSMPHair\Human\Female\ModularSMPHair_FL_Human_Female")</f>
        <v>ModularSMPHair\Human\Female\ModularSMPHair_FL_Human_Female</v>
      </c>
      <c r="D447" s="12" t="str">
        <f t="shared" si="1"/>
        <v>Uvi_Wig_Spell_Evg_F-L,ModularSMPHair\Human\Female\ModularSMPHair_FL_Human_Female</v>
      </c>
    </row>
    <row r="448">
      <c r="B448" s="12" t="str">
        <f>IFERROR(__xludf.DUMMYFUNCTION("""COMPUTED_VALUE"""),"Uvi_Wig_Spell_Evg_F-M1")</f>
        <v>Uvi_Wig_Spell_Evg_F-M1</v>
      </c>
      <c r="C448" s="12" t="str">
        <f>IFERROR(__xludf.DUMMYFUNCTION("IF($B448="""","""",SUBSTITUTE(SUBSTITUTE(SUBSTITUTE(SUBSTITUTE(INDEX(Hairstyles!$A:$A,MATCH($B448,Hairstyles!$F:$F,0)),"" "",""""),""'"",""""),""("",""""),"")"","""")&amp;""\""&amp;INDEX(SPLIT($A$2,""_""),1)&amp;""\""&amp;INDEX(SPLIT($A$2,""_""),2)&amp;""\""&amp;SUBSTITUTE(SUBST"&amp;"ITUTE(SUBSTITUTE(SUBSTITUTE(SUBSTITUTE(INDEX(Hairstyles!$C:$C,MATCH($B448,Hairstyles!$F:$F,0)),"" "",""""),""'"",""""),""("",""""),"")"",""""),""-"",""_"")&amp;""_""&amp;$A$2)"),"ModularSMPHair\Human\Female\ModularSMPHair_FM1_Human_Female")</f>
        <v>ModularSMPHair\Human\Female\ModularSMPHair_FM1_Human_Female</v>
      </c>
      <c r="D448" s="12" t="str">
        <f t="shared" si="1"/>
        <v>Uvi_Wig_Spell_Evg_F-M1,ModularSMPHair\Human\Female\ModularSMPHair_FM1_Human_Female</v>
      </c>
    </row>
    <row r="449">
      <c r="B449" s="12" t="str">
        <f>IFERROR(__xludf.DUMMYFUNCTION("""COMPUTED_VALUE"""),"Uvi_Wig_Spell_Evg_F-M2")</f>
        <v>Uvi_Wig_Spell_Evg_F-M2</v>
      </c>
      <c r="C449" s="12" t="str">
        <f>IFERROR(__xludf.DUMMYFUNCTION("IF($B449="""","""",SUBSTITUTE(SUBSTITUTE(SUBSTITUTE(SUBSTITUTE(INDEX(Hairstyles!$A:$A,MATCH($B449,Hairstyles!$F:$F,0)),"" "",""""),""'"",""""),""("",""""),"")"","""")&amp;""\""&amp;INDEX(SPLIT($A$2,""_""),1)&amp;""\""&amp;INDEX(SPLIT($A$2,""_""),2)&amp;""\""&amp;SUBSTITUTE(SUBST"&amp;"ITUTE(SUBSTITUTE(SUBSTITUTE(SUBSTITUTE(INDEX(Hairstyles!$C:$C,MATCH($B449,Hairstyles!$F:$F,0)),"" "",""""),""'"",""""),""("",""""),"")"",""""),""-"",""_"")&amp;""_""&amp;$A$2)"),"ModularSMPHair\Human\Female\ModularSMPHair_FM2_Human_Female")</f>
        <v>ModularSMPHair\Human\Female\ModularSMPHair_FM2_Human_Female</v>
      </c>
      <c r="D449" s="12" t="str">
        <f t="shared" si="1"/>
        <v>Uvi_Wig_Spell_Evg_F-M2,ModularSMPHair\Human\Female\ModularSMPHair_FM2_Human_Female</v>
      </c>
    </row>
    <row r="450">
      <c r="B450" s="12" t="str">
        <f>IFERROR(__xludf.DUMMYFUNCTION("""COMPUTED_VALUE"""),"Uvi_Wig_Spell_Evg_G")</f>
        <v>Uvi_Wig_Spell_Evg_G</v>
      </c>
      <c r="C450" s="12" t="str">
        <f>IFERROR(__xludf.DUMMYFUNCTION("IF($B450="""","""",SUBSTITUTE(SUBSTITUTE(SUBSTITUTE(SUBSTITUTE(INDEX(Hairstyles!$A:$A,MATCH($B450,Hairstyles!$F:$F,0)),"" "",""""),""'"",""""),""("",""""),"")"","""")&amp;""\""&amp;INDEX(SPLIT($A$2,""_""),1)&amp;""\""&amp;INDEX(SPLIT($A$2,""_""),2)&amp;""\""&amp;SUBSTITUTE(SUBST"&amp;"ITUTE(SUBSTITUTE(SUBSTITUTE(SUBSTITUTE(INDEX(Hairstyles!$C:$C,MATCH($B450,Hairstyles!$F:$F,0)),"" "",""""),""'"",""""),""("",""""),"")"",""""),""-"",""_"")&amp;""_""&amp;$A$2)"),"ModularSMPHair\Human\Female\ModularSMPHair_G_Human_Female")</f>
        <v>ModularSMPHair\Human\Female\ModularSMPHair_G_Human_Female</v>
      </c>
      <c r="D450" s="12" t="str">
        <f t="shared" si="1"/>
        <v>Uvi_Wig_Spell_Evg_G,ModularSMPHair\Human\Female\ModularSMPHair_G_Human_Female</v>
      </c>
    </row>
    <row r="451">
      <c r="B451" s="12" t="str">
        <f>IFERROR(__xludf.DUMMYFUNCTION("""COMPUTED_VALUE"""),"Uvi_Wig_Spell_Evg_G-B")</f>
        <v>Uvi_Wig_Spell_Evg_G-B</v>
      </c>
      <c r="C451" s="12" t="str">
        <f>IFERROR(__xludf.DUMMYFUNCTION("IF($B451="""","""",SUBSTITUTE(SUBSTITUTE(SUBSTITUTE(SUBSTITUTE(INDEX(Hairstyles!$A:$A,MATCH($B451,Hairstyles!$F:$F,0)),"" "",""""),""'"",""""),""("",""""),"")"","""")&amp;""\""&amp;INDEX(SPLIT($A$2,""_""),1)&amp;""\""&amp;INDEX(SPLIT($A$2,""_""),2)&amp;""\""&amp;SUBSTITUTE(SUBST"&amp;"ITUTE(SUBSTITUTE(SUBSTITUTE(SUBSTITUTE(INDEX(Hairstyles!$C:$C,MATCH($B451,Hairstyles!$F:$F,0)),"" "",""""),""'"",""""),""("",""""),"")"",""""),""-"",""_"")&amp;""_""&amp;$A$2)"),"ModularSMPHair\Human\Female\ModularSMPHair_GB_Human_Female")</f>
        <v>ModularSMPHair\Human\Female\ModularSMPHair_GB_Human_Female</v>
      </c>
      <c r="D451" s="12" t="str">
        <f t="shared" si="1"/>
        <v>Uvi_Wig_Spell_Evg_G-B,ModularSMPHair\Human\Female\ModularSMPHair_GB_Human_Female</v>
      </c>
    </row>
    <row r="452">
      <c r="B452" s="12" t="str">
        <f>IFERROR(__xludf.DUMMYFUNCTION("""COMPUTED_VALUE"""),"Uvi_Wig_Spell_Evg_G-C")</f>
        <v>Uvi_Wig_Spell_Evg_G-C</v>
      </c>
      <c r="C452" s="12" t="str">
        <f>IFERROR(__xludf.DUMMYFUNCTION("IF($B452="""","""",SUBSTITUTE(SUBSTITUTE(SUBSTITUTE(SUBSTITUTE(INDEX(Hairstyles!$A:$A,MATCH($B452,Hairstyles!$F:$F,0)),"" "",""""),""'"",""""),""("",""""),"")"","""")&amp;""\""&amp;INDEX(SPLIT($A$2,""_""),1)&amp;""\""&amp;INDEX(SPLIT($A$2,""_""),2)&amp;""\""&amp;SUBSTITUTE(SUBST"&amp;"ITUTE(SUBSTITUTE(SUBSTITUTE(SUBSTITUTE(INDEX(Hairstyles!$C:$C,MATCH($B452,Hairstyles!$F:$F,0)),"" "",""""),""'"",""""),""("",""""),"")"",""""),""-"",""_"")&amp;""_""&amp;$A$2)"),"ModularSMPHair\Human\Female\ModularSMPHair_GC_Human_Female")</f>
        <v>ModularSMPHair\Human\Female\ModularSMPHair_GC_Human_Female</v>
      </c>
      <c r="D452" s="12" t="str">
        <f t="shared" si="1"/>
        <v>Uvi_Wig_Spell_Evg_G-C,ModularSMPHair\Human\Female\ModularSMPHair_GC_Human_Female</v>
      </c>
    </row>
    <row r="453">
      <c r="B453" s="12" t="str">
        <f>IFERROR(__xludf.DUMMYFUNCTION("""COMPUTED_VALUE"""),"Uvi_Wig_Spell_Evg_G-E")</f>
        <v>Uvi_Wig_Spell_Evg_G-E</v>
      </c>
      <c r="C453" s="12" t="str">
        <f>IFERROR(__xludf.DUMMYFUNCTION("IF($B453="""","""",SUBSTITUTE(SUBSTITUTE(SUBSTITUTE(SUBSTITUTE(INDEX(Hairstyles!$A:$A,MATCH($B453,Hairstyles!$F:$F,0)),"" "",""""),""'"",""""),""("",""""),"")"","""")&amp;""\""&amp;INDEX(SPLIT($A$2,""_""),1)&amp;""\""&amp;INDEX(SPLIT($A$2,""_""),2)&amp;""\""&amp;SUBSTITUTE(SUBST"&amp;"ITUTE(SUBSTITUTE(SUBSTITUTE(SUBSTITUTE(INDEX(Hairstyles!$C:$C,MATCH($B453,Hairstyles!$F:$F,0)),"" "",""""),""'"",""""),""("",""""),"")"",""""),""-"",""_"")&amp;""_""&amp;$A$2)"),"ModularSMPHair\Human\Female\ModularSMPHair_GE_Human_Female")</f>
        <v>ModularSMPHair\Human\Female\ModularSMPHair_GE_Human_Female</v>
      </c>
      <c r="D453" s="12" t="str">
        <f t="shared" si="1"/>
        <v>Uvi_Wig_Spell_Evg_G-E,ModularSMPHair\Human\Female\ModularSMPHair_GE_Human_Female</v>
      </c>
    </row>
    <row r="454">
      <c r="B454" s="12" t="str">
        <f>IFERROR(__xludf.DUMMYFUNCTION("""COMPUTED_VALUE"""),"Uvi_Wig_Spell_Evg_G-F")</f>
        <v>Uvi_Wig_Spell_Evg_G-F</v>
      </c>
      <c r="C454" s="12" t="str">
        <f>IFERROR(__xludf.DUMMYFUNCTION("IF($B454="""","""",SUBSTITUTE(SUBSTITUTE(SUBSTITUTE(SUBSTITUTE(INDEX(Hairstyles!$A:$A,MATCH($B454,Hairstyles!$F:$F,0)),"" "",""""),""'"",""""),""("",""""),"")"","""")&amp;""\""&amp;INDEX(SPLIT($A$2,""_""),1)&amp;""\""&amp;INDEX(SPLIT($A$2,""_""),2)&amp;""\""&amp;SUBSTITUTE(SUBST"&amp;"ITUTE(SUBSTITUTE(SUBSTITUTE(SUBSTITUTE(INDEX(Hairstyles!$C:$C,MATCH($B454,Hairstyles!$F:$F,0)),"" "",""""),""'"",""""),""("",""""),"")"",""""),""-"",""_"")&amp;""_""&amp;$A$2)"),"ModularSMPHair\Human\Female\ModularSMPHair_GF_Human_Female")</f>
        <v>ModularSMPHair\Human\Female\ModularSMPHair_GF_Human_Female</v>
      </c>
      <c r="D454" s="12" t="str">
        <f t="shared" si="1"/>
        <v>Uvi_Wig_Spell_Evg_G-F,ModularSMPHair\Human\Female\ModularSMPHair_GF_Human_Female</v>
      </c>
    </row>
    <row r="455">
      <c r="B455" s="12" t="str">
        <f>IFERROR(__xludf.DUMMYFUNCTION("""COMPUTED_VALUE"""),"Uvi_Wig_Spell_Evg_G-G")</f>
        <v>Uvi_Wig_Spell_Evg_G-G</v>
      </c>
      <c r="C455" s="12" t="str">
        <f>IFERROR(__xludf.DUMMYFUNCTION("IF($B455="""","""",SUBSTITUTE(SUBSTITUTE(SUBSTITUTE(SUBSTITUTE(INDEX(Hairstyles!$A:$A,MATCH($B455,Hairstyles!$F:$F,0)),"" "",""""),""'"",""""),""("",""""),"")"","""")&amp;""\""&amp;INDEX(SPLIT($A$2,""_""),1)&amp;""\""&amp;INDEX(SPLIT($A$2,""_""),2)&amp;""\""&amp;SUBSTITUTE(SUBST"&amp;"ITUTE(SUBSTITUTE(SUBSTITUTE(SUBSTITUTE(INDEX(Hairstyles!$C:$C,MATCH($B455,Hairstyles!$F:$F,0)),"" "",""""),""'"",""""),""("",""""),"")"",""""),""-"",""_"")&amp;""_""&amp;$A$2)"),"ModularSMPHair\Human\Female\ModularSMPHair_GG_Human_Female")</f>
        <v>ModularSMPHair\Human\Female\ModularSMPHair_GG_Human_Female</v>
      </c>
      <c r="D455" s="12" t="str">
        <f t="shared" si="1"/>
        <v>Uvi_Wig_Spell_Evg_G-G,ModularSMPHair\Human\Female\ModularSMPHair_GG_Human_Female</v>
      </c>
    </row>
    <row r="456">
      <c r="B456" s="12" t="str">
        <f>IFERROR(__xludf.DUMMYFUNCTION("""COMPUTED_VALUE"""),"Uvi_Wig_Spell_Evg_G-H")</f>
        <v>Uvi_Wig_Spell_Evg_G-H</v>
      </c>
      <c r="C456" s="12" t="str">
        <f>IFERROR(__xludf.DUMMYFUNCTION("IF($B456="""","""",SUBSTITUTE(SUBSTITUTE(SUBSTITUTE(SUBSTITUTE(INDEX(Hairstyles!$A:$A,MATCH($B456,Hairstyles!$F:$F,0)),"" "",""""),""'"",""""),""("",""""),"")"","""")&amp;""\""&amp;INDEX(SPLIT($A$2,""_""),1)&amp;""\""&amp;INDEX(SPLIT($A$2,""_""),2)&amp;""\""&amp;SUBSTITUTE(SUBST"&amp;"ITUTE(SUBSTITUTE(SUBSTITUTE(SUBSTITUTE(INDEX(Hairstyles!$C:$C,MATCH($B456,Hairstyles!$F:$F,0)),"" "",""""),""'"",""""),""("",""""),"")"",""""),""-"",""_"")&amp;""_""&amp;$A$2)"),"ModularSMPHair\Human\Female\ModularSMPHair_GH_Human_Female")</f>
        <v>ModularSMPHair\Human\Female\ModularSMPHair_GH_Human_Female</v>
      </c>
      <c r="D456" s="12" t="str">
        <f t="shared" si="1"/>
        <v>Uvi_Wig_Spell_Evg_G-H,ModularSMPHair\Human\Female\ModularSMPHair_GH_Human_Female</v>
      </c>
    </row>
    <row r="457">
      <c r="B457" s="12" t="str">
        <f>IFERROR(__xludf.DUMMYFUNCTION("""COMPUTED_VALUE"""),"Uvi_Wig_Spell_Evg_G-I")</f>
        <v>Uvi_Wig_Spell_Evg_G-I</v>
      </c>
      <c r="C457" s="12" t="str">
        <f>IFERROR(__xludf.DUMMYFUNCTION("IF($B457="""","""",SUBSTITUTE(SUBSTITUTE(SUBSTITUTE(SUBSTITUTE(INDEX(Hairstyles!$A:$A,MATCH($B457,Hairstyles!$F:$F,0)),"" "",""""),""'"",""""),""("",""""),"")"","""")&amp;""\""&amp;INDEX(SPLIT($A$2,""_""),1)&amp;""\""&amp;INDEX(SPLIT($A$2,""_""),2)&amp;""\""&amp;SUBSTITUTE(SUBST"&amp;"ITUTE(SUBSTITUTE(SUBSTITUTE(SUBSTITUTE(INDEX(Hairstyles!$C:$C,MATCH($B457,Hairstyles!$F:$F,0)),"" "",""""),""'"",""""),""("",""""),"")"",""""),""-"",""_"")&amp;""_""&amp;$A$2)"),"ModularSMPHair\Human\Female\ModularSMPHair_GI_Human_Female")</f>
        <v>ModularSMPHair\Human\Female\ModularSMPHair_GI_Human_Female</v>
      </c>
      <c r="D457" s="12" t="str">
        <f t="shared" si="1"/>
        <v>Uvi_Wig_Spell_Evg_G-I,ModularSMPHair\Human\Female\ModularSMPHair_GI_Human_Female</v>
      </c>
    </row>
    <row r="458">
      <c r="B458" s="12" t="str">
        <f>IFERROR(__xludf.DUMMYFUNCTION("""COMPUTED_VALUE"""),"Uvi_Wig_Spell_Evg_G-J")</f>
        <v>Uvi_Wig_Spell_Evg_G-J</v>
      </c>
      <c r="C458" s="12" t="str">
        <f>IFERROR(__xludf.DUMMYFUNCTION("IF($B458="""","""",SUBSTITUTE(SUBSTITUTE(SUBSTITUTE(SUBSTITUTE(INDEX(Hairstyles!$A:$A,MATCH($B458,Hairstyles!$F:$F,0)),"" "",""""),""'"",""""),""("",""""),"")"","""")&amp;""\""&amp;INDEX(SPLIT($A$2,""_""),1)&amp;""\""&amp;INDEX(SPLIT($A$2,""_""),2)&amp;""\""&amp;SUBSTITUTE(SUBST"&amp;"ITUTE(SUBSTITUTE(SUBSTITUTE(SUBSTITUTE(INDEX(Hairstyles!$C:$C,MATCH($B458,Hairstyles!$F:$F,0)),"" "",""""),""'"",""""),""("",""""),"")"",""""),""-"",""_"")&amp;""_""&amp;$A$2)"),"ModularSMPHair\Human\Female\ModularSMPHair_GJ_Human_Female")</f>
        <v>ModularSMPHair\Human\Female\ModularSMPHair_GJ_Human_Female</v>
      </c>
      <c r="D458" s="12" t="str">
        <f t="shared" si="1"/>
        <v>Uvi_Wig_Spell_Evg_G-J,ModularSMPHair\Human\Female\ModularSMPHair_GJ_Human_Female</v>
      </c>
    </row>
    <row r="459">
      <c r="B459" s="12" t="str">
        <f>IFERROR(__xludf.DUMMYFUNCTION("""COMPUTED_VALUE"""),"Uvi_Wig_Spell_Evg_G-K")</f>
        <v>Uvi_Wig_Spell_Evg_G-K</v>
      </c>
      <c r="C459" s="12" t="str">
        <f>IFERROR(__xludf.DUMMYFUNCTION("IF($B459="""","""",SUBSTITUTE(SUBSTITUTE(SUBSTITUTE(SUBSTITUTE(INDEX(Hairstyles!$A:$A,MATCH($B459,Hairstyles!$F:$F,0)),"" "",""""),""'"",""""),""("",""""),"")"","""")&amp;""\""&amp;INDEX(SPLIT($A$2,""_""),1)&amp;""\""&amp;INDEX(SPLIT($A$2,""_""),2)&amp;""\""&amp;SUBSTITUTE(SUBST"&amp;"ITUTE(SUBSTITUTE(SUBSTITUTE(SUBSTITUTE(INDEX(Hairstyles!$C:$C,MATCH($B459,Hairstyles!$F:$F,0)),"" "",""""),""'"",""""),""("",""""),"")"",""""),""-"",""_"")&amp;""_""&amp;$A$2)"),"ModularSMPHair\Human\Female\ModularSMPHair_GK_Human_Female")</f>
        <v>ModularSMPHair\Human\Female\ModularSMPHair_GK_Human_Female</v>
      </c>
      <c r="D459" s="12" t="str">
        <f t="shared" si="1"/>
        <v>Uvi_Wig_Spell_Evg_G-K,ModularSMPHair\Human\Female\ModularSMPHair_GK_Human_Female</v>
      </c>
    </row>
    <row r="460">
      <c r="B460" s="12" t="str">
        <f>IFERROR(__xludf.DUMMYFUNCTION("""COMPUTED_VALUE"""),"Uvi_Wig_Spell_Evg_G-L")</f>
        <v>Uvi_Wig_Spell_Evg_G-L</v>
      </c>
      <c r="C460" s="12" t="str">
        <f>IFERROR(__xludf.DUMMYFUNCTION("IF($B460="""","""",SUBSTITUTE(SUBSTITUTE(SUBSTITUTE(SUBSTITUTE(INDEX(Hairstyles!$A:$A,MATCH($B460,Hairstyles!$F:$F,0)),"" "",""""),""'"",""""),""("",""""),"")"","""")&amp;""\""&amp;INDEX(SPLIT($A$2,""_""),1)&amp;""\""&amp;INDEX(SPLIT($A$2,""_""),2)&amp;""\""&amp;SUBSTITUTE(SUBST"&amp;"ITUTE(SUBSTITUTE(SUBSTITUTE(SUBSTITUTE(INDEX(Hairstyles!$C:$C,MATCH($B460,Hairstyles!$F:$F,0)),"" "",""""),""'"",""""),""("",""""),"")"",""""),""-"",""_"")&amp;""_""&amp;$A$2)"),"ModularSMPHair\Human\Female\ModularSMPHair_GL_Human_Female")</f>
        <v>ModularSMPHair\Human\Female\ModularSMPHair_GL_Human_Female</v>
      </c>
      <c r="D460" s="12" t="str">
        <f t="shared" si="1"/>
        <v>Uvi_Wig_Spell_Evg_G-L,ModularSMPHair\Human\Female\ModularSMPHair_GL_Human_Female</v>
      </c>
    </row>
    <row r="461">
      <c r="B461" s="12" t="str">
        <f>IFERROR(__xludf.DUMMYFUNCTION("""COMPUTED_VALUE"""),"Uvi_Wig_Spell_Evg_G-M1")</f>
        <v>Uvi_Wig_Spell_Evg_G-M1</v>
      </c>
      <c r="C461" s="12" t="str">
        <f>IFERROR(__xludf.DUMMYFUNCTION("IF($B461="""","""",SUBSTITUTE(SUBSTITUTE(SUBSTITUTE(SUBSTITUTE(INDEX(Hairstyles!$A:$A,MATCH($B461,Hairstyles!$F:$F,0)),"" "",""""),""'"",""""),""("",""""),"")"","""")&amp;""\""&amp;INDEX(SPLIT($A$2,""_""),1)&amp;""\""&amp;INDEX(SPLIT($A$2,""_""),2)&amp;""\""&amp;SUBSTITUTE(SUBST"&amp;"ITUTE(SUBSTITUTE(SUBSTITUTE(SUBSTITUTE(INDEX(Hairstyles!$C:$C,MATCH($B461,Hairstyles!$F:$F,0)),"" "",""""),""'"",""""),""("",""""),"")"",""""),""-"",""_"")&amp;""_""&amp;$A$2)"),"ModularSMPHair\Human\Female\ModularSMPHair_GM1_Human_Female")</f>
        <v>ModularSMPHair\Human\Female\ModularSMPHair_GM1_Human_Female</v>
      </c>
      <c r="D461" s="12" t="str">
        <f t="shared" si="1"/>
        <v>Uvi_Wig_Spell_Evg_G-M1,ModularSMPHair\Human\Female\ModularSMPHair_GM1_Human_Female</v>
      </c>
    </row>
    <row r="462">
      <c r="B462" s="12" t="str">
        <f>IFERROR(__xludf.DUMMYFUNCTION("""COMPUTED_VALUE"""),"Uvi_Wig_Spell_Evg_G-M2")</f>
        <v>Uvi_Wig_Spell_Evg_G-M2</v>
      </c>
      <c r="C462" s="12" t="str">
        <f>IFERROR(__xludf.DUMMYFUNCTION("IF($B462="""","""",SUBSTITUTE(SUBSTITUTE(SUBSTITUTE(SUBSTITUTE(INDEX(Hairstyles!$A:$A,MATCH($B462,Hairstyles!$F:$F,0)),"" "",""""),""'"",""""),""("",""""),"")"","""")&amp;""\""&amp;INDEX(SPLIT($A$2,""_""),1)&amp;""\""&amp;INDEX(SPLIT($A$2,""_""),2)&amp;""\""&amp;SUBSTITUTE(SUBST"&amp;"ITUTE(SUBSTITUTE(SUBSTITUTE(SUBSTITUTE(INDEX(Hairstyles!$C:$C,MATCH($B462,Hairstyles!$F:$F,0)),"" "",""""),""'"",""""),""("",""""),"")"",""""),""-"",""_"")&amp;""_""&amp;$A$2)"),"ModularSMPHair\Human\Female\ModularSMPHair_GM2_Human_Female")</f>
        <v>ModularSMPHair\Human\Female\ModularSMPHair_GM2_Human_Female</v>
      </c>
      <c r="D462" s="12" t="str">
        <f t="shared" si="1"/>
        <v>Uvi_Wig_Spell_Evg_G-M2,ModularSMPHair\Human\Female\ModularSMPHair_GM2_Human_Female</v>
      </c>
    </row>
    <row r="463">
      <c r="B463" s="12" t="str">
        <f>IFERROR(__xludf.DUMMYFUNCTION("""COMPUTED_VALUE"""),"Uvi_Wig_Spell_Evg_H")</f>
        <v>Uvi_Wig_Spell_Evg_H</v>
      </c>
      <c r="C463" s="12" t="str">
        <f>IFERROR(__xludf.DUMMYFUNCTION("IF($B463="""","""",SUBSTITUTE(SUBSTITUTE(SUBSTITUTE(SUBSTITUTE(INDEX(Hairstyles!$A:$A,MATCH($B463,Hairstyles!$F:$F,0)),"" "",""""),""'"",""""),""("",""""),"")"","""")&amp;""\""&amp;INDEX(SPLIT($A$2,""_""),1)&amp;""\""&amp;INDEX(SPLIT($A$2,""_""),2)&amp;""\""&amp;SUBSTITUTE(SUBST"&amp;"ITUTE(SUBSTITUTE(SUBSTITUTE(SUBSTITUTE(INDEX(Hairstyles!$C:$C,MATCH($B463,Hairstyles!$F:$F,0)),"" "",""""),""'"",""""),""("",""""),"")"",""""),""-"",""_"")&amp;""_""&amp;$A$2)"),"ModularSMPHair\Human\Female\ModularSMPHair_H_Human_Female")</f>
        <v>ModularSMPHair\Human\Female\ModularSMPHair_H_Human_Female</v>
      </c>
      <c r="D463" s="12" t="str">
        <f t="shared" si="1"/>
        <v>Uvi_Wig_Spell_Evg_H,ModularSMPHair\Human\Female\ModularSMPHair_H_Human_Female</v>
      </c>
    </row>
    <row r="464">
      <c r="B464" s="12" t="str">
        <f>IFERROR(__xludf.DUMMYFUNCTION("""COMPUTED_VALUE"""),"Uvi_Wig_Spell_Evg_H-B")</f>
        <v>Uvi_Wig_Spell_Evg_H-B</v>
      </c>
      <c r="C464" s="12" t="str">
        <f>IFERROR(__xludf.DUMMYFUNCTION("IF($B464="""","""",SUBSTITUTE(SUBSTITUTE(SUBSTITUTE(SUBSTITUTE(INDEX(Hairstyles!$A:$A,MATCH($B464,Hairstyles!$F:$F,0)),"" "",""""),""'"",""""),""("",""""),"")"","""")&amp;""\""&amp;INDEX(SPLIT($A$2,""_""),1)&amp;""\""&amp;INDEX(SPLIT($A$2,""_""),2)&amp;""\""&amp;SUBSTITUTE(SUBST"&amp;"ITUTE(SUBSTITUTE(SUBSTITUTE(SUBSTITUTE(INDEX(Hairstyles!$C:$C,MATCH($B464,Hairstyles!$F:$F,0)),"" "",""""),""'"",""""),""("",""""),"")"",""""),""-"",""_"")&amp;""_""&amp;$A$2)"),"ModularSMPHair\Human\Female\ModularSMPHair_HB_Human_Female")</f>
        <v>ModularSMPHair\Human\Female\ModularSMPHair_HB_Human_Female</v>
      </c>
      <c r="D464" s="12" t="str">
        <f t="shared" si="1"/>
        <v>Uvi_Wig_Spell_Evg_H-B,ModularSMPHair\Human\Female\ModularSMPHair_HB_Human_Female</v>
      </c>
    </row>
    <row r="465">
      <c r="B465" s="12" t="str">
        <f>IFERROR(__xludf.DUMMYFUNCTION("""COMPUTED_VALUE"""),"Uvi_Wig_Spell_Evg_H-C")</f>
        <v>Uvi_Wig_Spell_Evg_H-C</v>
      </c>
      <c r="C465" s="12" t="str">
        <f>IFERROR(__xludf.DUMMYFUNCTION("IF($B465="""","""",SUBSTITUTE(SUBSTITUTE(SUBSTITUTE(SUBSTITUTE(INDEX(Hairstyles!$A:$A,MATCH($B465,Hairstyles!$F:$F,0)),"" "",""""),""'"",""""),""("",""""),"")"","""")&amp;""\""&amp;INDEX(SPLIT($A$2,""_""),1)&amp;""\""&amp;INDEX(SPLIT($A$2,""_""),2)&amp;""\""&amp;SUBSTITUTE(SUBST"&amp;"ITUTE(SUBSTITUTE(SUBSTITUTE(SUBSTITUTE(INDEX(Hairstyles!$C:$C,MATCH($B465,Hairstyles!$F:$F,0)),"" "",""""),""'"",""""),""("",""""),"")"",""""),""-"",""_"")&amp;""_""&amp;$A$2)"),"ModularSMPHair\Human\Female\ModularSMPHair_HC_Human_Female")</f>
        <v>ModularSMPHair\Human\Female\ModularSMPHair_HC_Human_Female</v>
      </c>
      <c r="D465" s="12" t="str">
        <f t="shared" si="1"/>
        <v>Uvi_Wig_Spell_Evg_H-C,ModularSMPHair\Human\Female\ModularSMPHair_HC_Human_Female</v>
      </c>
    </row>
    <row r="466">
      <c r="B466" s="12" t="str">
        <f>IFERROR(__xludf.DUMMYFUNCTION("""COMPUTED_VALUE"""),"Uvi_Wig_Spell_Evg_H-E")</f>
        <v>Uvi_Wig_Spell_Evg_H-E</v>
      </c>
      <c r="C466" s="12" t="str">
        <f>IFERROR(__xludf.DUMMYFUNCTION("IF($B466="""","""",SUBSTITUTE(SUBSTITUTE(SUBSTITUTE(SUBSTITUTE(INDEX(Hairstyles!$A:$A,MATCH($B466,Hairstyles!$F:$F,0)),"" "",""""),""'"",""""),""("",""""),"")"","""")&amp;""\""&amp;INDEX(SPLIT($A$2,""_""),1)&amp;""\""&amp;INDEX(SPLIT($A$2,""_""),2)&amp;""\""&amp;SUBSTITUTE(SUBST"&amp;"ITUTE(SUBSTITUTE(SUBSTITUTE(SUBSTITUTE(INDEX(Hairstyles!$C:$C,MATCH($B466,Hairstyles!$F:$F,0)),"" "",""""),""'"",""""),""("",""""),"")"",""""),""-"",""_"")&amp;""_""&amp;$A$2)"),"ModularSMPHair\Human\Female\ModularSMPHair_HE_Human_Female")</f>
        <v>ModularSMPHair\Human\Female\ModularSMPHair_HE_Human_Female</v>
      </c>
      <c r="D466" s="12" t="str">
        <f t="shared" si="1"/>
        <v>Uvi_Wig_Spell_Evg_H-E,ModularSMPHair\Human\Female\ModularSMPHair_HE_Human_Female</v>
      </c>
    </row>
    <row r="467">
      <c r="B467" s="12" t="str">
        <f>IFERROR(__xludf.DUMMYFUNCTION("""COMPUTED_VALUE"""),"Uvi_Wig_Spell_Evg_H-F")</f>
        <v>Uvi_Wig_Spell_Evg_H-F</v>
      </c>
      <c r="C467" s="12" t="str">
        <f>IFERROR(__xludf.DUMMYFUNCTION("IF($B467="""","""",SUBSTITUTE(SUBSTITUTE(SUBSTITUTE(SUBSTITUTE(INDEX(Hairstyles!$A:$A,MATCH($B467,Hairstyles!$F:$F,0)),"" "",""""),""'"",""""),""("",""""),"")"","""")&amp;""\""&amp;INDEX(SPLIT($A$2,""_""),1)&amp;""\""&amp;INDEX(SPLIT($A$2,""_""),2)&amp;""\""&amp;SUBSTITUTE(SUBST"&amp;"ITUTE(SUBSTITUTE(SUBSTITUTE(SUBSTITUTE(INDEX(Hairstyles!$C:$C,MATCH($B467,Hairstyles!$F:$F,0)),"" "",""""),""'"",""""),""("",""""),"")"",""""),""-"",""_"")&amp;""_""&amp;$A$2)"),"ModularSMPHair\Human\Female\ModularSMPHair_HF_Human_Female")</f>
        <v>ModularSMPHair\Human\Female\ModularSMPHair_HF_Human_Female</v>
      </c>
      <c r="D467" s="12" t="str">
        <f t="shared" si="1"/>
        <v>Uvi_Wig_Spell_Evg_H-F,ModularSMPHair\Human\Female\ModularSMPHair_HF_Human_Female</v>
      </c>
    </row>
    <row r="468">
      <c r="B468" s="12" t="str">
        <f>IFERROR(__xludf.DUMMYFUNCTION("""COMPUTED_VALUE"""),"Uvi_Wig_Spell_Evg_H-G")</f>
        <v>Uvi_Wig_Spell_Evg_H-G</v>
      </c>
      <c r="C468" s="12" t="str">
        <f>IFERROR(__xludf.DUMMYFUNCTION("IF($B468="""","""",SUBSTITUTE(SUBSTITUTE(SUBSTITUTE(SUBSTITUTE(INDEX(Hairstyles!$A:$A,MATCH($B468,Hairstyles!$F:$F,0)),"" "",""""),""'"",""""),""("",""""),"")"","""")&amp;""\""&amp;INDEX(SPLIT($A$2,""_""),1)&amp;""\""&amp;INDEX(SPLIT($A$2,""_""),2)&amp;""\""&amp;SUBSTITUTE(SUBST"&amp;"ITUTE(SUBSTITUTE(SUBSTITUTE(SUBSTITUTE(INDEX(Hairstyles!$C:$C,MATCH($B468,Hairstyles!$F:$F,0)),"" "",""""),""'"",""""),""("",""""),"")"",""""),""-"",""_"")&amp;""_""&amp;$A$2)"),"ModularSMPHair\Human\Female\ModularSMPHair_HG_Human_Female")</f>
        <v>ModularSMPHair\Human\Female\ModularSMPHair_HG_Human_Female</v>
      </c>
      <c r="D468" s="12" t="str">
        <f t="shared" si="1"/>
        <v>Uvi_Wig_Spell_Evg_H-G,ModularSMPHair\Human\Female\ModularSMPHair_HG_Human_Female</v>
      </c>
    </row>
    <row r="469">
      <c r="B469" s="12" t="str">
        <f>IFERROR(__xludf.DUMMYFUNCTION("""COMPUTED_VALUE"""),"Uvi_Wig_Spell_Evg_H-H")</f>
        <v>Uvi_Wig_Spell_Evg_H-H</v>
      </c>
      <c r="C469" s="12" t="str">
        <f>IFERROR(__xludf.DUMMYFUNCTION("IF($B469="""","""",SUBSTITUTE(SUBSTITUTE(SUBSTITUTE(SUBSTITUTE(INDEX(Hairstyles!$A:$A,MATCH($B469,Hairstyles!$F:$F,0)),"" "",""""),""'"",""""),""("",""""),"")"","""")&amp;""\""&amp;INDEX(SPLIT($A$2,""_""),1)&amp;""\""&amp;INDEX(SPLIT($A$2,""_""),2)&amp;""\""&amp;SUBSTITUTE(SUBST"&amp;"ITUTE(SUBSTITUTE(SUBSTITUTE(SUBSTITUTE(INDEX(Hairstyles!$C:$C,MATCH($B469,Hairstyles!$F:$F,0)),"" "",""""),""'"",""""),""("",""""),"")"",""""),""-"",""_"")&amp;""_""&amp;$A$2)"),"ModularSMPHair\Human\Female\ModularSMPHair_HH_Human_Female")</f>
        <v>ModularSMPHair\Human\Female\ModularSMPHair_HH_Human_Female</v>
      </c>
      <c r="D469" s="12" t="str">
        <f t="shared" si="1"/>
        <v>Uvi_Wig_Spell_Evg_H-H,ModularSMPHair\Human\Female\ModularSMPHair_HH_Human_Female</v>
      </c>
    </row>
    <row r="470">
      <c r="B470" s="12" t="str">
        <f>IFERROR(__xludf.DUMMYFUNCTION("""COMPUTED_VALUE"""),"Uvi_Wig_Spell_Evg_H-I")</f>
        <v>Uvi_Wig_Spell_Evg_H-I</v>
      </c>
      <c r="C470" s="12" t="str">
        <f>IFERROR(__xludf.DUMMYFUNCTION("IF($B470="""","""",SUBSTITUTE(SUBSTITUTE(SUBSTITUTE(SUBSTITUTE(INDEX(Hairstyles!$A:$A,MATCH($B470,Hairstyles!$F:$F,0)),"" "",""""),""'"",""""),""("",""""),"")"","""")&amp;""\""&amp;INDEX(SPLIT($A$2,""_""),1)&amp;""\""&amp;INDEX(SPLIT($A$2,""_""),2)&amp;""\""&amp;SUBSTITUTE(SUBST"&amp;"ITUTE(SUBSTITUTE(SUBSTITUTE(SUBSTITUTE(INDEX(Hairstyles!$C:$C,MATCH($B470,Hairstyles!$F:$F,0)),"" "",""""),""'"",""""),""("",""""),"")"",""""),""-"",""_"")&amp;""_""&amp;$A$2)"),"ModularSMPHair\Human\Female\ModularSMPHair_HI_Human_Female")</f>
        <v>ModularSMPHair\Human\Female\ModularSMPHair_HI_Human_Female</v>
      </c>
      <c r="D470" s="12" t="str">
        <f t="shared" si="1"/>
        <v>Uvi_Wig_Spell_Evg_H-I,ModularSMPHair\Human\Female\ModularSMPHair_HI_Human_Female</v>
      </c>
    </row>
    <row r="471">
      <c r="B471" s="12" t="str">
        <f>IFERROR(__xludf.DUMMYFUNCTION("""COMPUTED_VALUE"""),"Uvi_Wig_Spell_Evg_H-J")</f>
        <v>Uvi_Wig_Spell_Evg_H-J</v>
      </c>
      <c r="C471" s="12" t="str">
        <f>IFERROR(__xludf.DUMMYFUNCTION("IF($B471="""","""",SUBSTITUTE(SUBSTITUTE(SUBSTITUTE(SUBSTITUTE(INDEX(Hairstyles!$A:$A,MATCH($B471,Hairstyles!$F:$F,0)),"" "",""""),""'"",""""),""("",""""),"")"","""")&amp;""\""&amp;INDEX(SPLIT($A$2,""_""),1)&amp;""\""&amp;INDEX(SPLIT($A$2,""_""),2)&amp;""\""&amp;SUBSTITUTE(SUBST"&amp;"ITUTE(SUBSTITUTE(SUBSTITUTE(SUBSTITUTE(INDEX(Hairstyles!$C:$C,MATCH($B471,Hairstyles!$F:$F,0)),"" "",""""),""'"",""""),""("",""""),"")"",""""),""-"",""_"")&amp;""_""&amp;$A$2)"),"ModularSMPHair\Human\Female\ModularSMPHair_HJ_Human_Female")</f>
        <v>ModularSMPHair\Human\Female\ModularSMPHair_HJ_Human_Female</v>
      </c>
      <c r="D471" s="12" t="str">
        <f t="shared" si="1"/>
        <v>Uvi_Wig_Spell_Evg_H-J,ModularSMPHair\Human\Female\ModularSMPHair_HJ_Human_Female</v>
      </c>
    </row>
    <row r="472">
      <c r="B472" s="12" t="str">
        <f>IFERROR(__xludf.DUMMYFUNCTION("""COMPUTED_VALUE"""),"Uvi_Wig_Spell_Evg_H-K")</f>
        <v>Uvi_Wig_Spell_Evg_H-K</v>
      </c>
      <c r="C472" s="12" t="str">
        <f>IFERROR(__xludf.DUMMYFUNCTION("IF($B472="""","""",SUBSTITUTE(SUBSTITUTE(SUBSTITUTE(SUBSTITUTE(INDEX(Hairstyles!$A:$A,MATCH($B472,Hairstyles!$F:$F,0)),"" "",""""),""'"",""""),""("",""""),"")"","""")&amp;""\""&amp;INDEX(SPLIT($A$2,""_""),1)&amp;""\""&amp;INDEX(SPLIT($A$2,""_""),2)&amp;""\""&amp;SUBSTITUTE(SUBST"&amp;"ITUTE(SUBSTITUTE(SUBSTITUTE(SUBSTITUTE(INDEX(Hairstyles!$C:$C,MATCH($B472,Hairstyles!$F:$F,0)),"" "",""""),""'"",""""),""("",""""),"")"",""""),""-"",""_"")&amp;""_""&amp;$A$2)"),"ModularSMPHair\Human\Female\ModularSMPHair_HK_Human_Female")</f>
        <v>ModularSMPHair\Human\Female\ModularSMPHair_HK_Human_Female</v>
      </c>
      <c r="D472" s="12" t="str">
        <f t="shared" si="1"/>
        <v>Uvi_Wig_Spell_Evg_H-K,ModularSMPHair\Human\Female\ModularSMPHair_HK_Human_Female</v>
      </c>
    </row>
    <row r="473">
      <c r="B473" s="12" t="str">
        <f>IFERROR(__xludf.DUMMYFUNCTION("""COMPUTED_VALUE"""),"Uvi_Wig_Spell_Evg_H-L")</f>
        <v>Uvi_Wig_Spell_Evg_H-L</v>
      </c>
      <c r="C473" s="12" t="str">
        <f>IFERROR(__xludf.DUMMYFUNCTION("IF($B473="""","""",SUBSTITUTE(SUBSTITUTE(SUBSTITUTE(SUBSTITUTE(INDEX(Hairstyles!$A:$A,MATCH($B473,Hairstyles!$F:$F,0)),"" "",""""),""'"",""""),""("",""""),"")"","""")&amp;""\""&amp;INDEX(SPLIT($A$2,""_""),1)&amp;""\""&amp;INDEX(SPLIT($A$2,""_""),2)&amp;""\""&amp;SUBSTITUTE(SUBST"&amp;"ITUTE(SUBSTITUTE(SUBSTITUTE(SUBSTITUTE(INDEX(Hairstyles!$C:$C,MATCH($B473,Hairstyles!$F:$F,0)),"" "",""""),""'"",""""),""("",""""),"")"",""""),""-"",""_"")&amp;""_""&amp;$A$2)"),"ModularSMPHair\Human\Female\ModularSMPHair_HL_Human_Female")</f>
        <v>ModularSMPHair\Human\Female\ModularSMPHair_HL_Human_Female</v>
      </c>
      <c r="D473" s="12" t="str">
        <f t="shared" si="1"/>
        <v>Uvi_Wig_Spell_Evg_H-L,ModularSMPHair\Human\Female\ModularSMPHair_HL_Human_Female</v>
      </c>
    </row>
    <row r="474">
      <c r="B474" s="12" t="str">
        <f>IFERROR(__xludf.DUMMYFUNCTION("""COMPUTED_VALUE"""),"Uvi_Wig_Spell_Evg_H-M1")</f>
        <v>Uvi_Wig_Spell_Evg_H-M1</v>
      </c>
      <c r="C474" s="12" t="str">
        <f>IFERROR(__xludf.DUMMYFUNCTION("IF($B474="""","""",SUBSTITUTE(SUBSTITUTE(SUBSTITUTE(SUBSTITUTE(INDEX(Hairstyles!$A:$A,MATCH($B474,Hairstyles!$F:$F,0)),"" "",""""),""'"",""""),""("",""""),"")"","""")&amp;""\""&amp;INDEX(SPLIT($A$2,""_""),1)&amp;""\""&amp;INDEX(SPLIT($A$2,""_""),2)&amp;""\""&amp;SUBSTITUTE(SUBST"&amp;"ITUTE(SUBSTITUTE(SUBSTITUTE(SUBSTITUTE(INDEX(Hairstyles!$C:$C,MATCH($B474,Hairstyles!$F:$F,0)),"" "",""""),""'"",""""),""("",""""),"")"",""""),""-"",""_"")&amp;""_""&amp;$A$2)"),"ModularSMPHair\Human\Female\ModularSMPHair_HM1_Human_Female")</f>
        <v>ModularSMPHair\Human\Female\ModularSMPHair_HM1_Human_Female</v>
      </c>
      <c r="D474" s="12" t="str">
        <f t="shared" si="1"/>
        <v>Uvi_Wig_Spell_Evg_H-M1,ModularSMPHair\Human\Female\ModularSMPHair_HM1_Human_Female</v>
      </c>
    </row>
    <row r="475">
      <c r="B475" s="12" t="str">
        <f>IFERROR(__xludf.DUMMYFUNCTION("""COMPUTED_VALUE"""),"Uvi_Wig_Spell_Evg_H-M2")</f>
        <v>Uvi_Wig_Spell_Evg_H-M2</v>
      </c>
      <c r="C475" s="12" t="str">
        <f>IFERROR(__xludf.DUMMYFUNCTION("IF($B475="""","""",SUBSTITUTE(SUBSTITUTE(SUBSTITUTE(SUBSTITUTE(INDEX(Hairstyles!$A:$A,MATCH($B475,Hairstyles!$F:$F,0)),"" "",""""),""'"",""""),""("",""""),"")"","""")&amp;""\""&amp;INDEX(SPLIT($A$2,""_""),1)&amp;""\""&amp;INDEX(SPLIT($A$2,""_""),2)&amp;""\""&amp;SUBSTITUTE(SUBST"&amp;"ITUTE(SUBSTITUTE(SUBSTITUTE(SUBSTITUTE(INDEX(Hairstyles!$C:$C,MATCH($B475,Hairstyles!$F:$F,0)),"" "",""""),""'"",""""),""("",""""),"")"",""""),""-"",""_"")&amp;""_""&amp;$A$2)"),"ModularSMPHair\Human\Female\ModularSMPHair_HM2_Human_Female")</f>
        <v>ModularSMPHair\Human\Female\ModularSMPHair_HM2_Human_Female</v>
      </c>
      <c r="D475" s="12" t="str">
        <f t="shared" si="1"/>
        <v>Uvi_Wig_Spell_Evg_H-M2,ModularSMPHair\Human\Female\ModularSMPHair_HM2_Human_Female</v>
      </c>
    </row>
    <row r="476">
      <c r="B476" s="12" t="str">
        <f>IFERROR(__xludf.DUMMYFUNCTION("""COMPUTED_VALUE"""),"Uvi_Wig_Spell_Evg_I")</f>
        <v>Uvi_Wig_Spell_Evg_I</v>
      </c>
      <c r="C476" s="12" t="str">
        <f>IFERROR(__xludf.DUMMYFUNCTION("IF($B476="""","""",SUBSTITUTE(SUBSTITUTE(SUBSTITUTE(SUBSTITUTE(INDEX(Hairstyles!$A:$A,MATCH($B476,Hairstyles!$F:$F,0)),"" "",""""),""'"",""""),""("",""""),"")"","""")&amp;""\""&amp;INDEX(SPLIT($A$2,""_""),1)&amp;""\""&amp;INDEX(SPLIT($A$2,""_""),2)&amp;""\""&amp;SUBSTITUTE(SUBST"&amp;"ITUTE(SUBSTITUTE(SUBSTITUTE(SUBSTITUTE(INDEX(Hairstyles!$C:$C,MATCH($B476,Hairstyles!$F:$F,0)),"" "",""""),""'"",""""),""("",""""),"")"",""""),""-"",""_"")&amp;""_""&amp;$A$2)"),"ModularSMPHair\Human\Female\ModularSMPHair_I_Human_Female")</f>
        <v>ModularSMPHair\Human\Female\ModularSMPHair_I_Human_Female</v>
      </c>
      <c r="D476" s="12" t="str">
        <f t="shared" si="1"/>
        <v>Uvi_Wig_Spell_Evg_I,ModularSMPHair\Human\Female\ModularSMPHair_I_Human_Female</v>
      </c>
    </row>
    <row r="477">
      <c r="B477" s="12" t="str">
        <f>IFERROR(__xludf.DUMMYFUNCTION("""COMPUTED_VALUE"""),"Uvi_Wig_Spell_Evg_I-B")</f>
        <v>Uvi_Wig_Spell_Evg_I-B</v>
      </c>
      <c r="C477" s="12" t="str">
        <f>IFERROR(__xludf.DUMMYFUNCTION("IF($B477="""","""",SUBSTITUTE(SUBSTITUTE(SUBSTITUTE(SUBSTITUTE(INDEX(Hairstyles!$A:$A,MATCH($B477,Hairstyles!$F:$F,0)),"" "",""""),""'"",""""),""("",""""),"")"","""")&amp;""\""&amp;INDEX(SPLIT($A$2,""_""),1)&amp;""\""&amp;INDEX(SPLIT($A$2,""_""),2)&amp;""\""&amp;SUBSTITUTE(SUBST"&amp;"ITUTE(SUBSTITUTE(SUBSTITUTE(SUBSTITUTE(INDEX(Hairstyles!$C:$C,MATCH($B477,Hairstyles!$F:$F,0)),"" "",""""),""'"",""""),""("",""""),"")"",""""),""-"",""_"")&amp;""_""&amp;$A$2)"),"ModularSMPHair\Human\Female\ModularSMPHair_IB_Human_Female")</f>
        <v>ModularSMPHair\Human\Female\ModularSMPHair_IB_Human_Female</v>
      </c>
      <c r="D477" s="12" t="str">
        <f t="shared" si="1"/>
        <v>Uvi_Wig_Spell_Evg_I-B,ModularSMPHair\Human\Female\ModularSMPHair_IB_Human_Female</v>
      </c>
    </row>
    <row r="478">
      <c r="B478" s="12" t="str">
        <f>IFERROR(__xludf.DUMMYFUNCTION("""COMPUTED_VALUE"""),"Uvi_Wig_Spell_Evg_I-C")</f>
        <v>Uvi_Wig_Spell_Evg_I-C</v>
      </c>
      <c r="C478" s="12" t="str">
        <f>IFERROR(__xludf.DUMMYFUNCTION("IF($B478="""","""",SUBSTITUTE(SUBSTITUTE(SUBSTITUTE(SUBSTITUTE(INDEX(Hairstyles!$A:$A,MATCH($B478,Hairstyles!$F:$F,0)),"" "",""""),""'"",""""),""("",""""),"")"","""")&amp;""\""&amp;INDEX(SPLIT($A$2,""_""),1)&amp;""\""&amp;INDEX(SPLIT($A$2,""_""),2)&amp;""\""&amp;SUBSTITUTE(SUBST"&amp;"ITUTE(SUBSTITUTE(SUBSTITUTE(SUBSTITUTE(INDEX(Hairstyles!$C:$C,MATCH($B478,Hairstyles!$F:$F,0)),"" "",""""),""'"",""""),""("",""""),"")"",""""),""-"",""_"")&amp;""_""&amp;$A$2)"),"ModularSMPHair\Human\Female\ModularSMPHair_IC_Human_Female")</f>
        <v>ModularSMPHair\Human\Female\ModularSMPHair_IC_Human_Female</v>
      </c>
      <c r="D478" s="12" t="str">
        <f t="shared" si="1"/>
        <v>Uvi_Wig_Spell_Evg_I-C,ModularSMPHair\Human\Female\ModularSMPHair_IC_Human_Female</v>
      </c>
    </row>
    <row r="479">
      <c r="B479" s="12" t="str">
        <f>IFERROR(__xludf.DUMMYFUNCTION("""COMPUTED_VALUE"""),"Uvi_Wig_Spell_Evg_I-E")</f>
        <v>Uvi_Wig_Spell_Evg_I-E</v>
      </c>
      <c r="C479" s="12" t="str">
        <f>IFERROR(__xludf.DUMMYFUNCTION("IF($B479="""","""",SUBSTITUTE(SUBSTITUTE(SUBSTITUTE(SUBSTITUTE(INDEX(Hairstyles!$A:$A,MATCH($B479,Hairstyles!$F:$F,0)),"" "",""""),""'"",""""),""("",""""),"")"","""")&amp;""\""&amp;INDEX(SPLIT($A$2,""_""),1)&amp;""\""&amp;INDEX(SPLIT($A$2,""_""),2)&amp;""\""&amp;SUBSTITUTE(SUBST"&amp;"ITUTE(SUBSTITUTE(SUBSTITUTE(SUBSTITUTE(INDEX(Hairstyles!$C:$C,MATCH($B479,Hairstyles!$F:$F,0)),"" "",""""),""'"",""""),""("",""""),"")"",""""),""-"",""_"")&amp;""_""&amp;$A$2)"),"ModularSMPHair\Human\Female\ModularSMPHair_IE_Human_Female")</f>
        <v>ModularSMPHair\Human\Female\ModularSMPHair_IE_Human_Female</v>
      </c>
      <c r="D479" s="12" t="str">
        <f t="shared" si="1"/>
        <v>Uvi_Wig_Spell_Evg_I-E,ModularSMPHair\Human\Female\ModularSMPHair_IE_Human_Female</v>
      </c>
    </row>
    <row r="480">
      <c r="B480" s="12" t="str">
        <f>IFERROR(__xludf.DUMMYFUNCTION("""COMPUTED_VALUE"""),"Uvi_Wig_Spell_Evg_I-F")</f>
        <v>Uvi_Wig_Spell_Evg_I-F</v>
      </c>
      <c r="C480" s="12" t="str">
        <f>IFERROR(__xludf.DUMMYFUNCTION("IF($B480="""","""",SUBSTITUTE(SUBSTITUTE(SUBSTITUTE(SUBSTITUTE(INDEX(Hairstyles!$A:$A,MATCH($B480,Hairstyles!$F:$F,0)),"" "",""""),""'"",""""),""("",""""),"")"","""")&amp;""\""&amp;INDEX(SPLIT($A$2,""_""),1)&amp;""\""&amp;INDEX(SPLIT($A$2,""_""),2)&amp;""\""&amp;SUBSTITUTE(SUBST"&amp;"ITUTE(SUBSTITUTE(SUBSTITUTE(SUBSTITUTE(INDEX(Hairstyles!$C:$C,MATCH($B480,Hairstyles!$F:$F,0)),"" "",""""),""'"",""""),""("",""""),"")"",""""),""-"",""_"")&amp;""_""&amp;$A$2)"),"ModularSMPHair\Human\Female\ModularSMPHair_IF_Human_Female")</f>
        <v>ModularSMPHair\Human\Female\ModularSMPHair_IF_Human_Female</v>
      </c>
      <c r="D480" s="12" t="str">
        <f t="shared" si="1"/>
        <v>Uvi_Wig_Spell_Evg_I-F,ModularSMPHair\Human\Female\ModularSMPHair_IF_Human_Female</v>
      </c>
    </row>
    <row r="481">
      <c r="B481" s="12" t="str">
        <f>IFERROR(__xludf.DUMMYFUNCTION("""COMPUTED_VALUE"""),"Uvi_Wig_Spell_Evg_I-G")</f>
        <v>Uvi_Wig_Spell_Evg_I-G</v>
      </c>
      <c r="C481" s="12" t="str">
        <f>IFERROR(__xludf.DUMMYFUNCTION("IF($B481="""","""",SUBSTITUTE(SUBSTITUTE(SUBSTITUTE(SUBSTITUTE(INDEX(Hairstyles!$A:$A,MATCH($B481,Hairstyles!$F:$F,0)),"" "",""""),""'"",""""),""("",""""),"")"","""")&amp;""\""&amp;INDEX(SPLIT($A$2,""_""),1)&amp;""\""&amp;INDEX(SPLIT($A$2,""_""),2)&amp;""\""&amp;SUBSTITUTE(SUBST"&amp;"ITUTE(SUBSTITUTE(SUBSTITUTE(SUBSTITUTE(INDEX(Hairstyles!$C:$C,MATCH($B481,Hairstyles!$F:$F,0)),"" "",""""),""'"",""""),""("",""""),"")"",""""),""-"",""_"")&amp;""_""&amp;$A$2)"),"ModularSMPHair\Human\Female\ModularSMPHair_IG_Human_Female")</f>
        <v>ModularSMPHair\Human\Female\ModularSMPHair_IG_Human_Female</v>
      </c>
      <c r="D481" s="12" t="str">
        <f t="shared" si="1"/>
        <v>Uvi_Wig_Spell_Evg_I-G,ModularSMPHair\Human\Female\ModularSMPHair_IG_Human_Female</v>
      </c>
    </row>
    <row r="482">
      <c r="B482" s="12" t="str">
        <f>IFERROR(__xludf.DUMMYFUNCTION("""COMPUTED_VALUE"""),"Uvi_Wig_Spell_Evg_I-H")</f>
        <v>Uvi_Wig_Spell_Evg_I-H</v>
      </c>
      <c r="C482" s="12" t="str">
        <f>IFERROR(__xludf.DUMMYFUNCTION("IF($B482="""","""",SUBSTITUTE(SUBSTITUTE(SUBSTITUTE(SUBSTITUTE(INDEX(Hairstyles!$A:$A,MATCH($B482,Hairstyles!$F:$F,0)),"" "",""""),""'"",""""),""("",""""),"")"","""")&amp;""\""&amp;INDEX(SPLIT($A$2,""_""),1)&amp;""\""&amp;INDEX(SPLIT($A$2,""_""),2)&amp;""\""&amp;SUBSTITUTE(SUBST"&amp;"ITUTE(SUBSTITUTE(SUBSTITUTE(SUBSTITUTE(INDEX(Hairstyles!$C:$C,MATCH($B482,Hairstyles!$F:$F,0)),"" "",""""),""'"",""""),""("",""""),"")"",""""),""-"",""_"")&amp;""_""&amp;$A$2)"),"ModularSMPHair\Human\Female\ModularSMPHair_IH_Human_Female")</f>
        <v>ModularSMPHair\Human\Female\ModularSMPHair_IH_Human_Female</v>
      </c>
      <c r="D482" s="12" t="str">
        <f t="shared" si="1"/>
        <v>Uvi_Wig_Spell_Evg_I-H,ModularSMPHair\Human\Female\ModularSMPHair_IH_Human_Female</v>
      </c>
    </row>
    <row r="483">
      <c r="B483" s="12" t="str">
        <f>IFERROR(__xludf.DUMMYFUNCTION("""COMPUTED_VALUE"""),"Uvi_Wig_Spell_Evg_I-I")</f>
        <v>Uvi_Wig_Spell_Evg_I-I</v>
      </c>
      <c r="C483" s="12" t="str">
        <f>IFERROR(__xludf.DUMMYFUNCTION("IF($B483="""","""",SUBSTITUTE(SUBSTITUTE(SUBSTITUTE(SUBSTITUTE(INDEX(Hairstyles!$A:$A,MATCH($B483,Hairstyles!$F:$F,0)),"" "",""""),""'"",""""),""("",""""),"")"","""")&amp;""\""&amp;INDEX(SPLIT($A$2,""_""),1)&amp;""\""&amp;INDEX(SPLIT($A$2,""_""),2)&amp;""\""&amp;SUBSTITUTE(SUBST"&amp;"ITUTE(SUBSTITUTE(SUBSTITUTE(SUBSTITUTE(INDEX(Hairstyles!$C:$C,MATCH($B483,Hairstyles!$F:$F,0)),"" "",""""),""'"",""""),""("",""""),"")"",""""),""-"",""_"")&amp;""_""&amp;$A$2)"),"ModularSMPHair\Human\Female\ModularSMPHair_II_Human_Female")</f>
        <v>ModularSMPHair\Human\Female\ModularSMPHair_II_Human_Female</v>
      </c>
      <c r="D483" s="12" t="str">
        <f t="shared" si="1"/>
        <v>Uvi_Wig_Spell_Evg_I-I,ModularSMPHair\Human\Female\ModularSMPHair_II_Human_Female</v>
      </c>
    </row>
    <row r="484">
      <c r="B484" s="12" t="str">
        <f>IFERROR(__xludf.DUMMYFUNCTION("""COMPUTED_VALUE"""),"Uvi_Wig_Spell_Evg_I-J")</f>
        <v>Uvi_Wig_Spell_Evg_I-J</v>
      </c>
      <c r="C484" s="12" t="str">
        <f>IFERROR(__xludf.DUMMYFUNCTION("IF($B484="""","""",SUBSTITUTE(SUBSTITUTE(SUBSTITUTE(SUBSTITUTE(INDEX(Hairstyles!$A:$A,MATCH($B484,Hairstyles!$F:$F,0)),"" "",""""),""'"",""""),""("",""""),"")"","""")&amp;""\""&amp;INDEX(SPLIT($A$2,""_""),1)&amp;""\""&amp;INDEX(SPLIT($A$2,""_""),2)&amp;""\""&amp;SUBSTITUTE(SUBST"&amp;"ITUTE(SUBSTITUTE(SUBSTITUTE(SUBSTITUTE(INDEX(Hairstyles!$C:$C,MATCH($B484,Hairstyles!$F:$F,0)),"" "",""""),""'"",""""),""("",""""),"")"",""""),""-"",""_"")&amp;""_""&amp;$A$2)"),"ModularSMPHair\Human\Female\ModularSMPHair_IJ_Human_Female")</f>
        <v>ModularSMPHair\Human\Female\ModularSMPHair_IJ_Human_Female</v>
      </c>
      <c r="D484" s="12" t="str">
        <f t="shared" si="1"/>
        <v>Uvi_Wig_Spell_Evg_I-J,ModularSMPHair\Human\Female\ModularSMPHair_IJ_Human_Female</v>
      </c>
    </row>
    <row r="485">
      <c r="B485" s="12" t="str">
        <f>IFERROR(__xludf.DUMMYFUNCTION("""COMPUTED_VALUE"""),"Uvi_Wig_Spell_Evg_I-K")</f>
        <v>Uvi_Wig_Spell_Evg_I-K</v>
      </c>
      <c r="C485" s="12" t="str">
        <f>IFERROR(__xludf.DUMMYFUNCTION("IF($B485="""","""",SUBSTITUTE(SUBSTITUTE(SUBSTITUTE(SUBSTITUTE(INDEX(Hairstyles!$A:$A,MATCH($B485,Hairstyles!$F:$F,0)),"" "",""""),""'"",""""),""("",""""),"")"","""")&amp;""\""&amp;INDEX(SPLIT($A$2,""_""),1)&amp;""\""&amp;INDEX(SPLIT($A$2,""_""),2)&amp;""\""&amp;SUBSTITUTE(SUBST"&amp;"ITUTE(SUBSTITUTE(SUBSTITUTE(SUBSTITUTE(INDEX(Hairstyles!$C:$C,MATCH($B485,Hairstyles!$F:$F,0)),"" "",""""),""'"",""""),""("",""""),"")"",""""),""-"",""_"")&amp;""_""&amp;$A$2)"),"ModularSMPHair\Human\Female\ModularSMPHair_IK_Human_Female")</f>
        <v>ModularSMPHair\Human\Female\ModularSMPHair_IK_Human_Female</v>
      </c>
      <c r="D485" s="12" t="str">
        <f t="shared" si="1"/>
        <v>Uvi_Wig_Spell_Evg_I-K,ModularSMPHair\Human\Female\ModularSMPHair_IK_Human_Female</v>
      </c>
    </row>
    <row r="486">
      <c r="B486" s="12" t="str">
        <f>IFERROR(__xludf.DUMMYFUNCTION("""COMPUTED_VALUE"""),"Uvi_Wig_Spell_Evg_I-L")</f>
        <v>Uvi_Wig_Spell_Evg_I-L</v>
      </c>
      <c r="C486" s="12" t="str">
        <f>IFERROR(__xludf.DUMMYFUNCTION("IF($B486="""","""",SUBSTITUTE(SUBSTITUTE(SUBSTITUTE(SUBSTITUTE(INDEX(Hairstyles!$A:$A,MATCH($B486,Hairstyles!$F:$F,0)),"" "",""""),""'"",""""),""("",""""),"")"","""")&amp;""\""&amp;INDEX(SPLIT($A$2,""_""),1)&amp;""\""&amp;INDEX(SPLIT($A$2,""_""),2)&amp;""\""&amp;SUBSTITUTE(SUBST"&amp;"ITUTE(SUBSTITUTE(SUBSTITUTE(SUBSTITUTE(INDEX(Hairstyles!$C:$C,MATCH($B486,Hairstyles!$F:$F,0)),"" "",""""),""'"",""""),""("",""""),"")"",""""),""-"",""_"")&amp;""_""&amp;$A$2)"),"ModularSMPHair\Human\Female\ModularSMPHair_IL_Human_Female")</f>
        <v>ModularSMPHair\Human\Female\ModularSMPHair_IL_Human_Female</v>
      </c>
      <c r="D486" s="12" t="str">
        <f t="shared" si="1"/>
        <v>Uvi_Wig_Spell_Evg_I-L,ModularSMPHair\Human\Female\ModularSMPHair_IL_Human_Female</v>
      </c>
    </row>
    <row r="487">
      <c r="B487" s="12" t="str">
        <f>IFERROR(__xludf.DUMMYFUNCTION("""COMPUTED_VALUE"""),"Uvi_Wig_Spell_Evg_I-M1")</f>
        <v>Uvi_Wig_Spell_Evg_I-M1</v>
      </c>
      <c r="C487" s="12" t="str">
        <f>IFERROR(__xludf.DUMMYFUNCTION("IF($B487="""","""",SUBSTITUTE(SUBSTITUTE(SUBSTITUTE(SUBSTITUTE(INDEX(Hairstyles!$A:$A,MATCH($B487,Hairstyles!$F:$F,0)),"" "",""""),""'"",""""),""("",""""),"")"","""")&amp;""\""&amp;INDEX(SPLIT($A$2,""_""),1)&amp;""\""&amp;INDEX(SPLIT($A$2,""_""),2)&amp;""\""&amp;SUBSTITUTE(SUBST"&amp;"ITUTE(SUBSTITUTE(SUBSTITUTE(SUBSTITUTE(INDEX(Hairstyles!$C:$C,MATCH($B487,Hairstyles!$F:$F,0)),"" "",""""),""'"",""""),""("",""""),"")"",""""),""-"",""_"")&amp;""_""&amp;$A$2)"),"ModularSMPHair\Human\Female\ModularSMPHair_IM1_Human_Female")</f>
        <v>ModularSMPHair\Human\Female\ModularSMPHair_IM1_Human_Female</v>
      </c>
      <c r="D487" s="12" t="str">
        <f t="shared" si="1"/>
        <v>Uvi_Wig_Spell_Evg_I-M1,ModularSMPHair\Human\Female\ModularSMPHair_IM1_Human_Female</v>
      </c>
    </row>
    <row r="488">
      <c r="B488" s="12" t="str">
        <f>IFERROR(__xludf.DUMMYFUNCTION("""COMPUTED_VALUE"""),"Uvi_Wig_Spell_Evg_I-M2")</f>
        <v>Uvi_Wig_Spell_Evg_I-M2</v>
      </c>
      <c r="C488" s="12" t="str">
        <f>IFERROR(__xludf.DUMMYFUNCTION("IF($B488="""","""",SUBSTITUTE(SUBSTITUTE(SUBSTITUTE(SUBSTITUTE(INDEX(Hairstyles!$A:$A,MATCH($B488,Hairstyles!$F:$F,0)),"" "",""""),""'"",""""),""("",""""),"")"","""")&amp;""\""&amp;INDEX(SPLIT($A$2,""_""),1)&amp;""\""&amp;INDEX(SPLIT($A$2,""_""),2)&amp;""\""&amp;SUBSTITUTE(SUBST"&amp;"ITUTE(SUBSTITUTE(SUBSTITUTE(SUBSTITUTE(INDEX(Hairstyles!$C:$C,MATCH($B488,Hairstyles!$F:$F,0)),"" "",""""),""'"",""""),""("",""""),"")"",""""),""-"",""_"")&amp;""_""&amp;$A$2)"),"ModularSMPHair\Human\Female\ModularSMPHair_IM2_Human_Female")</f>
        <v>ModularSMPHair\Human\Female\ModularSMPHair_IM2_Human_Female</v>
      </c>
      <c r="D488" s="12" t="str">
        <f t="shared" si="1"/>
        <v>Uvi_Wig_Spell_Evg_I-M2,ModularSMPHair\Human\Female\ModularSMPHair_IM2_Human_Female</v>
      </c>
    </row>
    <row r="489">
      <c r="B489" s="12" t="str">
        <f>IFERROR(__xludf.DUMMYFUNCTION("""COMPUTED_VALUE"""),"Uvi_Wig_Spell_Evg_J")</f>
        <v>Uvi_Wig_Spell_Evg_J</v>
      </c>
      <c r="C489" s="12" t="str">
        <f>IFERROR(__xludf.DUMMYFUNCTION("IF($B489="""","""",SUBSTITUTE(SUBSTITUTE(SUBSTITUTE(SUBSTITUTE(INDEX(Hairstyles!$A:$A,MATCH($B489,Hairstyles!$F:$F,0)),"" "",""""),""'"",""""),""("",""""),"")"","""")&amp;""\""&amp;INDEX(SPLIT($A$2,""_""),1)&amp;""\""&amp;INDEX(SPLIT($A$2,""_""),2)&amp;""\""&amp;SUBSTITUTE(SUBST"&amp;"ITUTE(SUBSTITUTE(SUBSTITUTE(SUBSTITUTE(INDEX(Hairstyles!$C:$C,MATCH($B489,Hairstyles!$F:$F,0)),"" "",""""),""'"",""""),""("",""""),"")"",""""),""-"",""_"")&amp;""_""&amp;$A$2)"),"ModularSMPHair\Human\Female\ModularSMPHair_J_Human_Female")</f>
        <v>ModularSMPHair\Human\Female\ModularSMPHair_J_Human_Female</v>
      </c>
      <c r="D489" s="12" t="str">
        <f t="shared" si="1"/>
        <v>Uvi_Wig_Spell_Evg_J,ModularSMPHair\Human\Female\ModularSMPHair_J_Human_Female</v>
      </c>
    </row>
    <row r="490">
      <c r="B490" s="12" t="str">
        <f>IFERROR(__xludf.DUMMYFUNCTION("""COMPUTED_VALUE"""),"Uvi_Wig_Spell_Evg_J-A")</f>
        <v>Uvi_Wig_Spell_Evg_J-A</v>
      </c>
      <c r="C490" s="12" t="str">
        <f>IFERROR(__xludf.DUMMYFUNCTION("IF($B490="""","""",SUBSTITUTE(SUBSTITUTE(SUBSTITUTE(SUBSTITUTE(INDEX(Hairstyles!$A:$A,MATCH($B490,Hairstyles!$F:$F,0)),"" "",""""),""'"",""""),""("",""""),"")"","""")&amp;""\""&amp;INDEX(SPLIT($A$2,""_""),1)&amp;""\""&amp;INDEX(SPLIT($A$2,""_""),2)&amp;""\""&amp;SUBSTITUTE(SUBST"&amp;"ITUTE(SUBSTITUTE(SUBSTITUTE(SUBSTITUTE(INDEX(Hairstyles!$C:$C,MATCH($B490,Hairstyles!$F:$F,0)),"" "",""""),""'"",""""),""("",""""),"")"",""""),""-"",""_"")&amp;""_""&amp;$A$2)"),"ModularSMPHair\Human\Female\ModularSMPHair_JA_Human_Female")</f>
        <v>ModularSMPHair\Human\Female\ModularSMPHair_JA_Human_Female</v>
      </c>
      <c r="D490" s="12" t="str">
        <f t="shared" si="1"/>
        <v>Uvi_Wig_Spell_Evg_J-A,ModularSMPHair\Human\Female\ModularSMPHair_JA_Human_Female</v>
      </c>
    </row>
    <row r="491">
      <c r="B491" s="12" t="str">
        <f>IFERROR(__xludf.DUMMYFUNCTION("""COMPUTED_VALUE"""),"Uvi_Wig_Spell_Evg_J-B")</f>
        <v>Uvi_Wig_Spell_Evg_J-B</v>
      </c>
      <c r="C491" s="12" t="str">
        <f>IFERROR(__xludf.DUMMYFUNCTION("IF($B491="""","""",SUBSTITUTE(SUBSTITUTE(SUBSTITUTE(SUBSTITUTE(INDEX(Hairstyles!$A:$A,MATCH($B491,Hairstyles!$F:$F,0)),"" "",""""),""'"",""""),""("",""""),"")"","""")&amp;""\""&amp;INDEX(SPLIT($A$2,""_""),1)&amp;""\""&amp;INDEX(SPLIT($A$2,""_""),2)&amp;""\""&amp;SUBSTITUTE(SUBST"&amp;"ITUTE(SUBSTITUTE(SUBSTITUTE(SUBSTITUTE(INDEX(Hairstyles!$C:$C,MATCH($B491,Hairstyles!$F:$F,0)),"" "",""""),""'"",""""),""("",""""),"")"",""""),""-"",""_"")&amp;""_""&amp;$A$2)"),"ModularSMPHair\Human\Female\ModularSMPHair_JB_Human_Female")</f>
        <v>ModularSMPHair\Human\Female\ModularSMPHair_JB_Human_Female</v>
      </c>
      <c r="D491" s="12" t="str">
        <f t="shared" si="1"/>
        <v>Uvi_Wig_Spell_Evg_J-B,ModularSMPHair\Human\Female\ModularSMPHair_JB_Human_Female</v>
      </c>
    </row>
    <row r="492">
      <c r="B492" s="12" t="str">
        <f>IFERROR(__xludf.DUMMYFUNCTION("""COMPUTED_VALUE"""),"Uvi_Wig_Spell_Evg_J-C")</f>
        <v>Uvi_Wig_Spell_Evg_J-C</v>
      </c>
      <c r="C492" s="12" t="str">
        <f>IFERROR(__xludf.DUMMYFUNCTION("IF($B492="""","""",SUBSTITUTE(SUBSTITUTE(SUBSTITUTE(SUBSTITUTE(INDEX(Hairstyles!$A:$A,MATCH($B492,Hairstyles!$F:$F,0)),"" "",""""),""'"",""""),""("",""""),"")"","""")&amp;""\""&amp;INDEX(SPLIT($A$2,""_""),1)&amp;""\""&amp;INDEX(SPLIT($A$2,""_""),2)&amp;""\""&amp;SUBSTITUTE(SUBST"&amp;"ITUTE(SUBSTITUTE(SUBSTITUTE(SUBSTITUTE(INDEX(Hairstyles!$C:$C,MATCH($B492,Hairstyles!$F:$F,0)),"" "",""""),""'"",""""),""("",""""),"")"",""""),""-"",""_"")&amp;""_""&amp;$A$2)"),"ModularSMPHair\Human\Female\ModularSMPHair_JC_Human_Female")</f>
        <v>ModularSMPHair\Human\Female\ModularSMPHair_JC_Human_Female</v>
      </c>
      <c r="D492" s="12" t="str">
        <f t="shared" si="1"/>
        <v>Uvi_Wig_Spell_Evg_J-C,ModularSMPHair\Human\Female\ModularSMPHair_JC_Human_Female</v>
      </c>
    </row>
    <row r="493">
      <c r="B493" s="12" t="str">
        <f>IFERROR(__xludf.DUMMYFUNCTION("""COMPUTED_VALUE"""),"Uvi_Wig_Spell_Evg_J-D")</f>
        <v>Uvi_Wig_Spell_Evg_J-D</v>
      </c>
      <c r="C493" s="12" t="str">
        <f>IFERROR(__xludf.DUMMYFUNCTION("IF($B493="""","""",SUBSTITUTE(SUBSTITUTE(SUBSTITUTE(SUBSTITUTE(INDEX(Hairstyles!$A:$A,MATCH($B493,Hairstyles!$F:$F,0)),"" "",""""),""'"",""""),""("",""""),"")"","""")&amp;""\""&amp;INDEX(SPLIT($A$2,""_""),1)&amp;""\""&amp;INDEX(SPLIT($A$2,""_""),2)&amp;""\""&amp;SUBSTITUTE(SUBST"&amp;"ITUTE(SUBSTITUTE(SUBSTITUTE(SUBSTITUTE(INDEX(Hairstyles!$C:$C,MATCH($B493,Hairstyles!$F:$F,0)),"" "",""""),""'"",""""),""("",""""),"")"",""""),""-"",""_"")&amp;""_""&amp;$A$2)"),"ModularSMPHair\Human\Female\ModularSMPHair_JD_Human_Female")</f>
        <v>ModularSMPHair\Human\Female\ModularSMPHair_JD_Human_Female</v>
      </c>
      <c r="D493" s="12" t="str">
        <f t="shared" si="1"/>
        <v>Uvi_Wig_Spell_Evg_J-D,ModularSMPHair\Human\Female\ModularSMPHair_JD_Human_Female</v>
      </c>
    </row>
    <row r="494">
      <c r="B494" s="12" t="str">
        <f>IFERROR(__xludf.DUMMYFUNCTION("""COMPUTED_VALUE"""),"Uvi_Wig_Spell_Evg_J-E")</f>
        <v>Uvi_Wig_Spell_Evg_J-E</v>
      </c>
      <c r="C494" s="12" t="str">
        <f>IFERROR(__xludf.DUMMYFUNCTION("IF($B494="""","""",SUBSTITUTE(SUBSTITUTE(SUBSTITUTE(SUBSTITUTE(INDEX(Hairstyles!$A:$A,MATCH($B494,Hairstyles!$F:$F,0)),"" "",""""),""'"",""""),""("",""""),"")"","""")&amp;""\""&amp;INDEX(SPLIT($A$2,""_""),1)&amp;""\""&amp;INDEX(SPLIT($A$2,""_""),2)&amp;""\""&amp;SUBSTITUTE(SUBST"&amp;"ITUTE(SUBSTITUTE(SUBSTITUTE(SUBSTITUTE(INDEX(Hairstyles!$C:$C,MATCH($B494,Hairstyles!$F:$F,0)),"" "",""""),""'"",""""),""("",""""),"")"",""""),""-"",""_"")&amp;""_""&amp;$A$2)"),"ModularSMPHair\Human\Female\ModularSMPHair_JE_Human_Female")</f>
        <v>ModularSMPHair\Human\Female\ModularSMPHair_JE_Human_Female</v>
      </c>
      <c r="D494" s="12" t="str">
        <f t="shared" si="1"/>
        <v>Uvi_Wig_Spell_Evg_J-E,ModularSMPHair\Human\Female\ModularSMPHair_JE_Human_Female</v>
      </c>
    </row>
    <row r="495">
      <c r="B495" s="12" t="str">
        <f>IFERROR(__xludf.DUMMYFUNCTION("""COMPUTED_VALUE"""),"Uvi_Wig_Spell_Evg_J-F")</f>
        <v>Uvi_Wig_Spell_Evg_J-F</v>
      </c>
      <c r="C495" s="12" t="str">
        <f>IFERROR(__xludf.DUMMYFUNCTION("IF($B495="""","""",SUBSTITUTE(SUBSTITUTE(SUBSTITUTE(SUBSTITUTE(INDEX(Hairstyles!$A:$A,MATCH($B495,Hairstyles!$F:$F,0)),"" "",""""),""'"",""""),""("",""""),"")"","""")&amp;""\""&amp;INDEX(SPLIT($A$2,""_""),1)&amp;""\""&amp;INDEX(SPLIT($A$2,""_""),2)&amp;""\""&amp;SUBSTITUTE(SUBST"&amp;"ITUTE(SUBSTITUTE(SUBSTITUTE(SUBSTITUTE(INDEX(Hairstyles!$C:$C,MATCH($B495,Hairstyles!$F:$F,0)),"" "",""""),""'"",""""),""("",""""),"")"",""""),""-"",""_"")&amp;""_""&amp;$A$2)"),"ModularSMPHair\Human\Female\ModularSMPHair_JF_Human_Female")</f>
        <v>ModularSMPHair\Human\Female\ModularSMPHair_JF_Human_Female</v>
      </c>
      <c r="D495" s="12" t="str">
        <f t="shared" si="1"/>
        <v>Uvi_Wig_Spell_Evg_J-F,ModularSMPHair\Human\Female\ModularSMPHair_JF_Human_Female</v>
      </c>
    </row>
    <row r="496">
      <c r="B496" s="12" t="str">
        <f>IFERROR(__xludf.DUMMYFUNCTION("""COMPUTED_VALUE"""),"Uvi_Wig_Spell_Evg_J-G")</f>
        <v>Uvi_Wig_Spell_Evg_J-G</v>
      </c>
      <c r="C496" s="12" t="str">
        <f>IFERROR(__xludf.DUMMYFUNCTION("IF($B496="""","""",SUBSTITUTE(SUBSTITUTE(SUBSTITUTE(SUBSTITUTE(INDEX(Hairstyles!$A:$A,MATCH($B496,Hairstyles!$F:$F,0)),"" "",""""),""'"",""""),""("",""""),"")"","""")&amp;""\""&amp;INDEX(SPLIT($A$2,""_""),1)&amp;""\""&amp;INDEX(SPLIT($A$2,""_""),2)&amp;""\""&amp;SUBSTITUTE(SUBST"&amp;"ITUTE(SUBSTITUTE(SUBSTITUTE(SUBSTITUTE(INDEX(Hairstyles!$C:$C,MATCH($B496,Hairstyles!$F:$F,0)),"" "",""""),""'"",""""),""("",""""),"")"",""""),""-"",""_"")&amp;""_""&amp;$A$2)"),"ModularSMPHair\Human\Female\ModularSMPHair_JG_Human_Female")</f>
        <v>ModularSMPHair\Human\Female\ModularSMPHair_JG_Human_Female</v>
      </c>
      <c r="D496" s="12" t="str">
        <f t="shared" si="1"/>
        <v>Uvi_Wig_Spell_Evg_J-G,ModularSMPHair\Human\Female\ModularSMPHair_JG_Human_Female</v>
      </c>
    </row>
    <row r="497">
      <c r="B497" s="12" t="str">
        <f>IFERROR(__xludf.DUMMYFUNCTION("""COMPUTED_VALUE"""),"Uvi_Wig_Spell_Evg_J-I")</f>
        <v>Uvi_Wig_Spell_Evg_J-I</v>
      </c>
      <c r="C497" s="12" t="str">
        <f>IFERROR(__xludf.DUMMYFUNCTION("IF($B497="""","""",SUBSTITUTE(SUBSTITUTE(SUBSTITUTE(SUBSTITUTE(INDEX(Hairstyles!$A:$A,MATCH($B497,Hairstyles!$F:$F,0)),"" "",""""),""'"",""""),""("",""""),"")"","""")&amp;""\""&amp;INDEX(SPLIT($A$2,""_""),1)&amp;""\""&amp;INDEX(SPLIT($A$2,""_""),2)&amp;""\""&amp;SUBSTITUTE(SUBST"&amp;"ITUTE(SUBSTITUTE(SUBSTITUTE(SUBSTITUTE(INDEX(Hairstyles!$C:$C,MATCH($B497,Hairstyles!$F:$F,0)),"" "",""""),""'"",""""),""("",""""),"")"",""""),""-"",""_"")&amp;""_""&amp;$A$2)"),"ModularSMPHair\Human\Female\ModularSMPHair_JI_Human_Female")</f>
        <v>ModularSMPHair\Human\Female\ModularSMPHair_JI_Human_Female</v>
      </c>
      <c r="D497" s="12" t="str">
        <f t="shared" si="1"/>
        <v>Uvi_Wig_Spell_Evg_J-I,ModularSMPHair\Human\Female\ModularSMPHair_JI_Human_Female</v>
      </c>
    </row>
    <row r="498">
      <c r="B498" s="12" t="str">
        <f>IFERROR(__xludf.DUMMYFUNCTION("""COMPUTED_VALUE"""),"Uvi_Wig_Spell_Evg_J-J")</f>
        <v>Uvi_Wig_Spell_Evg_J-J</v>
      </c>
      <c r="C498" s="12" t="str">
        <f>IFERROR(__xludf.DUMMYFUNCTION("IF($B498="""","""",SUBSTITUTE(SUBSTITUTE(SUBSTITUTE(SUBSTITUTE(INDEX(Hairstyles!$A:$A,MATCH($B498,Hairstyles!$F:$F,0)),"" "",""""),""'"",""""),""("",""""),"")"","""")&amp;""\""&amp;INDEX(SPLIT($A$2,""_""),1)&amp;""\""&amp;INDEX(SPLIT($A$2,""_""),2)&amp;""\""&amp;SUBSTITUTE(SUBST"&amp;"ITUTE(SUBSTITUTE(SUBSTITUTE(SUBSTITUTE(INDEX(Hairstyles!$C:$C,MATCH($B498,Hairstyles!$F:$F,0)),"" "",""""),""'"",""""),""("",""""),"")"",""""),""-"",""_"")&amp;""_""&amp;$A$2)"),"ModularSMPHair\Human\Female\ModularSMPHair_JJ_Human_Female")</f>
        <v>ModularSMPHair\Human\Female\ModularSMPHair_JJ_Human_Female</v>
      </c>
      <c r="D498" s="12" t="str">
        <f t="shared" si="1"/>
        <v>Uvi_Wig_Spell_Evg_J-J,ModularSMPHair\Human\Female\ModularSMPHair_JJ_Human_Female</v>
      </c>
    </row>
    <row r="499">
      <c r="B499" s="12" t="str">
        <f>IFERROR(__xludf.DUMMYFUNCTION("""COMPUTED_VALUE"""),"Uvi_Wig_Spell_Evg_J-K")</f>
        <v>Uvi_Wig_Spell_Evg_J-K</v>
      </c>
      <c r="C499" s="12" t="str">
        <f>IFERROR(__xludf.DUMMYFUNCTION("IF($B499="""","""",SUBSTITUTE(SUBSTITUTE(SUBSTITUTE(SUBSTITUTE(INDEX(Hairstyles!$A:$A,MATCH($B499,Hairstyles!$F:$F,0)),"" "",""""),""'"",""""),""("",""""),"")"","""")&amp;""\""&amp;INDEX(SPLIT($A$2,""_""),1)&amp;""\""&amp;INDEX(SPLIT($A$2,""_""),2)&amp;""\""&amp;SUBSTITUTE(SUBST"&amp;"ITUTE(SUBSTITUTE(SUBSTITUTE(SUBSTITUTE(INDEX(Hairstyles!$C:$C,MATCH($B499,Hairstyles!$F:$F,0)),"" "",""""),""'"",""""),""("",""""),"")"",""""),""-"",""_"")&amp;""_""&amp;$A$2)"),"ModularSMPHair\Human\Female\ModularSMPHair_JK_Human_Female")</f>
        <v>ModularSMPHair\Human\Female\ModularSMPHair_JK_Human_Female</v>
      </c>
      <c r="D499" s="12" t="str">
        <f t="shared" si="1"/>
        <v>Uvi_Wig_Spell_Evg_J-K,ModularSMPHair\Human\Female\ModularSMPHair_JK_Human_Female</v>
      </c>
    </row>
    <row r="500">
      <c r="B500" s="12" t="str">
        <f>IFERROR(__xludf.DUMMYFUNCTION("""COMPUTED_VALUE"""),"Uvi_Wig_Spell_Evg_J-L")</f>
        <v>Uvi_Wig_Spell_Evg_J-L</v>
      </c>
      <c r="C500" s="12" t="str">
        <f>IFERROR(__xludf.DUMMYFUNCTION("IF($B500="""","""",SUBSTITUTE(SUBSTITUTE(SUBSTITUTE(SUBSTITUTE(INDEX(Hairstyles!$A:$A,MATCH($B500,Hairstyles!$F:$F,0)),"" "",""""),""'"",""""),""("",""""),"")"","""")&amp;""\""&amp;INDEX(SPLIT($A$2,""_""),1)&amp;""\""&amp;INDEX(SPLIT($A$2,""_""),2)&amp;""\""&amp;SUBSTITUTE(SUBST"&amp;"ITUTE(SUBSTITUTE(SUBSTITUTE(SUBSTITUTE(INDEX(Hairstyles!$C:$C,MATCH($B500,Hairstyles!$F:$F,0)),"" "",""""),""'"",""""),""("",""""),"")"",""""),""-"",""_"")&amp;""_""&amp;$A$2)"),"ModularSMPHair\Human\Female\ModularSMPHair_JL_Human_Female")</f>
        <v>ModularSMPHair\Human\Female\ModularSMPHair_JL_Human_Female</v>
      </c>
      <c r="D500" s="12" t="str">
        <f t="shared" si="1"/>
        <v>Uvi_Wig_Spell_Evg_J-L,ModularSMPHair\Human\Female\ModularSMPHair_JL_Human_Female</v>
      </c>
    </row>
    <row r="501">
      <c r="B501" s="12" t="str">
        <f>IFERROR(__xludf.DUMMYFUNCTION("""COMPUTED_VALUE"""),"Uvi_Wig_Spell_Evg_J-M1")</f>
        <v>Uvi_Wig_Spell_Evg_J-M1</v>
      </c>
      <c r="C501" s="12" t="str">
        <f>IFERROR(__xludf.DUMMYFUNCTION("IF($B501="""","""",SUBSTITUTE(SUBSTITUTE(SUBSTITUTE(SUBSTITUTE(INDEX(Hairstyles!$A:$A,MATCH($B501,Hairstyles!$F:$F,0)),"" "",""""),""'"",""""),""("",""""),"")"","""")&amp;""\""&amp;INDEX(SPLIT($A$2,""_""),1)&amp;""\""&amp;INDEX(SPLIT($A$2,""_""),2)&amp;""\""&amp;SUBSTITUTE(SUBST"&amp;"ITUTE(SUBSTITUTE(SUBSTITUTE(SUBSTITUTE(INDEX(Hairstyles!$C:$C,MATCH($B501,Hairstyles!$F:$F,0)),"" "",""""),""'"",""""),""("",""""),"")"",""""),""-"",""_"")&amp;""_""&amp;$A$2)"),"ModularSMPHair\Human\Female\ModularSMPHair_JM1_Human_Female")</f>
        <v>ModularSMPHair\Human\Female\ModularSMPHair_JM1_Human_Female</v>
      </c>
      <c r="D501" s="12" t="str">
        <f t="shared" si="1"/>
        <v>Uvi_Wig_Spell_Evg_J-M1,ModularSMPHair\Human\Female\ModularSMPHair_JM1_Human_Female</v>
      </c>
    </row>
    <row r="502">
      <c r="B502" s="12" t="str">
        <f>IFERROR(__xludf.DUMMYFUNCTION("""COMPUTED_VALUE"""),"Uvi_Wig_Spell_Evg_J-M2")</f>
        <v>Uvi_Wig_Spell_Evg_J-M2</v>
      </c>
      <c r="C502" s="12" t="str">
        <f>IFERROR(__xludf.DUMMYFUNCTION("IF($B502="""","""",SUBSTITUTE(SUBSTITUTE(SUBSTITUTE(SUBSTITUTE(INDEX(Hairstyles!$A:$A,MATCH($B502,Hairstyles!$F:$F,0)),"" "",""""),""'"",""""),""("",""""),"")"","""")&amp;""\""&amp;INDEX(SPLIT($A$2,""_""),1)&amp;""\""&amp;INDEX(SPLIT($A$2,""_""),2)&amp;""\""&amp;SUBSTITUTE(SUBST"&amp;"ITUTE(SUBSTITUTE(SUBSTITUTE(SUBSTITUTE(INDEX(Hairstyles!$C:$C,MATCH($B502,Hairstyles!$F:$F,0)),"" "",""""),""'"",""""),""("",""""),"")"",""""),""-"",""_"")&amp;""_""&amp;$A$2)"),"ModularSMPHair\Human\Female\ModularSMPHair_JM2_Human_Female")</f>
        <v>ModularSMPHair\Human\Female\ModularSMPHair_JM2_Human_Female</v>
      </c>
      <c r="D502" s="12" t="str">
        <f t="shared" si="1"/>
        <v>Uvi_Wig_Spell_Evg_J-M2,ModularSMPHair\Human\Female\ModularSMPHair_JM2_Human_Female</v>
      </c>
    </row>
    <row r="503">
      <c r="B503" s="12" t="str">
        <f>IFERROR(__xludf.DUMMYFUNCTION("""COMPUTED_VALUE"""),"Uvi_Wig_Spell_Evg_L")</f>
        <v>Uvi_Wig_Spell_Evg_L</v>
      </c>
      <c r="C503" s="12" t="str">
        <f>IFERROR(__xludf.DUMMYFUNCTION("IF($B503="""","""",SUBSTITUTE(SUBSTITUTE(SUBSTITUTE(SUBSTITUTE(INDEX(Hairstyles!$A:$A,MATCH($B503,Hairstyles!$F:$F,0)),"" "",""""),""'"",""""),""("",""""),"")"","""")&amp;""\""&amp;INDEX(SPLIT($A$2,""_""),1)&amp;""\""&amp;INDEX(SPLIT($A$2,""_""),2)&amp;""\""&amp;SUBSTITUTE(SUBST"&amp;"ITUTE(SUBSTITUTE(SUBSTITUTE(SUBSTITUTE(INDEX(Hairstyles!$C:$C,MATCH($B503,Hairstyles!$F:$F,0)),"" "",""""),""'"",""""),""("",""""),"")"",""""),""-"",""_"")&amp;""_""&amp;$A$2)"),"ModularSMPHair\Human\Female\ModularSMPHair_L_Human_Female")</f>
        <v>ModularSMPHair\Human\Female\ModularSMPHair_L_Human_Female</v>
      </c>
      <c r="D503" s="12" t="str">
        <f t="shared" si="1"/>
        <v>Uvi_Wig_Spell_Evg_L,ModularSMPHair\Human\Female\ModularSMPHair_L_Human_Female</v>
      </c>
    </row>
    <row r="504">
      <c r="B504" s="12" t="str">
        <f>IFERROR(__xludf.DUMMYFUNCTION("""COMPUTED_VALUE"""),"Uvi_Wig_Spell_Evg_L-A")</f>
        <v>Uvi_Wig_Spell_Evg_L-A</v>
      </c>
      <c r="C504" s="12" t="str">
        <f>IFERROR(__xludf.DUMMYFUNCTION("IF($B504="""","""",SUBSTITUTE(SUBSTITUTE(SUBSTITUTE(SUBSTITUTE(INDEX(Hairstyles!$A:$A,MATCH($B504,Hairstyles!$F:$F,0)),"" "",""""),""'"",""""),""("",""""),"")"","""")&amp;""\""&amp;INDEX(SPLIT($A$2,""_""),1)&amp;""\""&amp;INDEX(SPLIT($A$2,""_""),2)&amp;""\""&amp;SUBSTITUTE(SUBST"&amp;"ITUTE(SUBSTITUTE(SUBSTITUTE(SUBSTITUTE(INDEX(Hairstyles!$C:$C,MATCH($B504,Hairstyles!$F:$F,0)),"" "",""""),""'"",""""),""("",""""),"")"",""""),""-"",""_"")&amp;""_""&amp;$A$2)"),"ModularSMPHair\Human\Female\ModularSMPHair_LA_Human_Female")</f>
        <v>ModularSMPHair\Human\Female\ModularSMPHair_LA_Human_Female</v>
      </c>
      <c r="D504" s="12" t="str">
        <f t="shared" si="1"/>
        <v>Uvi_Wig_Spell_Evg_L-A,ModularSMPHair\Human\Female\ModularSMPHair_LA_Human_Female</v>
      </c>
    </row>
    <row r="505">
      <c r="B505" s="12" t="str">
        <f>IFERROR(__xludf.DUMMYFUNCTION("""COMPUTED_VALUE"""),"Uvi_Wig_Spell_Evg_L-B")</f>
        <v>Uvi_Wig_Spell_Evg_L-B</v>
      </c>
      <c r="C505" s="12" t="str">
        <f>IFERROR(__xludf.DUMMYFUNCTION("IF($B505="""","""",SUBSTITUTE(SUBSTITUTE(SUBSTITUTE(SUBSTITUTE(INDEX(Hairstyles!$A:$A,MATCH($B505,Hairstyles!$F:$F,0)),"" "",""""),""'"",""""),""("",""""),"")"","""")&amp;""\""&amp;INDEX(SPLIT($A$2,""_""),1)&amp;""\""&amp;INDEX(SPLIT($A$2,""_""),2)&amp;""\""&amp;SUBSTITUTE(SUBST"&amp;"ITUTE(SUBSTITUTE(SUBSTITUTE(SUBSTITUTE(INDEX(Hairstyles!$C:$C,MATCH($B505,Hairstyles!$F:$F,0)),"" "",""""),""'"",""""),""("",""""),"")"",""""),""-"",""_"")&amp;""_""&amp;$A$2)"),"ModularSMPHair\Human\Female\ModularSMPHair_LB_Human_Female")</f>
        <v>ModularSMPHair\Human\Female\ModularSMPHair_LB_Human_Female</v>
      </c>
      <c r="D505" s="12" t="str">
        <f t="shared" si="1"/>
        <v>Uvi_Wig_Spell_Evg_L-B,ModularSMPHair\Human\Female\ModularSMPHair_LB_Human_Female</v>
      </c>
    </row>
    <row r="506">
      <c r="B506" s="12" t="str">
        <f>IFERROR(__xludf.DUMMYFUNCTION("""COMPUTED_VALUE"""),"Uvi_Wig_Spell_Evg_L-C")</f>
        <v>Uvi_Wig_Spell_Evg_L-C</v>
      </c>
      <c r="C506" s="12" t="str">
        <f>IFERROR(__xludf.DUMMYFUNCTION("IF($B506="""","""",SUBSTITUTE(SUBSTITUTE(SUBSTITUTE(SUBSTITUTE(INDEX(Hairstyles!$A:$A,MATCH($B506,Hairstyles!$F:$F,0)),"" "",""""),""'"",""""),""("",""""),"")"","""")&amp;""\""&amp;INDEX(SPLIT($A$2,""_""),1)&amp;""\""&amp;INDEX(SPLIT($A$2,""_""),2)&amp;""\""&amp;SUBSTITUTE(SUBST"&amp;"ITUTE(SUBSTITUTE(SUBSTITUTE(SUBSTITUTE(INDEX(Hairstyles!$C:$C,MATCH($B506,Hairstyles!$F:$F,0)),"" "",""""),""'"",""""),""("",""""),"")"",""""),""-"",""_"")&amp;""_""&amp;$A$2)"),"ModularSMPHair\Human\Female\ModularSMPHair_LC_Human_Female")</f>
        <v>ModularSMPHair\Human\Female\ModularSMPHair_LC_Human_Female</v>
      </c>
      <c r="D506" s="12" t="str">
        <f t="shared" si="1"/>
        <v>Uvi_Wig_Spell_Evg_L-C,ModularSMPHair\Human\Female\ModularSMPHair_LC_Human_Female</v>
      </c>
    </row>
    <row r="507">
      <c r="B507" s="12" t="str">
        <f>IFERROR(__xludf.DUMMYFUNCTION("""COMPUTED_VALUE"""),"Uvi_Wig_Spell_Evg_L-D")</f>
        <v>Uvi_Wig_Spell_Evg_L-D</v>
      </c>
      <c r="C507" s="12" t="str">
        <f>IFERROR(__xludf.DUMMYFUNCTION("IF($B507="""","""",SUBSTITUTE(SUBSTITUTE(SUBSTITUTE(SUBSTITUTE(INDEX(Hairstyles!$A:$A,MATCH($B507,Hairstyles!$F:$F,0)),"" "",""""),""'"",""""),""("",""""),"")"","""")&amp;""\""&amp;INDEX(SPLIT($A$2,""_""),1)&amp;""\""&amp;INDEX(SPLIT($A$2,""_""),2)&amp;""\""&amp;SUBSTITUTE(SUBST"&amp;"ITUTE(SUBSTITUTE(SUBSTITUTE(SUBSTITUTE(INDEX(Hairstyles!$C:$C,MATCH($B507,Hairstyles!$F:$F,0)),"" "",""""),""'"",""""),""("",""""),"")"",""""),""-"",""_"")&amp;""_""&amp;$A$2)"),"ModularSMPHair\Human\Female\ModularSMPHair_LD_Human_Female")</f>
        <v>ModularSMPHair\Human\Female\ModularSMPHair_LD_Human_Female</v>
      </c>
      <c r="D507" s="12" t="str">
        <f t="shared" si="1"/>
        <v>Uvi_Wig_Spell_Evg_L-D,ModularSMPHair\Human\Female\ModularSMPHair_LD_Human_Female</v>
      </c>
    </row>
    <row r="508">
      <c r="B508" s="12" t="str">
        <f>IFERROR(__xludf.DUMMYFUNCTION("""COMPUTED_VALUE"""),"Uvi_Wig_Spell_Evg_L-E")</f>
        <v>Uvi_Wig_Spell_Evg_L-E</v>
      </c>
      <c r="C508" s="12" t="str">
        <f>IFERROR(__xludf.DUMMYFUNCTION("IF($B508="""","""",SUBSTITUTE(SUBSTITUTE(SUBSTITUTE(SUBSTITUTE(INDEX(Hairstyles!$A:$A,MATCH($B508,Hairstyles!$F:$F,0)),"" "",""""),""'"",""""),""("",""""),"")"","""")&amp;""\""&amp;INDEX(SPLIT($A$2,""_""),1)&amp;""\""&amp;INDEX(SPLIT($A$2,""_""),2)&amp;""\""&amp;SUBSTITUTE(SUBST"&amp;"ITUTE(SUBSTITUTE(SUBSTITUTE(SUBSTITUTE(INDEX(Hairstyles!$C:$C,MATCH($B508,Hairstyles!$F:$F,0)),"" "",""""),""'"",""""),""("",""""),"")"",""""),""-"",""_"")&amp;""_""&amp;$A$2)"),"ModularSMPHair\Human\Female\ModularSMPHair_LE_Human_Female")</f>
        <v>ModularSMPHair\Human\Female\ModularSMPHair_LE_Human_Female</v>
      </c>
      <c r="D508" s="12" t="str">
        <f t="shared" si="1"/>
        <v>Uvi_Wig_Spell_Evg_L-E,ModularSMPHair\Human\Female\ModularSMPHair_LE_Human_Female</v>
      </c>
    </row>
    <row r="509">
      <c r="B509" s="12" t="str">
        <f>IFERROR(__xludf.DUMMYFUNCTION("""COMPUTED_VALUE"""),"Uvi_Wig_Spell_Evg_L-F")</f>
        <v>Uvi_Wig_Spell_Evg_L-F</v>
      </c>
      <c r="C509" s="12" t="str">
        <f>IFERROR(__xludf.DUMMYFUNCTION("IF($B509="""","""",SUBSTITUTE(SUBSTITUTE(SUBSTITUTE(SUBSTITUTE(INDEX(Hairstyles!$A:$A,MATCH($B509,Hairstyles!$F:$F,0)),"" "",""""),""'"",""""),""("",""""),"")"","""")&amp;""\""&amp;INDEX(SPLIT($A$2,""_""),1)&amp;""\""&amp;INDEX(SPLIT($A$2,""_""),2)&amp;""\""&amp;SUBSTITUTE(SUBST"&amp;"ITUTE(SUBSTITUTE(SUBSTITUTE(SUBSTITUTE(INDEX(Hairstyles!$C:$C,MATCH($B509,Hairstyles!$F:$F,0)),"" "",""""),""'"",""""),""("",""""),"")"",""""),""-"",""_"")&amp;""_""&amp;$A$2)"),"ModularSMPHair\Human\Female\ModularSMPHair_LF_Human_Female")</f>
        <v>ModularSMPHair\Human\Female\ModularSMPHair_LF_Human_Female</v>
      </c>
      <c r="D509" s="12" t="str">
        <f t="shared" si="1"/>
        <v>Uvi_Wig_Spell_Evg_L-F,ModularSMPHair\Human\Female\ModularSMPHair_LF_Human_Female</v>
      </c>
    </row>
    <row r="510">
      <c r="B510" s="12" t="str">
        <f>IFERROR(__xludf.DUMMYFUNCTION("""COMPUTED_VALUE"""),"Uvi_Wig_Spell_Evg_L-G")</f>
        <v>Uvi_Wig_Spell_Evg_L-G</v>
      </c>
      <c r="C510" s="12" t="str">
        <f>IFERROR(__xludf.DUMMYFUNCTION("IF($B510="""","""",SUBSTITUTE(SUBSTITUTE(SUBSTITUTE(SUBSTITUTE(INDEX(Hairstyles!$A:$A,MATCH($B510,Hairstyles!$F:$F,0)),"" "",""""),""'"",""""),""("",""""),"")"","""")&amp;""\""&amp;INDEX(SPLIT($A$2,""_""),1)&amp;""\""&amp;INDEX(SPLIT($A$2,""_""),2)&amp;""\""&amp;SUBSTITUTE(SUBST"&amp;"ITUTE(SUBSTITUTE(SUBSTITUTE(SUBSTITUTE(INDEX(Hairstyles!$C:$C,MATCH($B510,Hairstyles!$F:$F,0)),"" "",""""),""'"",""""),""("",""""),"")"",""""),""-"",""_"")&amp;""_""&amp;$A$2)"),"ModularSMPHair\Human\Female\ModularSMPHair_LG_Human_Female")</f>
        <v>ModularSMPHair\Human\Female\ModularSMPHair_LG_Human_Female</v>
      </c>
      <c r="D510" s="12" t="str">
        <f t="shared" si="1"/>
        <v>Uvi_Wig_Spell_Evg_L-G,ModularSMPHair\Human\Female\ModularSMPHair_LG_Human_Female</v>
      </c>
    </row>
    <row r="511">
      <c r="B511" s="12" t="str">
        <f>IFERROR(__xludf.DUMMYFUNCTION("""COMPUTED_VALUE"""),"Uvi_Wig_Spell_Evg_L-I")</f>
        <v>Uvi_Wig_Spell_Evg_L-I</v>
      </c>
      <c r="C511" s="12" t="str">
        <f>IFERROR(__xludf.DUMMYFUNCTION("IF($B511="""","""",SUBSTITUTE(SUBSTITUTE(SUBSTITUTE(SUBSTITUTE(INDEX(Hairstyles!$A:$A,MATCH($B511,Hairstyles!$F:$F,0)),"" "",""""),""'"",""""),""("",""""),"")"","""")&amp;""\""&amp;INDEX(SPLIT($A$2,""_""),1)&amp;""\""&amp;INDEX(SPLIT($A$2,""_""),2)&amp;""\""&amp;SUBSTITUTE(SUBST"&amp;"ITUTE(SUBSTITUTE(SUBSTITUTE(SUBSTITUTE(INDEX(Hairstyles!$C:$C,MATCH($B511,Hairstyles!$F:$F,0)),"" "",""""),""'"",""""),""("",""""),"")"",""""),""-"",""_"")&amp;""_""&amp;$A$2)"),"ModularSMPHair\Human\Female\ModularSMPHair_LI_Human_Female")</f>
        <v>ModularSMPHair\Human\Female\ModularSMPHair_LI_Human_Female</v>
      </c>
      <c r="D511" s="12" t="str">
        <f t="shared" si="1"/>
        <v>Uvi_Wig_Spell_Evg_L-I,ModularSMPHair\Human\Female\ModularSMPHair_LI_Human_Female</v>
      </c>
    </row>
    <row r="512">
      <c r="B512" s="12" t="str">
        <f>IFERROR(__xludf.DUMMYFUNCTION("""COMPUTED_VALUE"""),"Uvi_Wig_Spell_Evg_L-J")</f>
        <v>Uvi_Wig_Spell_Evg_L-J</v>
      </c>
      <c r="C512" s="12" t="str">
        <f>IFERROR(__xludf.DUMMYFUNCTION("IF($B512="""","""",SUBSTITUTE(SUBSTITUTE(SUBSTITUTE(SUBSTITUTE(INDEX(Hairstyles!$A:$A,MATCH($B512,Hairstyles!$F:$F,0)),"" "",""""),""'"",""""),""("",""""),"")"","""")&amp;""\""&amp;INDEX(SPLIT($A$2,""_""),1)&amp;""\""&amp;INDEX(SPLIT($A$2,""_""),2)&amp;""\""&amp;SUBSTITUTE(SUBST"&amp;"ITUTE(SUBSTITUTE(SUBSTITUTE(SUBSTITUTE(INDEX(Hairstyles!$C:$C,MATCH($B512,Hairstyles!$F:$F,0)),"" "",""""),""'"",""""),""("",""""),"")"",""""),""-"",""_"")&amp;""_""&amp;$A$2)"),"ModularSMPHair\Human\Female\ModularSMPHair_LJ_Human_Female")</f>
        <v>ModularSMPHair\Human\Female\ModularSMPHair_LJ_Human_Female</v>
      </c>
      <c r="D512" s="12" t="str">
        <f t="shared" si="1"/>
        <v>Uvi_Wig_Spell_Evg_L-J,ModularSMPHair\Human\Female\ModularSMPHair_LJ_Human_Female</v>
      </c>
    </row>
    <row r="513">
      <c r="B513" s="12" t="str">
        <f>IFERROR(__xludf.DUMMYFUNCTION("""COMPUTED_VALUE"""),"Uvi_Wig_Spell_Evg_L-K")</f>
        <v>Uvi_Wig_Spell_Evg_L-K</v>
      </c>
      <c r="C513" s="12" t="str">
        <f>IFERROR(__xludf.DUMMYFUNCTION("IF($B513="""","""",SUBSTITUTE(SUBSTITUTE(SUBSTITUTE(SUBSTITUTE(INDEX(Hairstyles!$A:$A,MATCH($B513,Hairstyles!$F:$F,0)),"" "",""""),""'"",""""),""("",""""),"")"","""")&amp;""\""&amp;INDEX(SPLIT($A$2,""_""),1)&amp;""\""&amp;INDEX(SPLIT($A$2,""_""),2)&amp;""\""&amp;SUBSTITUTE(SUBST"&amp;"ITUTE(SUBSTITUTE(SUBSTITUTE(SUBSTITUTE(INDEX(Hairstyles!$C:$C,MATCH($B513,Hairstyles!$F:$F,0)),"" "",""""),""'"",""""),""("",""""),"")"",""""),""-"",""_"")&amp;""_""&amp;$A$2)"),"ModularSMPHair\Human\Female\ModularSMPHair_LK_Human_Female")</f>
        <v>ModularSMPHair\Human\Female\ModularSMPHair_LK_Human_Female</v>
      </c>
      <c r="D513" s="12" t="str">
        <f t="shared" si="1"/>
        <v>Uvi_Wig_Spell_Evg_L-K,ModularSMPHair\Human\Female\ModularSMPHair_LK_Human_Female</v>
      </c>
    </row>
    <row r="514">
      <c r="B514" s="12" t="str">
        <f>IFERROR(__xludf.DUMMYFUNCTION("""COMPUTED_VALUE"""),"Uvi_Wig_Spell_Evg_L-L")</f>
        <v>Uvi_Wig_Spell_Evg_L-L</v>
      </c>
      <c r="C514" s="12" t="str">
        <f>IFERROR(__xludf.DUMMYFUNCTION("IF($B514="""","""",SUBSTITUTE(SUBSTITUTE(SUBSTITUTE(SUBSTITUTE(INDEX(Hairstyles!$A:$A,MATCH($B514,Hairstyles!$F:$F,0)),"" "",""""),""'"",""""),""("",""""),"")"","""")&amp;""\""&amp;INDEX(SPLIT($A$2,""_""),1)&amp;""\""&amp;INDEX(SPLIT($A$2,""_""),2)&amp;""\""&amp;SUBSTITUTE(SUBST"&amp;"ITUTE(SUBSTITUTE(SUBSTITUTE(SUBSTITUTE(INDEX(Hairstyles!$C:$C,MATCH($B514,Hairstyles!$F:$F,0)),"" "",""""),""'"",""""),""("",""""),"")"",""""),""-"",""_"")&amp;""_""&amp;$A$2)"),"ModularSMPHair\Human\Female\ModularSMPHair_LL_Human_Female")</f>
        <v>ModularSMPHair\Human\Female\ModularSMPHair_LL_Human_Female</v>
      </c>
      <c r="D514" s="12" t="str">
        <f t="shared" si="1"/>
        <v>Uvi_Wig_Spell_Evg_L-L,ModularSMPHair\Human\Female\ModularSMPHair_LL_Human_Female</v>
      </c>
    </row>
    <row r="515">
      <c r="B515" s="12" t="str">
        <f>IFERROR(__xludf.DUMMYFUNCTION("""COMPUTED_VALUE"""),"Uvi_Wig_Spell_Evg_L-M1")</f>
        <v>Uvi_Wig_Spell_Evg_L-M1</v>
      </c>
      <c r="C515" s="12" t="str">
        <f>IFERROR(__xludf.DUMMYFUNCTION("IF($B515="""","""",SUBSTITUTE(SUBSTITUTE(SUBSTITUTE(SUBSTITUTE(INDEX(Hairstyles!$A:$A,MATCH($B515,Hairstyles!$F:$F,0)),"" "",""""),""'"",""""),""("",""""),"")"","""")&amp;""\""&amp;INDEX(SPLIT($A$2,""_""),1)&amp;""\""&amp;INDEX(SPLIT($A$2,""_""),2)&amp;""\""&amp;SUBSTITUTE(SUBST"&amp;"ITUTE(SUBSTITUTE(SUBSTITUTE(SUBSTITUTE(INDEX(Hairstyles!$C:$C,MATCH($B515,Hairstyles!$F:$F,0)),"" "",""""),""'"",""""),""("",""""),"")"",""""),""-"",""_"")&amp;""_""&amp;$A$2)"),"ModularSMPHair\Human\Female\ModularSMPHair_LM1_Human_Female")</f>
        <v>ModularSMPHair\Human\Female\ModularSMPHair_LM1_Human_Female</v>
      </c>
      <c r="D515" s="12" t="str">
        <f t="shared" si="1"/>
        <v>Uvi_Wig_Spell_Evg_L-M1,ModularSMPHair\Human\Female\ModularSMPHair_LM1_Human_Female</v>
      </c>
    </row>
    <row r="516">
      <c r="B516" s="12" t="str">
        <f>IFERROR(__xludf.DUMMYFUNCTION("""COMPUTED_VALUE"""),"Uvi_Wig_Spell_Evg_L-M2")</f>
        <v>Uvi_Wig_Spell_Evg_L-M2</v>
      </c>
      <c r="C516" s="12" t="str">
        <f>IFERROR(__xludf.DUMMYFUNCTION("IF($B516="""","""",SUBSTITUTE(SUBSTITUTE(SUBSTITUTE(SUBSTITUTE(INDEX(Hairstyles!$A:$A,MATCH($B516,Hairstyles!$F:$F,0)),"" "",""""),""'"",""""),""("",""""),"")"","""")&amp;""\""&amp;INDEX(SPLIT($A$2,""_""),1)&amp;""\""&amp;INDEX(SPLIT($A$2,""_""),2)&amp;""\""&amp;SUBSTITUTE(SUBST"&amp;"ITUTE(SUBSTITUTE(SUBSTITUTE(SUBSTITUTE(INDEX(Hairstyles!$C:$C,MATCH($B516,Hairstyles!$F:$F,0)),"" "",""""),""'"",""""),""("",""""),"")"",""""),""-"",""_"")&amp;""_""&amp;$A$2)"),"ModularSMPHair\Human\Female\ModularSMPHair_LM2_Human_Female")</f>
        <v>ModularSMPHair\Human\Female\ModularSMPHair_LM2_Human_Female</v>
      </c>
      <c r="D516" s="12" t="str">
        <f t="shared" si="1"/>
        <v>Uvi_Wig_Spell_Evg_L-M2,ModularSMPHair\Human\Female\ModularSMPHair_LM2_Human_Female</v>
      </c>
    </row>
    <row r="517">
      <c r="B517" s="12" t="str">
        <f>IFERROR(__xludf.DUMMYFUNCTION("""COMPUTED_VALUE"""),"Uvi_Wig_Spell_Evg_M")</f>
        <v>Uvi_Wig_Spell_Evg_M</v>
      </c>
      <c r="C517" s="12" t="str">
        <f>IFERROR(__xludf.DUMMYFUNCTION("IF($B517="""","""",SUBSTITUTE(SUBSTITUTE(SUBSTITUTE(SUBSTITUTE(INDEX(Hairstyles!$A:$A,MATCH($B517,Hairstyles!$F:$F,0)),"" "",""""),""'"",""""),""("",""""),"")"","""")&amp;""\""&amp;INDEX(SPLIT($A$2,""_""),1)&amp;""\""&amp;INDEX(SPLIT($A$2,""_""),2)&amp;""\""&amp;SUBSTITUTE(SUBST"&amp;"ITUTE(SUBSTITUTE(SUBSTITUTE(SUBSTITUTE(INDEX(Hairstyles!$C:$C,MATCH($B517,Hairstyles!$F:$F,0)),"" "",""""),""'"",""""),""("",""""),"")"",""""),""-"",""_"")&amp;""_""&amp;$A$2)"),"ModularSMPHair\Human\Female\ModularSMPHair_M_Human_Female")</f>
        <v>ModularSMPHair\Human\Female\ModularSMPHair_M_Human_Female</v>
      </c>
      <c r="D517" s="12" t="str">
        <f t="shared" si="1"/>
        <v>Uvi_Wig_Spell_Evg_M,ModularSMPHair\Human\Female\ModularSMPHair_M_Human_Female</v>
      </c>
    </row>
    <row r="518">
      <c r="B518" s="12" t="str">
        <f>IFERROR(__xludf.DUMMYFUNCTION("""COMPUTED_VALUE"""),"Uvi_Wig_Spell_Evg_M-B")</f>
        <v>Uvi_Wig_Spell_Evg_M-B</v>
      </c>
      <c r="C518" s="12" t="str">
        <f>IFERROR(__xludf.DUMMYFUNCTION("IF($B518="""","""",SUBSTITUTE(SUBSTITUTE(SUBSTITUTE(SUBSTITUTE(INDEX(Hairstyles!$A:$A,MATCH($B518,Hairstyles!$F:$F,0)),"" "",""""),""'"",""""),""("",""""),"")"","""")&amp;""\""&amp;INDEX(SPLIT($A$2,""_""),1)&amp;""\""&amp;INDEX(SPLIT($A$2,""_""),2)&amp;""\""&amp;SUBSTITUTE(SUBST"&amp;"ITUTE(SUBSTITUTE(SUBSTITUTE(SUBSTITUTE(INDEX(Hairstyles!$C:$C,MATCH($B518,Hairstyles!$F:$F,0)),"" "",""""),""'"",""""),""("",""""),"")"",""""),""-"",""_"")&amp;""_""&amp;$A$2)"),"ModularSMPHair\Human\Female\ModularSMPHair_MB_Human_Female")</f>
        <v>ModularSMPHair\Human\Female\ModularSMPHair_MB_Human_Female</v>
      </c>
      <c r="D518" s="12" t="str">
        <f t="shared" si="1"/>
        <v>Uvi_Wig_Spell_Evg_M-B,ModularSMPHair\Human\Female\ModularSMPHair_MB_Human_Female</v>
      </c>
    </row>
    <row r="519">
      <c r="B519" s="12" t="str">
        <f>IFERROR(__xludf.DUMMYFUNCTION("""COMPUTED_VALUE"""),"Uvi_Wig_Spell_Evg_M-C")</f>
        <v>Uvi_Wig_Spell_Evg_M-C</v>
      </c>
      <c r="C519" s="12" t="str">
        <f>IFERROR(__xludf.DUMMYFUNCTION("IF($B519="""","""",SUBSTITUTE(SUBSTITUTE(SUBSTITUTE(SUBSTITUTE(INDEX(Hairstyles!$A:$A,MATCH($B519,Hairstyles!$F:$F,0)),"" "",""""),""'"",""""),""("",""""),"")"","""")&amp;""\""&amp;INDEX(SPLIT($A$2,""_""),1)&amp;""\""&amp;INDEX(SPLIT($A$2,""_""),2)&amp;""\""&amp;SUBSTITUTE(SUBST"&amp;"ITUTE(SUBSTITUTE(SUBSTITUTE(SUBSTITUTE(INDEX(Hairstyles!$C:$C,MATCH($B519,Hairstyles!$F:$F,0)),"" "",""""),""'"",""""),""("",""""),"")"",""""),""-"",""_"")&amp;""_""&amp;$A$2)"),"ModularSMPHair\Human\Female\ModularSMPHair_MC_Human_Female")</f>
        <v>ModularSMPHair\Human\Female\ModularSMPHair_MC_Human_Female</v>
      </c>
      <c r="D519" s="12" t="str">
        <f t="shared" si="1"/>
        <v>Uvi_Wig_Spell_Evg_M-C,ModularSMPHair\Human\Female\ModularSMPHair_MC_Human_Female</v>
      </c>
    </row>
    <row r="520">
      <c r="B520" s="12" t="str">
        <f>IFERROR(__xludf.DUMMYFUNCTION("""COMPUTED_VALUE"""),"Uvi_Wig_Spell_Evg_M-E")</f>
        <v>Uvi_Wig_Spell_Evg_M-E</v>
      </c>
      <c r="C520" s="12" t="str">
        <f>IFERROR(__xludf.DUMMYFUNCTION("IF($B520="""","""",SUBSTITUTE(SUBSTITUTE(SUBSTITUTE(SUBSTITUTE(INDEX(Hairstyles!$A:$A,MATCH($B520,Hairstyles!$F:$F,0)),"" "",""""),""'"",""""),""("",""""),"")"","""")&amp;""\""&amp;INDEX(SPLIT($A$2,""_""),1)&amp;""\""&amp;INDEX(SPLIT($A$2,""_""),2)&amp;""\""&amp;SUBSTITUTE(SUBST"&amp;"ITUTE(SUBSTITUTE(SUBSTITUTE(SUBSTITUTE(INDEX(Hairstyles!$C:$C,MATCH($B520,Hairstyles!$F:$F,0)),"" "",""""),""'"",""""),""("",""""),"")"",""""),""-"",""_"")&amp;""_""&amp;$A$2)"),"ModularSMPHair\Human\Female\ModularSMPHair_ME_Human_Female")</f>
        <v>ModularSMPHair\Human\Female\ModularSMPHair_ME_Human_Female</v>
      </c>
      <c r="D520" s="12" t="str">
        <f t="shared" si="1"/>
        <v>Uvi_Wig_Spell_Evg_M-E,ModularSMPHair\Human\Female\ModularSMPHair_ME_Human_Female</v>
      </c>
    </row>
    <row r="521">
      <c r="B521" s="12" t="str">
        <f>IFERROR(__xludf.DUMMYFUNCTION("""COMPUTED_VALUE"""),"Uvi_Wig_Spell_Evg_M-F")</f>
        <v>Uvi_Wig_Spell_Evg_M-F</v>
      </c>
      <c r="C521" s="12" t="str">
        <f>IFERROR(__xludf.DUMMYFUNCTION("IF($B521="""","""",SUBSTITUTE(SUBSTITUTE(SUBSTITUTE(SUBSTITUTE(INDEX(Hairstyles!$A:$A,MATCH($B521,Hairstyles!$F:$F,0)),"" "",""""),""'"",""""),""("",""""),"")"","""")&amp;""\""&amp;INDEX(SPLIT($A$2,""_""),1)&amp;""\""&amp;INDEX(SPLIT($A$2,""_""),2)&amp;""\""&amp;SUBSTITUTE(SUBST"&amp;"ITUTE(SUBSTITUTE(SUBSTITUTE(SUBSTITUTE(INDEX(Hairstyles!$C:$C,MATCH($B521,Hairstyles!$F:$F,0)),"" "",""""),""'"",""""),""("",""""),"")"",""""),""-"",""_"")&amp;""_""&amp;$A$2)"),"ModularSMPHair\Human\Female\ModularSMPHair_MF_Human_Female")</f>
        <v>ModularSMPHair\Human\Female\ModularSMPHair_MF_Human_Female</v>
      </c>
      <c r="D521" s="12" t="str">
        <f t="shared" si="1"/>
        <v>Uvi_Wig_Spell_Evg_M-F,ModularSMPHair\Human\Female\ModularSMPHair_MF_Human_Female</v>
      </c>
    </row>
    <row r="522">
      <c r="B522" s="12" t="str">
        <f>IFERROR(__xludf.DUMMYFUNCTION("""COMPUTED_VALUE"""),"Uvi_Wig_Spell_Evg_M-G")</f>
        <v>Uvi_Wig_Spell_Evg_M-G</v>
      </c>
      <c r="C522" s="12" t="str">
        <f>IFERROR(__xludf.DUMMYFUNCTION("IF($B522="""","""",SUBSTITUTE(SUBSTITUTE(SUBSTITUTE(SUBSTITUTE(INDEX(Hairstyles!$A:$A,MATCH($B522,Hairstyles!$F:$F,0)),"" "",""""),""'"",""""),""("",""""),"")"","""")&amp;""\""&amp;INDEX(SPLIT($A$2,""_""),1)&amp;""\""&amp;INDEX(SPLIT($A$2,""_""),2)&amp;""\""&amp;SUBSTITUTE(SUBST"&amp;"ITUTE(SUBSTITUTE(SUBSTITUTE(SUBSTITUTE(INDEX(Hairstyles!$C:$C,MATCH($B522,Hairstyles!$F:$F,0)),"" "",""""),""'"",""""),""("",""""),"")"",""""),""-"",""_"")&amp;""_""&amp;$A$2)"),"ModularSMPHair\Human\Female\ModularSMPHair_MG_Human_Female")</f>
        <v>ModularSMPHair\Human\Female\ModularSMPHair_MG_Human_Female</v>
      </c>
      <c r="D522" s="12" t="str">
        <f t="shared" si="1"/>
        <v>Uvi_Wig_Spell_Evg_M-G,ModularSMPHair\Human\Female\ModularSMPHair_MG_Human_Female</v>
      </c>
    </row>
    <row r="523">
      <c r="B523" s="12" t="str">
        <f>IFERROR(__xludf.DUMMYFUNCTION("""COMPUTED_VALUE"""),"Uvi_Wig_Spell_Evg_M-H")</f>
        <v>Uvi_Wig_Spell_Evg_M-H</v>
      </c>
      <c r="C523" s="12" t="str">
        <f>IFERROR(__xludf.DUMMYFUNCTION("IF($B523="""","""",SUBSTITUTE(SUBSTITUTE(SUBSTITUTE(SUBSTITUTE(INDEX(Hairstyles!$A:$A,MATCH($B523,Hairstyles!$F:$F,0)),"" "",""""),""'"",""""),""("",""""),"")"","""")&amp;""\""&amp;INDEX(SPLIT($A$2,""_""),1)&amp;""\""&amp;INDEX(SPLIT($A$2,""_""),2)&amp;""\""&amp;SUBSTITUTE(SUBST"&amp;"ITUTE(SUBSTITUTE(SUBSTITUTE(SUBSTITUTE(INDEX(Hairstyles!$C:$C,MATCH($B523,Hairstyles!$F:$F,0)),"" "",""""),""'"",""""),""("",""""),"")"",""""),""-"",""_"")&amp;""_""&amp;$A$2)"),"ModularSMPHair\Human\Female\ModularSMPHair_MH_Human_Female")</f>
        <v>ModularSMPHair\Human\Female\ModularSMPHair_MH_Human_Female</v>
      </c>
      <c r="D523" s="12" t="str">
        <f t="shared" si="1"/>
        <v>Uvi_Wig_Spell_Evg_M-H,ModularSMPHair\Human\Female\ModularSMPHair_MH_Human_Female</v>
      </c>
    </row>
    <row r="524">
      <c r="B524" s="12" t="str">
        <f>IFERROR(__xludf.DUMMYFUNCTION("""COMPUTED_VALUE"""),"Uvi_Wig_Spell_Evg_M-I")</f>
        <v>Uvi_Wig_Spell_Evg_M-I</v>
      </c>
      <c r="C524" s="12" t="str">
        <f>IFERROR(__xludf.DUMMYFUNCTION("IF($B524="""","""",SUBSTITUTE(SUBSTITUTE(SUBSTITUTE(SUBSTITUTE(INDEX(Hairstyles!$A:$A,MATCH($B524,Hairstyles!$F:$F,0)),"" "",""""),""'"",""""),""("",""""),"")"","""")&amp;""\""&amp;INDEX(SPLIT($A$2,""_""),1)&amp;""\""&amp;INDEX(SPLIT($A$2,""_""),2)&amp;""\""&amp;SUBSTITUTE(SUBST"&amp;"ITUTE(SUBSTITUTE(SUBSTITUTE(SUBSTITUTE(INDEX(Hairstyles!$C:$C,MATCH($B524,Hairstyles!$F:$F,0)),"" "",""""),""'"",""""),""("",""""),"")"",""""),""-"",""_"")&amp;""_""&amp;$A$2)"),"ModularSMPHair\Human\Female\ModularSMPHair_MI_Human_Female")</f>
        <v>ModularSMPHair\Human\Female\ModularSMPHair_MI_Human_Female</v>
      </c>
      <c r="D524" s="12" t="str">
        <f t="shared" si="1"/>
        <v>Uvi_Wig_Spell_Evg_M-I,ModularSMPHair\Human\Female\ModularSMPHair_MI_Human_Female</v>
      </c>
    </row>
    <row r="525">
      <c r="B525" s="12" t="str">
        <f>IFERROR(__xludf.DUMMYFUNCTION("""COMPUTED_VALUE"""),"Uvi_Wig_Spell_Evg_M-J")</f>
        <v>Uvi_Wig_Spell_Evg_M-J</v>
      </c>
      <c r="C525" s="12" t="str">
        <f>IFERROR(__xludf.DUMMYFUNCTION("IF($B525="""","""",SUBSTITUTE(SUBSTITUTE(SUBSTITUTE(SUBSTITUTE(INDEX(Hairstyles!$A:$A,MATCH($B525,Hairstyles!$F:$F,0)),"" "",""""),""'"",""""),""("",""""),"")"","""")&amp;""\""&amp;INDEX(SPLIT($A$2,""_""),1)&amp;""\""&amp;INDEX(SPLIT($A$2,""_""),2)&amp;""\""&amp;SUBSTITUTE(SUBST"&amp;"ITUTE(SUBSTITUTE(SUBSTITUTE(SUBSTITUTE(INDEX(Hairstyles!$C:$C,MATCH($B525,Hairstyles!$F:$F,0)),"" "",""""),""'"",""""),""("",""""),"")"",""""),""-"",""_"")&amp;""_""&amp;$A$2)"),"ModularSMPHair\Human\Female\ModularSMPHair_MJ_Human_Female")</f>
        <v>ModularSMPHair\Human\Female\ModularSMPHair_MJ_Human_Female</v>
      </c>
      <c r="D525" s="12" t="str">
        <f t="shared" si="1"/>
        <v>Uvi_Wig_Spell_Evg_M-J,ModularSMPHair\Human\Female\ModularSMPHair_MJ_Human_Female</v>
      </c>
    </row>
    <row r="526">
      <c r="B526" s="12" t="str">
        <f>IFERROR(__xludf.DUMMYFUNCTION("""COMPUTED_VALUE"""),"Uvi_Wig_Spell_Evg_M-K")</f>
        <v>Uvi_Wig_Spell_Evg_M-K</v>
      </c>
      <c r="C526" s="12" t="str">
        <f>IFERROR(__xludf.DUMMYFUNCTION("IF($B526="""","""",SUBSTITUTE(SUBSTITUTE(SUBSTITUTE(SUBSTITUTE(INDEX(Hairstyles!$A:$A,MATCH($B526,Hairstyles!$F:$F,0)),"" "",""""),""'"",""""),""("",""""),"")"","""")&amp;""\""&amp;INDEX(SPLIT($A$2,""_""),1)&amp;""\""&amp;INDEX(SPLIT($A$2,""_""),2)&amp;""\""&amp;SUBSTITUTE(SUBST"&amp;"ITUTE(SUBSTITUTE(SUBSTITUTE(SUBSTITUTE(INDEX(Hairstyles!$C:$C,MATCH($B526,Hairstyles!$F:$F,0)),"" "",""""),""'"",""""),""("",""""),"")"",""""),""-"",""_"")&amp;""_""&amp;$A$2)"),"ModularSMPHair\Human\Female\ModularSMPHair_MK_Human_Female")</f>
        <v>ModularSMPHair\Human\Female\ModularSMPHair_MK_Human_Female</v>
      </c>
      <c r="D526" s="12" t="str">
        <f t="shared" si="1"/>
        <v>Uvi_Wig_Spell_Evg_M-K,ModularSMPHair\Human\Female\ModularSMPHair_MK_Human_Female</v>
      </c>
    </row>
    <row r="527">
      <c r="B527" s="12" t="str">
        <f>IFERROR(__xludf.DUMMYFUNCTION("""COMPUTED_VALUE"""),"Uvi_Wig_Spell_Evg_M-L")</f>
        <v>Uvi_Wig_Spell_Evg_M-L</v>
      </c>
      <c r="C527" s="12" t="str">
        <f>IFERROR(__xludf.DUMMYFUNCTION("IF($B527="""","""",SUBSTITUTE(SUBSTITUTE(SUBSTITUTE(SUBSTITUTE(INDEX(Hairstyles!$A:$A,MATCH($B527,Hairstyles!$F:$F,0)),"" "",""""),""'"",""""),""("",""""),"")"","""")&amp;""\""&amp;INDEX(SPLIT($A$2,""_""),1)&amp;""\""&amp;INDEX(SPLIT($A$2,""_""),2)&amp;""\""&amp;SUBSTITUTE(SUBST"&amp;"ITUTE(SUBSTITUTE(SUBSTITUTE(SUBSTITUTE(INDEX(Hairstyles!$C:$C,MATCH($B527,Hairstyles!$F:$F,0)),"" "",""""),""'"",""""),""("",""""),"")"",""""),""-"",""_"")&amp;""_""&amp;$A$2)"),"ModularSMPHair\Human\Female\ModularSMPHair_ML_Human_Female")</f>
        <v>ModularSMPHair\Human\Female\ModularSMPHair_ML_Human_Female</v>
      </c>
      <c r="D527" s="12" t="str">
        <f t="shared" si="1"/>
        <v>Uvi_Wig_Spell_Evg_M-L,ModularSMPHair\Human\Female\ModularSMPHair_ML_Human_Female</v>
      </c>
    </row>
    <row r="528">
      <c r="B528" s="12" t="str">
        <f>IFERROR(__xludf.DUMMYFUNCTION("""COMPUTED_VALUE"""),"Uvi_Wig_Spell_Evg_M-M1")</f>
        <v>Uvi_Wig_Spell_Evg_M-M1</v>
      </c>
      <c r="C528" s="12" t="str">
        <f>IFERROR(__xludf.DUMMYFUNCTION("IF($B528="""","""",SUBSTITUTE(SUBSTITUTE(SUBSTITUTE(SUBSTITUTE(INDEX(Hairstyles!$A:$A,MATCH($B528,Hairstyles!$F:$F,0)),"" "",""""),""'"",""""),""("",""""),"")"","""")&amp;""\""&amp;INDEX(SPLIT($A$2,""_""),1)&amp;""\""&amp;INDEX(SPLIT($A$2,""_""),2)&amp;""\""&amp;SUBSTITUTE(SUBST"&amp;"ITUTE(SUBSTITUTE(SUBSTITUTE(SUBSTITUTE(INDEX(Hairstyles!$C:$C,MATCH($B528,Hairstyles!$F:$F,0)),"" "",""""),""'"",""""),""("",""""),"")"",""""),""-"",""_"")&amp;""_""&amp;$A$2)"),"ModularSMPHair\Human\Female\ModularSMPHair_MM1_Human_Female")</f>
        <v>ModularSMPHair\Human\Female\ModularSMPHair_MM1_Human_Female</v>
      </c>
      <c r="D528" s="12" t="str">
        <f t="shared" si="1"/>
        <v>Uvi_Wig_Spell_Evg_M-M1,ModularSMPHair\Human\Female\ModularSMPHair_MM1_Human_Female</v>
      </c>
    </row>
    <row r="529">
      <c r="B529" s="12" t="str">
        <f>IFERROR(__xludf.DUMMYFUNCTION("""COMPUTED_VALUE"""),"Uvi_Wig_Spell_Evg_M-M2")</f>
        <v>Uvi_Wig_Spell_Evg_M-M2</v>
      </c>
      <c r="C529" s="12" t="str">
        <f>IFERROR(__xludf.DUMMYFUNCTION("IF($B529="""","""",SUBSTITUTE(SUBSTITUTE(SUBSTITUTE(SUBSTITUTE(INDEX(Hairstyles!$A:$A,MATCH($B529,Hairstyles!$F:$F,0)),"" "",""""),""'"",""""),""("",""""),"")"","""")&amp;""\""&amp;INDEX(SPLIT($A$2,""_""),1)&amp;""\""&amp;INDEX(SPLIT($A$2,""_""),2)&amp;""\""&amp;SUBSTITUTE(SUBST"&amp;"ITUTE(SUBSTITUTE(SUBSTITUTE(SUBSTITUTE(INDEX(Hairstyles!$C:$C,MATCH($B529,Hairstyles!$F:$F,0)),"" "",""""),""'"",""""),""("",""""),"")"",""""),""-"",""_"")&amp;""_""&amp;$A$2)"),"ModularSMPHair\Human\Female\ModularSMPHair_MM2_Human_Female")</f>
        <v>ModularSMPHair\Human\Female\ModularSMPHair_MM2_Human_Female</v>
      </c>
      <c r="D529" s="12" t="str">
        <f t="shared" si="1"/>
        <v>Uvi_Wig_Spell_Evg_M-M2,ModularSMPHair\Human\Female\ModularSMPHair_MM2_Human_Female</v>
      </c>
    </row>
    <row r="530">
      <c r="B530" s="12" t="str">
        <f>IFERROR(__xludf.DUMMYFUNCTION("""COMPUTED_VALUE"""),"Uvi_Wig_Spell_X_Fuse_AlessoCookie")</f>
        <v>Uvi_Wig_Spell_X_Fuse_AlessoCookie</v>
      </c>
      <c r="C530" s="12" t="str">
        <f>IFERROR(__xludf.DUMMYFUNCTION("IF($B530="""","""",SUBSTITUTE(SUBSTITUTE(SUBSTITUTE(SUBSTITUTE(INDEX(Hairstyles!$A:$A,MATCH($B530,Hairstyles!$F:$F,0)),"" "",""""),""'"",""""),""("",""""),"")"","""")&amp;""\""&amp;INDEX(SPLIT($A$2,""_""),1)&amp;""\""&amp;INDEX(SPLIT($A$2,""_""),2)&amp;""\""&amp;SUBSTITUTE(SUBST"&amp;"ITUTE(SUBSTITUTE(SUBSTITUTE(SUBSTITUTE(INDEX(Hairstyles!$C:$C,MATCH($B530,Hairstyles!$F:$F,0)),"" "",""""),""'"",""""),""("",""""),"")"",""""),""-"",""_"")&amp;""_""&amp;$A$2)"),"XingHDT-SMPWigs\Human\Female\Xing_FuseAlessoCookie_Human_Female")</f>
        <v>XingHDT-SMPWigs\Human\Female\Xing_FuseAlessoCookie_Human_Female</v>
      </c>
      <c r="D530" s="12" t="str">
        <f t="shared" si="1"/>
        <v>Uvi_Wig_Spell_X_Fuse_AlessoCookie,XingHDT-SMPWigs\Human\Female\Xing_FuseAlessoCookie_Human_Female</v>
      </c>
    </row>
    <row r="531">
      <c r="B531" s="12" t="str">
        <f>IFERROR(__xludf.DUMMYFUNCTION("""COMPUTED_VALUE"""),"Uvi_Wig_Spell_X_Fuse_Nightcrawler")</f>
        <v>Uvi_Wig_Spell_X_Fuse_Nightcrawler</v>
      </c>
      <c r="C531" s="12" t="str">
        <f>IFERROR(__xludf.DUMMYFUNCTION("IF($B531="""","""",SUBSTITUTE(SUBSTITUTE(SUBSTITUTE(SUBSTITUTE(INDEX(Hairstyles!$A:$A,MATCH($B531,Hairstyles!$F:$F,0)),"" "",""""),""'"",""""),""("",""""),"")"","""")&amp;""\""&amp;INDEX(SPLIT($A$2,""_""),1)&amp;""\""&amp;INDEX(SPLIT($A$2,""_""),2)&amp;""\""&amp;SUBSTITUTE(SUBST"&amp;"ITUTE(SUBSTITUTE(SUBSTITUTE(SUBSTITUTE(INDEX(Hairstyles!$C:$C,MATCH($B531,Hairstyles!$F:$F,0)),"" "",""""),""'"",""""),""("",""""),"")"",""""),""-"",""_"")&amp;""_""&amp;$A$2)"),"XingHDT-SMPWigs\Human\Female\Xing_FuseNightcrawler_Human_Female")</f>
        <v>XingHDT-SMPWigs\Human\Female\Xing_FuseNightcrawler_Human_Female</v>
      </c>
      <c r="D531" s="12" t="str">
        <f t="shared" si="1"/>
        <v>Uvi_Wig_Spell_X_Fuse_Nightcrawler,XingHDT-SMPWigs\Human\Female\Xing_FuseNightcrawler_Human_Female</v>
      </c>
    </row>
    <row r="532">
      <c r="B532" s="12" t="str">
        <f>IFERROR(__xludf.DUMMYFUNCTION("""COMPUTED_VALUE"""),"Uvi_Wig_Spell_X_Fuse_NightcrawlerPuch")</f>
        <v>Uvi_Wig_Spell_X_Fuse_NightcrawlerPuch</v>
      </c>
      <c r="C532" s="12" t="str">
        <f>IFERROR(__xludf.DUMMYFUNCTION("IF($B532="""","""",SUBSTITUTE(SUBSTITUTE(SUBSTITUTE(SUBSTITUTE(INDEX(Hairstyles!$A:$A,MATCH($B532,Hairstyles!$F:$F,0)),"" "",""""),""'"",""""),""("",""""),"")"","""")&amp;""\""&amp;INDEX(SPLIT($A$2,""_""),1)&amp;""\""&amp;INDEX(SPLIT($A$2,""_""),2)&amp;""\""&amp;SUBSTITUTE(SUBST"&amp;"ITUTE(SUBSTITUTE(SUBSTITUTE(SUBSTITUTE(INDEX(Hairstyles!$C:$C,MATCH($B532,Hairstyles!$F:$F,0)),"" "",""""),""'"",""""),""("",""""),"")"",""""),""-"",""_"")&amp;""_""&amp;$A$2)"),"XingHDT-SMPWigs\Human\Female\Xing_FuseNightcrawlerPuch_Human_Female")</f>
        <v>XingHDT-SMPWigs\Human\Female\Xing_FuseNightcrawlerPuch_Human_Female</v>
      </c>
      <c r="D532" s="12" t="str">
        <f t="shared" si="1"/>
        <v>Uvi_Wig_Spell_X_Fuse_NightcrawlerPuch,XingHDT-SMPWigs\Human\Female\Xing_FuseNightcrawlerPuch_Human_Female</v>
      </c>
    </row>
    <row r="533">
      <c r="B533" s="12" t="str">
        <f>IFERROR(__xludf.DUMMYFUNCTION("""COMPUTED_VALUE"""),"Uvi_Wig_Spell_X_Fuse_NightcrawlerStraight")</f>
        <v>Uvi_Wig_Spell_X_Fuse_NightcrawlerStraight</v>
      </c>
      <c r="C533" s="12" t="str">
        <f>IFERROR(__xludf.DUMMYFUNCTION("IF($B533="""","""",SUBSTITUTE(SUBSTITUTE(SUBSTITUTE(SUBSTITUTE(INDEX(Hairstyles!$A:$A,MATCH($B533,Hairstyles!$F:$F,0)),"" "",""""),""'"",""""),""("",""""),"")"","""")&amp;""\""&amp;INDEX(SPLIT($A$2,""_""),1)&amp;""\""&amp;INDEX(SPLIT($A$2,""_""),2)&amp;""\""&amp;SUBSTITUTE(SUBST"&amp;"ITUTE(SUBSTITUTE(SUBSTITUTE(SUBSTITUTE(INDEX(Hairstyles!$C:$C,MATCH($B533,Hairstyles!$F:$F,0)),"" "",""""),""'"",""""),""("",""""),"")"",""""),""-"",""_"")&amp;""_""&amp;$A$2)"),"XingHDT-SMPWigs\Human\Female\Xing_FuseNightcrawlerStraight_Human_Female")</f>
        <v>XingHDT-SMPWigs\Human\Female\Xing_FuseNightcrawlerStraight_Human_Female</v>
      </c>
      <c r="D533" s="12" t="str">
        <f t="shared" si="1"/>
        <v>Uvi_Wig_Spell_X_Fuse_NightcrawlerStraight,XingHDT-SMPWigs\Human\Female\Xing_FuseNightcrawlerStraight_Human_Female</v>
      </c>
    </row>
    <row r="534">
      <c r="B534" s="12" t="str">
        <f>IFERROR(__xludf.DUMMYFUNCTION("""COMPUTED_VALUE"""),"Uvi_Wig_Spell_X_Fuse_SG35")</f>
        <v>Uvi_Wig_Spell_X_Fuse_SG35</v>
      </c>
      <c r="C534" s="12" t="str">
        <f>IFERROR(__xludf.DUMMYFUNCTION("IF($B534="""","""",SUBSTITUTE(SUBSTITUTE(SUBSTITUTE(SUBSTITUTE(INDEX(Hairstyles!$A:$A,MATCH($B534,Hairstyles!$F:$F,0)),"" "",""""),""'"",""""),""("",""""),"")"","""")&amp;""\""&amp;INDEX(SPLIT($A$2,""_""),1)&amp;""\""&amp;INDEX(SPLIT($A$2,""_""),2)&amp;""\""&amp;SUBSTITUTE(SUBST"&amp;"ITUTE(SUBSTITUTE(SUBSTITUTE(SUBSTITUTE(INDEX(Hairstyles!$C:$C,MATCH($B534,Hairstyles!$F:$F,0)),"" "",""""),""'"",""""),""("",""""),"")"",""""),""-"",""_"")&amp;""_""&amp;$A$2)"),"XingHDT-SMPWigs\Human\Female\Xing_FuseSG35_Human_Female")</f>
        <v>XingHDT-SMPWigs\Human\Female\Xing_FuseSG35_Human_Female</v>
      </c>
      <c r="D534" s="12" t="str">
        <f t="shared" si="1"/>
        <v>Uvi_Wig_Spell_X_Fuse_SG35,XingHDT-SMPWigs\Human\Female\Xing_FuseSG35_Human_Female</v>
      </c>
    </row>
    <row r="535">
      <c r="B535" s="12" t="str">
        <f>IFERROR(__xludf.DUMMYFUNCTION("""COMPUTED_VALUE"""),"Uvi_Wig_Spell_X_Fuse_SintikliaMR")</f>
        <v>Uvi_Wig_Spell_X_Fuse_SintikliaMR</v>
      </c>
      <c r="C535" s="12" t="str">
        <f>IFERROR(__xludf.DUMMYFUNCTION("IF($B535="""","""",SUBSTITUTE(SUBSTITUTE(SUBSTITUTE(SUBSTITUTE(INDEX(Hairstyles!$A:$A,MATCH($B535,Hairstyles!$F:$F,0)),"" "",""""),""'"",""""),""("",""""),"")"","""")&amp;""\""&amp;INDEX(SPLIT($A$2,""_""),1)&amp;""\""&amp;INDEX(SPLIT($A$2,""_""),2)&amp;""\""&amp;SUBSTITUTE(SUBST"&amp;"ITUTE(SUBSTITUTE(SUBSTITUTE(SUBSTITUTE(INDEX(Hairstyles!$C:$C,MATCH($B535,Hairstyles!$F:$F,0)),"" "",""""),""'"",""""),""("",""""),"")"",""""),""-"",""_"")&amp;""_""&amp;$A$2)"),"XingHDT-SMPWigs\Human\Female\Xing_FuseSintikliaMR_Human_Female")</f>
        <v>XingHDT-SMPWigs\Human\Female\Xing_FuseSintikliaMR_Human_Female</v>
      </c>
      <c r="D535" s="12" t="str">
        <f t="shared" si="1"/>
        <v>Uvi_Wig_Spell_X_Fuse_SintikliaMR,XingHDT-SMPWigs\Human\Female\Xing_FuseSintikliaMR_Human_Female</v>
      </c>
    </row>
    <row r="536">
      <c r="B536" s="12" t="str">
        <f>IFERROR(__xludf.DUMMYFUNCTION("""COMPUTED_VALUE"""),"Uvi_Wig_Spell_X_Dint_HG_ColdHeart")</f>
        <v>Uvi_Wig_Spell_X_Dint_HG_ColdHeart</v>
      </c>
      <c r="C536" s="12" t="str">
        <f>IFERROR(__xludf.DUMMYFUNCTION("IF($B536="""","""",SUBSTITUTE(SUBSTITUTE(SUBSTITUTE(SUBSTITUTE(INDEX(Hairstyles!$A:$A,MATCH($B536,Hairstyles!$F:$F,0)),"" "",""""),""'"",""""),""("",""""),"")"","""")&amp;""\""&amp;INDEX(SPLIT($A$2,""_""),1)&amp;""\""&amp;INDEX(SPLIT($A$2,""_""),2)&amp;""\""&amp;SUBSTITUTE(SUBST"&amp;"ITUTE(SUBSTITUTE(SUBSTITUTE(SUBSTITUTE(INDEX(Hairstyles!$C:$C,MATCH($B536,Hairstyles!$F:$F,0)),"" "",""""),""'"",""""),""("",""""),"")"",""""),""-"",""_"")&amp;""_""&amp;$A$2)"),"XingHDT-SMPWigs\Human\Female\Xing_HGColdHeart_Human_Female")</f>
        <v>XingHDT-SMPWigs\Human\Female\Xing_HGColdHeart_Human_Female</v>
      </c>
      <c r="D536" s="12" t="str">
        <f t="shared" si="1"/>
        <v>Uvi_Wig_Spell_X_Dint_HG_ColdHeart,XingHDT-SMPWigs\Human\Female\Xing_HGColdHeart_Human_Female</v>
      </c>
    </row>
    <row r="537">
      <c r="B537" s="12" t="str">
        <f>IFERROR(__xludf.DUMMYFUNCTION("""COMPUTED_VALUE"""),"Uvi_Wig_Spell_X_Dint_HG_ColdHeart2")</f>
        <v>Uvi_Wig_Spell_X_Dint_HG_ColdHeart2</v>
      </c>
      <c r="C537" s="12" t="str">
        <f>IFERROR(__xludf.DUMMYFUNCTION("IF($B537="""","""",SUBSTITUTE(SUBSTITUTE(SUBSTITUTE(SUBSTITUTE(INDEX(Hairstyles!$A:$A,MATCH($B537,Hairstyles!$F:$F,0)),"" "",""""),""'"",""""),""("",""""),"")"","""")&amp;""\""&amp;INDEX(SPLIT($A$2,""_""),1)&amp;""\""&amp;INDEX(SPLIT($A$2,""_""),2)&amp;""\""&amp;SUBSTITUTE(SUBST"&amp;"ITUTE(SUBSTITUTE(SUBSTITUTE(SUBSTITUTE(INDEX(Hairstyles!$C:$C,MATCH($B537,Hairstyles!$F:$F,0)),"" "",""""),""'"",""""),""("",""""),"")"",""""),""-"",""_"")&amp;""_""&amp;$A$2)"),"XingHDT-SMPWigs\Human\Female\Xing_HGColdHeart2_Human_Female")</f>
        <v>XingHDT-SMPWigs\Human\Female\Xing_HGColdHeart2_Human_Female</v>
      </c>
      <c r="D537" s="12" t="str">
        <f t="shared" si="1"/>
        <v>Uvi_Wig_Spell_X_Dint_HG_ColdHeart2,XingHDT-SMPWigs\Human\Female\Xing_HGColdHeart2_Human_Female</v>
      </c>
    </row>
    <row r="538">
      <c r="B538" s="12" t="str">
        <f>IFERROR(__xludf.DUMMYFUNCTION("""COMPUTED_VALUE"""),"Uvi_Wig_Spell_X_Dint_HG_Emori")</f>
        <v>Uvi_Wig_Spell_X_Dint_HG_Emori</v>
      </c>
      <c r="C538" s="12" t="str">
        <f>IFERROR(__xludf.DUMMYFUNCTION("IF($B538="""","""",SUBSTITUTE(SUBSTITUTE(SUBSTITUTE(SUBSTITUTE(INDEX(Hairstyles!$A:$A,MATCH($B538,Hairstyles!$F:$F,0)),"" "",""""),""'"",""""),""("",""""),"")"","""")&amp;""\""&amp;INDEX(SPLIT($A$2,""_""),1)&amp;""\""&amp;INDEX(SPLIT($A$2,""_""),2)&amp;""\""&amp;SUBSTITUTE(SUBST"&amp;"ITUTE(SUBSTITUTE(SUBSTITUTE(SUBSTITUTE(INDEX(Hairstyles!$C:$C,MATCH($B538,Hairstyles!$F:$F,0)),"" "",""""),""'"",""""),""("",""""),"")"",""""),""-"",""_"")&amp;""_""&amp;$A$2)"),"XingHDT-SMPWigs\Human\Female\Xing_HGEmori_Human_Female")</f>
        <v>XingHDT-SMPWigs\Human\Female\Xing_HGEmori_Human_Female</v>
      </c>
      <c r="D538" s="12" t="str">
        <f t="shared" si="1"/>
        <v>Uvi_Wig_Spell_X_Dint_HG_Emori,XingHDT-SMPWigs\Human\Female\Xing_HGEmori_Human_Female</v>
      </c>
    </row>
    <row r="539">
      <c r="B539" s="12" t="str">
        <f>IFERROR(__xludf.DUMMYFUNCTION("""COMPUTED_VALUE"""),"Uvi_Wig_Spell_X_Dint_HG_Esmerald")</f>
        <v>Uvi_Wig_Spell_X_Dint_HG_Esmerald</v>
      </c>
      <c r="C539" s="12" t="str">
        <f>IFERROR(__xludf.DUMMYFUNCTION("IF($B539="""","""",SUBSTITUTE(SUBSTITUTE(SUBSTITUTE(SUBSTITUTE(INDEX(Hairstyles!$A:$A,MATCH($B539,Hairstyles!$F:$F,0)),"" "",""""),""'"",""""),""("",""""),"")"","""")&amp;""\""&amp;INDEX(SPLIT($A$2,""_""),1)&amp;""\""&amp;INDEX(SPLIT($A$2,""_""),2)&amp;""\""&amp;SUBSTITUTE(SUBST"&amp;"ITUTE(SUBSTITUTE(SUBSTITUTE(SUBSTITUTE(INDEX(Hairstyles!$C:$C,MATCH($B539,Hairstyles!$F:$F,0)),"" "",""""),""'"",""""),""("",""""),"")"",""""),""-"",""_"")&amp;""_""&amp;$A$2)"),"XingHDT-SMPWigs\Human\Female\Xing_HGEsmerald_Human_Female")</f>
        <v>XingHDT-SMPWigs\Human\Female\Xing_HGEsmerald_Human_Female</v>
      </c>
      <c r="D539" s="12" t="str">
        <f t="shared" si="1"/>
        <v>Uvi_Wig_Spell_X_Dint_HG_Esmerald,XingHDT-SMPWigs\Human\Female\Xing_HGEsmerald_Human_Female</v>
      </c>
    </row>
    <row r="540">
      <c r="B540" s="12" t="str">
        <f>IFERROR(__xludf.DUMMYFUNCTION("""COMPUTED_VALUE"""),"Uvi_Wig_Spell_X_Dint_HG_FlyingMinaj")</f>
        <v>Uvi_Wig_Spell_X_Dint_HG_FlyingMinaj</v>
      </c>
      <c r="C540" s="12" t="str">
        <f>IFERROR(__xludf.DUMMYFUNCTION("IF($B540="""","""",SUBSTITUTE(SUBSTITUTE(SUBSTITUTE(SUBSTITUTE(INDEX(Hairstyles!$A:$A,MATCH($B540,Hairstyles!$F:$F,0)),"" "",""""),""'"",""""),""("",""""),"")"","""")&amp;""\""&amp;INDEX(SPLIT($A$2,""_""),1)&amp;""\""&amp;INDEX(SPLIT($A$2,""_""),2)&amp;""\""&amp;SUBSTITUTE(SUBST"&amp;"ITUTE(SUBSTITUTE(SUBSTITUTE(SUBSTITUTE(INDEX(Hairstyles!$C:$C,MATCH($B540,Hairstyles!$F:$F,0)),"" "",""""),""'"",""""),""("",""""),"")"",""""),""-"",""_"")&amp;""_""&amp;$A$2)"),"XingHDT-SMPWigs\Human\Female\Xing_HGFlyingMinaj_Human_Female")</f>
        <v>XingHDT-SMPWigs\Human\Female\Xing_HGFlyingMinaj_Human_Female</v>
      </c>
      <c r="D540" s="12" t="str">
        <f t="shared" si="1"/>
        <v>Uvi_Wig_Spell_X_Dint_HG_FlyingMinaj,XingHDT-SMPWigs\Human\Female\Xing_HGFlyingMinaj_Human_Female</v>
      </c>
    </row>
    <row r="541">
      <c r="B541" s="12" t="str">
        <f>IFERROR(__xludf.DUMMYFUNCTION("""COMPUTED_VALUE"""),"Uvi_Wig_Spell_X_Dint_HG_Focus")</f>
        <v>Uvi_Wig_Spell_X_Dint_HG_Focus</v>
      </c>
      <c r="C541" s="12" t="str">
        <f>IFERROR(__xludf.DUMMYFUNCTION("IF($B541="""","""",SUBSTITUTE(SUBSTITUTE(SUBSTITUTE(SUBSTITUTE(INDEX(Hairstyles!$A:$A,MATCH($B541,Hairstyles!$F:$F,0)),"" "",""""),""'"",""""),""("",""""),"")"","""")&amp;""\""&amp;INDEX(SPLIT($A$2,""_""),1)&amp;""\""&amp;INDEX(SPLIT($A$2,""_""),2)&amp;""\""&amp;SUBSTITUTE(SUBST"&amp;"ITUTE(SUBSTITUTE(SUBSTITUTE(SUBSTITUTE(INDEX(Hairstyles!$C:$C,MATCH($B541,Hairstyles!$F:$F,0)),"" "",""""),""'"",""""),""("",""""),"")"",""""),""-"",""_"")&amp;""_""&amp;$A$2)"),"XingHDT-SMPWigs\Human\Female\Xing_HGFocus_Human_Female")</f>
        <v>XingHDT-SMPWigs\Human\Female\Xing_HGFocus_Human_Female</v>
      </c>
      <c r="D541" s="12" t="str">
        <f t="shared" si="1"/>
        <v>Uvi_Wig_Spell_X_Dint_HG_Focus,XingHDT-SMPWigs\Human\Female\Xing_HGFocus_Human_Female</v>
      </c>
    </row>
    <row r="542">
      <c r="B542" s="12" t="str">
        <f>IFERROR(__xludf.DUMMYFUNCTION("""COMPUTED_VALUE"""),"Uvi_Wig_Spell_X_Dint_HG_Focus2")</f>
        <v>Uvi_Wig_Spell_X_Dint_HG_Focus2</v>
      </c>
      <c r="C542" s="12" t="str">
        <f>IFERROR(__xludf.DUMMYFUNCTION("IF($B542="""","""",SUBSTITUTE(SUBSTITUTE(SUBSTITUTE(SUBSTITUTE(INDEX(Hairstyles!$A:$A,MATCH($B542,Hairstyles!$F:$F,0)),"" "",""""),""'"",""""),""("",""""),"")"","""")&amp;""\""&amp;INDEX(SPLIT($A$2,""_""),1)&amp;""\""&amp;INDEX(SPLIT($A$2,""_""),2)&amp;""\""&amp;SUBSTITUTE(SUBST"&amp;"ITUTE(SUBSTITUTE(SUBSTITUTE(SUBSTITUTE(INDEX(Hairstyles!$C:$C,MATCH($B542,Hairstyles!$F:$F,0)),"" "",""""),""'"",""""),""("",""""),"")"",""""),""-"",""_"")&amp;""_""&amp;$A$2)"),"XingHDT-SMPWigs\Human\Female\Xing_HGFocus2_Human_Female")</f>
        <v>XingHDT-SMPWigs\Human\Female\Xing_HGFocus2_Human_Female</v>
      </c>
      <c r="D542" s="12" t="str">
        <f t="shared" si="1"/>
        <v>Uvi_Wig_Spell_X_Dint_HG_Focus2,XingHDT-SMPWigs\Human\Female\Xing_HGFocus2_Human_Female</v>
      </c>
    </row>
    <row r="543">
      <c r="B543" s="12" t="str">
        <f>IFERROR(__xludf.DUMMYFUNCTION("""COMPUTED_VALUE"""),"Uvi_Wig_Spell_X_Dint_HG_Gorum")</f>
        <v>Uvi_Wig_Spell_X_Dint_HG_Gorum</v>
      </c>
      <c r="C543" s="12" t="str">
        <f>IFERROR(__xludf.DUMMYFUNCTION("IF($B543="""","""",SUBSTITUTE(SUBSTITUTE(SUBSTITUTE(SUBSTITUTE(INDEX(Hairstyles!$A:$A,MATCH($B543,Hairstyles!$F:$F,0)),"" "",""""),""'"",""""),""("",""""),"")"","""")&amp;""\""&amp;INDEX(SPLIT($A$2,""_""),1)&amp;""\""&amp;INDEX(SPLIT($A$2,""_""),2)&amp;""\""&amp;SUBSTITUTE(SUBST"&amp;"ITUTE(SUBSTITUTE(SUBSTITUTE(SUBSTITUTE(INDEX(Hairstyles!$C:$C,MATCH($B543,Hairstyles!$F:$F,0)),"" "",""""),""'"",""""),""("",""""),"")"",""""),""-"",""_"")&amp;""_""&amp;$A$2)"),"XingHDT-SMPWigs\Human\Female\Xing_HGGorum_Human_Female")</f>
        <v>XingHDT-SMPWigs\Human\Female\Xing_HGGorum_Human_Female</v>
      </c>
      <c r="D543" s="12" t="str">
        <f t="shared" si="1"/>
        <v>Uvi_Wig_Spell_X_Dint_HG_Gorum,XingHDT-SMPWigs\Human\Female\Xing_HGGorum_Human_Female</v>
      </c>
    </row>
    <row r="544">
      <c r="B544" s="12" t="str">
        <f>IFERROR(__xludf.DUMMYFUNCTION("""COMPUTED_VALUE"""),"Uvi_Wig_Spell_X_Dint_HG_GuineaPig")</f>
        <v>Uvi_Wig_Spell_X_Dint_HG_GuineaPig</v>
      </c>
      <c r="C544" s="12" t="str">
        <f>IFERROR(__xludf.DUMMYFUNCTION("IF($B544="""","""",SUBSTITUTE(SUBSTITUTE(SUBSTITUTE(SUBSTITUTE(INDEX(Hairstyles!$A:$A,MATCH($B544,Hairstyles!$F:$F,0)),"" "",""""),""'"",""""),""("",""""),"")"","""")&amp;""\""&amp;INDEX(SPLIT($A$2,""_""),1)&amp;""\""&amp;INDEX(SPLIT($A$2,""_""),2)&amp;""\""&amp;SUBSTITUTE(SUBST"&amp;"ITUTE(SUBSTITUTE(SUBSTITUTE(SUBSTITUTE(INDEX(Hairstyles!$C:$C,MATCH($B544,Hairstyles!$F:$F,0)),"" "",""""),""'"",""""),""("",""""),"")"",""""),""-"",""_"")&amp;""_""&amp;$A$2)"),"XingHDT-SMPWigs\Human\Female\Xing_HGGuineaPig_Human_Female")</f>
        <v>XingHDT-SMPWigs\Human\Female\Xing_HGGuineaPig_Human_Female</v>
      </c>
      <c r="D544" s="12" t="str">
        <f t="shared" si="1"/>
        <v>Uvi_Wig_Spell_X_Dint_HG_GuineaPig,XingHDT-SMPWigs\Human\Female\Xing_HGGuineaPig_Human_Female</v>
      </c>
    </row>
    <row r="545">
      <c r="B545" s="12" t="str">
        <f>IFERROR(__xludf.DUMMYFUNCTION("""COMPUTED_VALUE"""),"Uvi_Wig_Spell_X_Dint_HG_GuineaPigBow")</f>
        <v>Uvi_Wig_Spell_X_Dint_HG_GuineaPigBow</v>
      </c>
      <c r="C545" s="12" t="str">
        <f>IFERROR(__xludf.DUMMYFUNCTION("IF($B545="""","""",SUBSTITUTE(SUBSTITUTE(SUBSTITUTE(SUBSTITUTE(INDEX(Hairstyles!$A:$A,MATCH($B545,Hairstyles!$F:$F,0)),"" "",""""),""'"",""""),""("",""""),"")"","""")&amp;""\""&amp;INDEX(SPLIT($A$2,""_""),1)&amp;""\""&amp;INDEX(SPLIT($A$2,""_""),2)&amp;""\""&amp;SUBSTITUTE(SUBST"&amp;"ITUTE(SUBSTITUTE(SUBSTITUTE(SUBSTITUTE(INDEX(Hairstyles!$C:$C,MATCH($B545,Hairstyles!$F:$F,0)),"" "",""""),""'"",""""),""("",""""),"")"",""""),""-"",""_"")&amp;""_""&amp;$A$2)"),"XingHDT-SMPWigs\Human\Female\Xing_HGGuineaPigBow_Human_Female")</f>
        <v>XingHDT-SMPWigs\Human\Female\Xing_HGGuineaPigBow_Human_Female</v>
      </c>
      <c r="D545" s="12" t="str">
        <f t="shared" si="1"/>
        <v>Uvi_Wig_Spell_X_Dint_HG_GuineaPigBow,XingHDT-SMPWigs\Human\Female\Xing_HGGuineaPigBow_Human_Female</v>
      </c>
    </row>
    <row r="546">
      <c r="B546" s="12" t="str">
        <f>IFERROR(__xludf.DUMMYFUNCTION("""COMPUTED_VALUE"""),"Uvi_Wig_Spell_X_Dint_HG_LetsFrompiNu")</f>
        <v>Uvi_Wig_Spell_X_Dint_HG_LetsFrompiNu</v>
      </c>
      <c r="C546" s="12" t="str">
        <f>IFERROR(__xludf.DUMMYFUNCTION("IF($B546="""","""",SUBSTITUTE(SUBSTITUTE(SUBSTITUTE(SUBSTITUTE(INDEX(Hairstyles!$A:$A,MATCH($B546,Hairstyles!$F:$F,0)),"" "",""""),""'"",""""),""("",""""),"")"","""")&amp;""\""&amp;INDEX(SPLIT($A$2,""_""),1)&amp;""\""&amp;INDEX(SPLIT($A$2,""_""),2)&amp;""\""&amp;SUBSTITUTE(SUBST"&amp;"ITUTE(SUBSTITUTE(SUBSTITUTE(SUBSTITUTE(INDEX(Hairstyles!$C:$C,MATCH($B546,Hairstyles!$F:$F,0)),"" "",""""),""'"",""""),""("",""""),"")"",""""),""-"",""_"")&amp;""_""&amp;$A$2)"),"XingHDT-SMPWigs\Human\Female\Xing_HGKrissi_Human_Female")</f>
        <v>XingHDT-SMPWigs\Human\Female\Xing_HGKrissi_Human_Female</v>
      </c>
      <c r="D546" s="12" t="str">
        <f t="shared" si="1"/>
        <v>Uvi_Wig_Spell_X_Dint_HG_LetsFrompiNu,XingHDT-SMPWigs\Human\Female\Xing_HGKrissi_Human_Female</v>
      </c>
    </row>
    <row r="547">
      <c r="B547" s="12" t="str">
        <f>IFERROR(__xludf.DUMMYFUNCTION("""COMPUTED_VALUE"""),"Uvi_Wig_Spell_X_Dint_HG_Lena")</f>
        <v>Uvi_Wig_Spell_X_Dint_HG_Lena</v>
      </c>
      <c r="C547" s="12" t="str">
        <f>IFERROR(__xludf.DUMMYFUNCTION("IF($B547="""","""",SUBSTITUTE(SUBSTITUTE(SUBSTITUTE(SUBSTITUTE(INDEX(Hairstyles!$A:$A,MATCH($B547,Hairstyles!$F:$F,0)),"" "",""""),""'"",""""),""("",""""),"")"","""")&amp;""\""&amp;INDEX(SPLIT($A$2,""_""),1)&amp;""\""&amp;INDEX(SPLIT($A$2,""_""),2)&amp;""\""&amp;SUBSTITUTE(SUBST"&amp;"ITUTE(SUBSTITUTE(SUBSTITUTE(SUBSTITUTE(INDEX(Hairstyles!$C:$C,MATCH($B547,Hairstyles!$F:$F,0)),"" "",""""),""'"",""""),""("",""""),"")"",""""),""-"",""_"")&amp;""_""&amp;$A$2)"),"XingHDT-SMPWigs\Human\Female\Xing_HGLena_Human_Female")</f>
        <v>XingHDT-SMPWigs\Human\Female\Xing_HGLena_Human_Female</v>
      </c>
      <c r="D547" s="12" t="str">
        <f t="shared" si="1"/>
        <v>Uvi_Wig_Spell_X_Dint_HG_Lena,XingHDT-SMPWigs\Human\Female\Xing_HGLena_Human_Female</v>
      </c>
    </row>
    <row r="548">
      <c r="B548" s="12" t="str">
        <f>IFERROR(__xludf.DUMMYFUNCTION("""COMPUTED_VALUE"""),"Uvi_Wig_Spell_X_Dint_HG_Lisa")</f>
        <v>Uvi_Wig_Spell_X_Dint_HG_Lisa</v>
      </c>
      <c r="C548" s="12" t="str">
        <f>IFERROR(__xludf.DUMMYFUNCTION("IF($B548="""","""",SUBSTITUTE(SUBSTITUTE(SUBSTITUTE(SUBSTITUTE(INDEX(Hairstyles!$A:$A,MATCH($B548,Hairstyles!$F:$F,0)),"" "",""""),""'"",""""),""("",""""),"")"","""")&amp;""\""&amp;INDEX(SPLIT($A$2,""_""),1)&amp;""\""&amp;INDEX(SPLIT($A$2,""_""),2)&amp;""\""&amp;SUBSTITUTE(SUBST"&amp;"ITUTE(SUBSTITUTE(SUBSTITUTE(SUBSTITUTE(INDEX(Hairstyles!$C:$C,MATCH($B548,Hairstyles!$F:$F,0)),"" "",""""),""'"",""""),""("",""""),"")"",""""),""-"",""_"")&amp;""_""&amp;$A$2)"),"XingHDT-SMPWigs\Human\Female\Xing_HGLisa_Human_Female")</f>
        <v>XingHDT-SMPWigs\Human\Female\Xing_HGLisa_Human_Female</v>
      </c>
      <c r="D548" s="12" t="str">
        <f t="shared" si="1"/>
        <v>Uvi_Wig_Spell_X_Dint_HG_Lisa,XingHDT-SMPWigs\Human\Female\Xing_HGLisa_Human_Female</v>
      </c>
    </row>
    <row r="549">
      <c r="B549" s="12" t="str">
        <f>IFERROR(__xludf.DUMMYFUNCTION("""COMPUTED_VALUE"""),"Uvi_Wig_Spell_X_Dint_HG_NoFrauds")</f>
        <v>Uvi_Wig_Spell_X_Dint_HG_NoFrauds</v>
      </c>
      <c r="C549" s="12" t="str">
        <f>IFERROR(__xludf.DUMMYFUNCTION("IF($B549="""","""",SUBSTITUTE(SUBSTITUTE(SUBSTITUTE(SUBSTITUTE(INDEX(Hairstyles!$A:$A,MATCH($B549,Hairstyles!$F:$F,0)),"" "",""""),""'"",""""),""("",""""),"")"","""")&amp;""\""&amp;INDEX(SPLIT($A$2,""_""),1)&amp;""\""&amp;INDEX(SPLIT($A$2,""_""),2)&amp;""\""&amp;SUBSTITUTE(SUBST"&amp;"ITUTE(SUBSTITUTE(SUBSTITUTE(SUBSTITUTE(INDEX(Hairstyles!$C:$C,MATCH($B549,Hairstyles!$F:$F,0)),"" "",""""),""'"",""""),""("",""""),"")"",""""),""-"",""_"")&amp;""_""&amp;$A$2)"),"XingHDT-SMPWigs\Human\Female\Xing_HGNoFrauds_Human_Female")</f>
        <v>XingHDT-SMPWigs\Human\Female\Xing_HGNoFrauds_Human_Female</v>
      </c>
      <c r="D549" s="12" t="str">
        <f t="shared" si="1"/>
        <v>Uvi_Wig_Spell_X_Dint_HG_NoFrauds,XingHDT-SMPWigs\Human\Female\Xing_HGNoFrauds_Human_Female</v>
      </c>
    </row>
    <row r="550">
      <c r="B550" s="12" t="str">
        <f>IFERROR(__xludf.DUMMYFUNCTION("""COMPUTED_VALUE"""),"Uvi_Wig_Spell_X_Dint_HG_Peach")</f>
        <v>Uvi_Wig_Spell_X_Dint_HG_Peach</v>
      </c>
      <c r="C550" s="12" t="str">
        <f>IFERROR(__xludf.DUMMYFUNCTION("IF($B550="""","""",SUBSTITUTE(SUBSTITUTE(SUBSTITUTE(SUBSTITUTE(INDEX(Hairstyles!$A:$A,MATCH($B550,Hairstyles!$F:$F,0)),"" "",""""),""'"",""""),""("",""""),"")"","""")&amp;""\""&amp;INDEX(SPLIT($A$2,""_""),1)&amp;""\""&amp;INDEX(SPLIT($A$2,""_""),2)&amp;""\""&amp;SUBSTITUTE(SUBST"&amp;"ITUTE(SUBSTITUTE(SUBSTITUTE(SUBSTITUTE(INDEX(Hairstyles!$C:$C,MATCH($B550,Hairstyles!$F:$F,0)),"" "",""""),""'"",""""),""("",""""),"")"",""""),""-"",""_"")&amp;""_""&amp;$A$2)"),"XingHDT-SMPWigs\Human\Female\Xing_HGPeach_Human_Female")</f>
        <v>XingHDT-SMPWigs\Human\Female\Xing_HGPeach_Human_Female</v>
      </c>
      <c r="D550" s="12" t="str">
        <f t="shared" si="1"/>
        <v>Uvi_Wig_Spell_X_Dint_HG_Peach,XingHDT-SMPWigs\Human\Female\Xing_HGPeach_Human_Female</v>
      </c>
    </row>
    <row r="551">
      <c r="B551" s="12" t="str">
        <f>IFERROR(__xludf.DUMMYFUNCTION("""COMPUTED_VALUE"""),"Uvi_Wig_Spell_X_Dint_HG_Vipress")</f>
        <v>Uvi_Wig_Spell_X_Dint_HG_Vipress</v>
      </c>
      <c r="C551" s="12" t="str">
        <f>IFERROR(__xludf.DUMMYFUNCTION("IF($B551="""","""",SUBSTITUTE(SUBSTITUTE(SUBSTITUTE(SUBSTITUTE(INDEX(Hairstyles!$A:$A,MATCH($B551,Hairstyles!$F:$F,0)),"" "",""""),""'"",""""),""("",""""),"")"","""")&amp;""\""&amp;INDEX(SPLIT($A$2,""_""),1)&amp;""\""&amp;INDEX(SPLIT($A$2,""_""),2)&amp;""\""&amp;SUBSTITUTE(SUBST"&amp;"ITUTE(SUBSTITUTE(SUBSTITUTE(SUBSTITUTE(INDEX(Hairstyles!$C:$C,MATCH($B551,Hairstyles!$F:$F,0)),"" "",""""),""'"",""""),""("",""""),"")"",""""),""-"",""_"")&amp;""_""&amp;$A$2)"),"XingHDT-SMPWigs\Human\Female\Xing_HGVipress_Human_Female")</f>
        <v>XingHDT-SMPWigs\Human\Female\Xing_HGVipress_Human_Female</v>
      </c>
      <c r="D551" s="12" t="str">
        <f t="shared" si="1"/>
        <v>Uvi_Wig_Spell_X_Dint_HG_Vipress,XingHDT-SMPWigs\Human\Female\Xing_HGVipress_Human_Female</v>
      </c>
    </row>
    <row r="552">
      <c r="B552" s="12" t="str">
        <f>IFERROR(__xludf.DUMMYFUNCTION("""COMPUTED_VALUE"""),"Uvi_Wig_Spell_X_Dint_HG_Vipress2")</f>
        <v>Uvi_Wig_Spell_X_Dint_HG_Vipress2</v>
      </c>
      <c r="C552" s="12" t="str">
        <f>IFERROR(__xludf.DUMMYFUNCTION("IF($B552="""","""",SUBSTITUTE(SUBSTITUTE(SUBSTITUTE(SUBSTITUTE(INDEX(Hairstyles!$A:$A,MATCH($B552,Hairstyles!$F:$F,0)),"" "",""""),""'"",""""),""("",""""),"")"","""")&amp;""\""&amp;INDEX(SPLIT($A$2,""_""),1)&amp;""\""&amp;INDEX(SPLIT($A$2,""_""),2)&amp;""\""&amp;SUBSTITUTE(SUBST"&amp;"ITUTE(SUBSTITUTE(SUBSTITUTE(SUBSTITUTE(INDEX(Hairstyles!$C:$C,MATCH($B552,Hairstyles!$F:$F,0)),"" "",""""),""'"",""""),""("",""""),"")"",""""),""-"",""_"")&amp;""_""&amp;$A$2)"),"XingHDT-SMPWigs\Human\Female\Xing_HGVipressnolimits_Human_Female")</f>
        <v>XingHDT-SMPWigs\Human\Female\Xing_HGVipressnolimits_Human_Female</v>
      </c>
      <c r="D552" s="12" t="str">
        <f t="shared" si="1"/>
        <v>Uvi_Wig_Spell_X_Dint_HG_Vipress2,XingHDT-SMPWigs\Human\Female\Xing_HGVipressnolimits_Human_Female</v>
      </c>
    </row>
    <row r="553">
      <c r="B553" s="12" t="str">
        <f>IFERROR(__xludf.DUMMYFUNCTION("""COMPUTED_VALUE"""),"Uvi_Wig_Spell_X_Dint_HG_Wen")</f>
        <v>Uvi_Wig_Spell_X_Dint_HG_Wen</v>
      </c>
      <c r="C553" s="12" t="str">
        <f>IFERROR(__xludf.DUMMYFUNCTION("IF($B553="""","""",SUBSTITUTE(SUBSTITUTE(SUBSTITUTE(SUBSTITUTE(INDEX(Hairstyles!$A:$A,MATCH($B553,Hairstyles!$F:$F,0)),"" "",""""),""'"",""""),""("",""""),"")"","""")&amp;""\""&amp;INDEX(SPLIT($A$2,""_""),1)&amp;""\""&amp;INDEX(SPLIT($A$2,""_""),2)&amp;""\""&amp;SUBSTITUTE(SUBST"&amp;"ITUTE(SUBSTITUTE(SUBSTITUTE(SUBSTITUTE(INDEX(Hairstyles!$C:$C,MATCH($B553,Hairstyles!$F:$F,0)),"" "",""""),""'"",""""),""("",""""),"")"",""""),""-"",""_"")&amp;""_""&amp;$A$2)"),"XingHDT-SMPWigs\Human\Female\Xing_HGWen_Human_Female")</f>
        <v>XingHDT-SMPWigs\Human\Female\Xing_HGWen_Human_Female</v>
      </c>
      <c r="D553" s="12" t="str">
        <f t="shared" si="1"/>
        <v>Uvi_Wig_Spell_X_Dint_HG_Wen,XingHDT-SMPWigs\Human\Female\Xing_HGWen_Human_Female</v>
      </c>
    </row>
    <row r="554">
      <c r="B554" s="12" t="str">
        <f>IFERROR(__xludf.DUMMYFUNCTION("""COMPUTED_VALUE"""),"Uvi_Wig_Spell_X_Dint_HG_Wing109")</f>
        <v>Uvi_Wig_Spell_X_Dint_HG_Wing109</v>
      </c>
      <c r="C554" s="12" t="str">
        <f>IFERROR(__xludf.DUMMYFUNCTION("IF($B554="""","""",SUBSTITUTE(SUBSTITUTE(SUBSTITUTE(SUBSTITUTE(INDEX(Hairstyles!$A:$A,MATCH($B554,Hairstyles!$F:$F,0)),"" "",""""),""'"",""""),""("",""""),"")"","""")&amp;""\""&amp;INDEX(SPLIT($A$2,""_""),1)&amp;""\""&amp;INDEX(SPLIT($A$2,""_""),2)&amp;""\""&amp;SUBSTITUTE(SUBST"&amp;"ITUTE(SUBSTITUTE(SUBSTITUTE(SUBSTITUTE(INDEX(Hairstyles!$C:$C,MATCH($B554,Hairstyles!$F:$F,0)),"" "",""""),""'"",""""),""("",""""),"")"",""""),""-"",""_"")&amp;""_""&amp;$A$2)"),"XingHDT-SMPWigs\Human\Female\Xing_HGWing109_Human_Female")</f>
        <v>XingHDT-SMPWigs\Human\Female\Xing_HGWing109_Human_Female</v>
      </c>
      <c r="D554" s="12" t="str">
        <f t="shared" si="1"/>
        <v>Uvi_Wig_Spell_X_Dint_HG_Wing109,XingHDT-SMPWigs\Human\Female\Xing_HGWing109_Human_Female</v>
      </c>
    </row>
    <row r="555">
      <c r="B555" s="12" t="str">
        <f>IFERROR(__xludf.DUMMYFUNCTION("""COMPUTED_VALUE"""),"Uvi_Wig_Spell_X_Dint_HG_Wing109_2")</f>
        <v>Uvi_Wig_Spell_X_Dint_HG_Wing109_2</v>
      </c>
      <c r="C555" s="12" t="str">
        <f>IFERROR(__xludf.DUMMYFUNCTION("IF($B555="""","""",SUBSTITUTE(SUBSTITUTE(SUBSTITUTE(SUBSTITUTE(INDEX(Hairstyles!$A:$A,MATCH($B555,Hairstyles!$F:$F,0)),"" "",""""),""'"",""""),""("",""""),"")"","""")&amp;""\""&amp;INDEX(SPLIT($A$2,""_""),1)&amp;""\""&amp;INDEX(SPLIT($A$2,""_""),2)&amp;""\""&amp;SUBSTITUTE(SUBST"&amp;"ITUTE(SUBSTITUTE(SUBSTITUTE(SUBSTITUTE(INDEX(Hairstyles!$C:$C,MATCH($B555,Hairstyles!$F:$F,0)),"" "",""""),""'"",""""),""("",""""),"")"",""""),""-"",""_"")&amp;""_""&amp;$A$2)"),"XingHDT-SMPWigs\Human\Female\Xing_HGWing109_2_Human_Female")</f>
        <v>XingHDT-SMPWigs\Human\Female\Xing_HGWing109_2_Human_Female</v>
      </c>
      <c r="D555" s="12" t="str">
        <f t="shared" si="1"/>
        <v>Uvi_Wig_Spell_X_Dint_HG_Wing109_2,XingHDT-SMPWigs\Human\Female\Xing_HGWing109_2_Human_Female</v>
      </c>
    </row>
    <row r="556">
      <c r="B556" s="12" t="str">
        <f>IFERROR(__xludf.DUMMYFUNCTION("""COMPUTED_VALUE"""),"Uvi_Wig_Spell_X_Dint_HG_Wing1111")</f>
        <v>Uvi_Wig_Spell_X_Dint_HG_Wing1111</v>
      </c>
      <c r="C556" s="12" t="str">
        <f>IFERROR(__xludf.DUMMYFUNCTION("IF($B556="""","""",SUBSTITUTE(SUBSTITUTE(SUBSTITUTE(SUBSTITUTE(INDEX(Hairstyles!$A:$A,MATCH($B556,Hairstyles!$F:$F,0)),"" "",""""),""'"",""""),""("",""""),"")"","""")&amp;""\""&amp;INDEX(SPLIT($A$2,""_""),1)&amp;""\""&amp;INDEX(SPLIT($A$2,""_""),2)&amp;""\""&amp;SUBSTITUTE(SUBST"&amp;"ITUTE(SUBSTITUTE(SUBSTITUTE(SUBSTITUTE(INDEX(Hairstyles!$C:$C,MATCH($B556,Hairstyles!$F:$F,0)),"" "",""""),""'"",""""),""("",""""),"")"",""""),""-"",""_"")&amp;""_""&amp;$A$2)"),"XingHDT-SMPWigs\Human\Female\Xing_HGWing1111_Human_Female")</f>
        <v>XingHDT-SMPWigs\Human\Female\Xing_HGWing1111_Human_Female</v>
      </c>
      <c r="D556" s="12" t="str">
        <f t="shared" si="1"/>
        <v>Uvi_Wig_Spell_X_Dint_HG_Wing1111,XingHDT-SMPWigs\Human\Female\Xing_HGWing1111_Human_Female</v>
      </c>
    </row>
    <row r="557">
      <c r="B557" s="12" t="str">
        <f>IFERROR(__xludf.DUMMYFUNCTION("""COMPUTED_VALUE"""),"Uvi_Wig_Spell_X_Dint_HG_Wing614")</f>
        <v>Uvi_Wig_Spell_X_Dint_HG_Wing614</v>
      </c>
      <c r="C557" s="12" t="str">
        <f>IFERROR(__xludf.DUMMYFUNCTION("IF($B557="""","""",SUBSTITUTE(SUBSTITUTE(SUBSTITUTE(SUBSTITUTE(INDEX(Hairstyles!$A:$A,MATCH($B557,Hairstyles!$F:$F,0)),"" "",""""),""'"",""""),""("",""""),"")"","""")&amp;""\""&amp;INDEX(SPLIT($A$2,""_""),1)&amp;""\""&amp;INDEX(SPLIT($A$2,""_""),2)&amp;""\""&amp;SUBSTITUTE(SUBST"&amp;"ITUTE(SUBSTITUTE(SUBSTITUTE(SUBSTITUTE(INDEX(Hairstyles!$C:$C,MATCH($B557,Hairstyles!$F:$F,0)),"" "",""""),""'"",""""),""("",""""),"")"",""""),""-"",""_"")&amp;""_""&amp;$A$2)"),"XingHDT-SMPWigs\Human\Female\Xing_HGWing614_Human_Female")</f>
        <v>XingHDT-SMPWigs\Human\Female\Xing_HGWing614_Human_Female</v>
      </c>
      <c r="D557" s="12" t="str">
        <f t="shared" si="1"/>
        <v>Uvi_Wig_Spell_X_Dint_HG_Wing614,XingHDT-SMPWigs\Human\Female\Xing_HGWing614_Human_Female</v>
      </c>
    </row>
    <row r="558">
      <c r="B558" s="12" t="str">
        <f>IFERROR(__xludf.DUMMYFUNCTION("""COMPUTED_VALUE"""),"Uvi_Wig_Spell_X_Dint_HG_Wing722")</f>
        <v>Uvi_Wig_Spell_X_Dint_HG_Wing722</v>
      </c>
      <c r="C558" s="12" t="str">
        <f>IFERROR(__xludf.DUMMYFUNCTION("IF($B558="""","""",SUBSTITUTE(SUBSTITUTE(SUBSTITUTE(SUBSTITUTE(INDEX(Hairstyles!$A:$A,MATCH($B558,Hairstyles!$F:$F,0)),"" "",""""),""'"",""""),""("",""""),"")"","""")&amp;""\""&amp;INDEX(SPLIT($A$2,""_""),1)&amp;""\""&amp;INDEX(SPLIT($A$2,""_""),2)&amp;""\""&amp;SUBSTITUTE(SUBST"&amp;"ITUTE(SUBSTITUTE(SUBSTITUTE(SUBSTITUTE(INDEX(Hairstyles!$C:$C,MATCH($B558,Hairstyles!$F:$F,0)),"" "",""""),""'"",""""),""("",""""),"")"",""""),""-"",""_"")&amp;""_""&amp;$A$2)"),"XingHDT-SMPWigs\Human\Female\Xing_HGWing722_Human_Female")</f>
        <v>XingHDT-SMPWigs\Human\Female\Xing_HGWing722_Human_Female</v>
      </c>
      <c r="D558" s="12" t="str">
        <f t="shared" si="1"/>
        <v>Uvi_Wig_Spell_X_Dint_HG_Wing722,XingHDT-SMPWigs\Human\Female\Xing_HGWing722_Human_Female</v>
      </c>
    </row>
    <row r="559">
      <c r="B559" s="12" t="str">
        <f>IFERROR(__xludf.DUMMYFUNCTION("""COMPUTED_VALUE"""),"Uvi_Wig_Spell_X_HH_Ponytail")</f>
        <v>Uvi_Wig_Spell_X_HH_Ponytail</v>
      </c>
      <c r="C559" s="12" t="str">
        <f>IFERROR(__xludf.DUMMYFUNCTION("IF($B559="""","""",SUBSTITUTE(SUBSTITUTE(SUBSTITUTE(SUBSTITUTE(INDEX(Hairstyles!$A:$A,MATCH($B559,Hairstyles!$F:$F,0)),"" "",""""),""'"",""""),""("",""""),"")"","""")&amp;""\""&amp;INDEX(SPLIT($A$2,""_""),1)&amp;""\""&amp;INDEX(SPLIT($A$2,""_""),2)&amp;""\""&amp;SUBSTITUTE(SUBST"&amp;"ITUTE(SUBSTITUTE(SUBSTITUTE(SUBSTITUTE(INDEX(Hairstyles!$C:$C,MATCH($B559,Hairstyles!$F:$F,0)),"" "",""""),""'"",""""),""("",""""),"")"",""""),""-"",""_"")&amp;""_""&amp;$A$2)"),"XingHDT-SMPWigs\Human\Female\Xing_HHPonytail_Human_Female")</f>
        <v>XingHDT-SMPWigs\Human\Female\Xing_HHPonytail_Human_Female</v>
      </c>
      <c r="D559" s="12" t="str">
        <f t="shared" si="1"/>
        <v>Uvi_Wig_Spell_X_HH_Ponytail,XingHDT-SMPWigs\Human\Female\Xing_HHPonytail_Human_Female</v>
      </c>
    </row>
    <row r="560">
      <c r="B560" s="12" t="str">
        <f>IFERROR(__xludf.DUMMYFUNCTION("""COMPUTED_VALUE"""),"Uvi_Wig_Spell_X_HH_PonytailSideSwept")</f>
        <v>Uvi_Wig_Spell_X_HH_PonytailSideSwept</v>
      </c>
      <c r="C560" s="12" t="str">
        <f>IFERROR(__xludf.DUMMYFUNCTION("IF($B560="""","""",SUBSTITUTE(SUBSTITUTE(SUBSTITUTE(SUBSTITUTE(INDEX(Hairstyles!$A:$A,MATCH($B560,Hairstyles!$F:$F,0)),"" "",""""),""'"",""""),""("",""""),"")"","""")&amp;""\""&amp;INDEX(SPLIT($A$2,""_""),1)&amp;""\""&amp;INDEX(SPLIT($A$2,""_""),2)&amp;""\""&amp;SUBSTITUTE(SUBST"&amp;"ITUTE(SUBSTITUTE(SUBSTITUTE(SUBSTITUTE(INDEX(Hairstyles!$C:$C,MATCH($B560,Hairstyles!$F:$F,0)),"" "",""""),""'"",""""),""("",""""),"")"",""""),""-"",""_"")&amp;""_""&amp;$A$2)"),"XingHDT-SMPWigs\Human\Female\Xing_HHPonytailSideSwept_Human_Female")</f>
        <v>XingHDT-SMPWigs\Human\Female\Xing_HHPonytailSideSwept_Human_Female</v>
      </c>
      <c r="D560" s="12" t="str">
        <f t="shared" si="1"/>
        <v>Uvi_Wig_Spell_X_HH_PonytailSideSwept,XingHDT-SMPWigs\Human\Female\Xing_HHPonytailSideSwept_Human_Female</v>
      </c>
    </row>
    <row r="561">
      <c r="B561" s="12" t="str">
        <f>IFERROR(__xludf.DUMMYFUNCTION("""COMPUTED_VALUE"""),"Uvi_Wig_Spell_X_HH_ShortBob")</f>
        <v>Uvi_Wig_Spell_X_HH_ShortBob</v>
      </c>
      <c r="C561" s="12" t="str">
        <f>IFERROR(__xludf.DUMMYFUNCTION("IF($B561="""","""",SUBSTITUTE(SUBSTITUTE(SUBSTITUTE(SUBSTITUTE(INDEX(Hairstyles!$A:$A,MATCH($B561,Hairstyles!$F:$F,0)),"" "",""""),""'"",""""),""("",""""),"")"","""")&amp;""\""&amp;INDEX(SPLIT($A$2,""_""),1)&amp;""\""&amp;INDEX(SPLIT($A$2,""_""),2)&amp;""\""&amp;SUBSTITUTE(SUBST"&amp;"ITUTE(SUBSTITUTE(SUBSTITUTE(SUBSTITUTE(INDEX(Hairstyles!$C:$C,MATCH($B561,Hairstyles!$F:$F,0)),"" "",""""),""'"",""""),""("",""""),"")"",""""),""-"",""_"")&amp;""_""&amp;$A$2)"),"XingHDT-SMPWigs\Human\Female\Xing_HHShortBob_Human_Female")</f>
        <v>XingHDT-SMPWigs\Human\Female\Xing_HHShortBob_Human_Female</v>
      </c>
      <c r="D561" s="12" t="str">
        <f t="shared" si="1"/>
        <v>Uvi_Wig_Spell_X_HH_ShortBob,XingHDT-SMPWigs\Human\Female\Xing_HHShortBob_Human_Female</v>
      </c>
    </row>
    <row r="562">
      <c r="B562" s="12" t="str">
        <f>IFERROR(__xludf.DUMMYFUNCTION("""COMPUTED_VALUE"""),"Uvi_Wig_Spell_X_HH_ShortBobSideSwept")</f>
        <v>Uvi_Wig_Spell_X_HH_ShortBobSideSwept</v>
      </c>
      <c r="C562" s="12" t="str">
        <f>IFERROR(__xludf.DUMMYFUNCTION("IF($B562="""","""",SUBSTITUTE(SUBSTITUTE(SUBSTITUTE(SUBSTITUTE(INDEX(Hairstyles!$A:$A,MATCH($B562,Hairstyles!$F:$F,0)),"" "",""""),""'"",""""),""("",""""),"")"","""")&amp;""\""&amp;INDEX(SPLIT($A$2,""_""),1)&amp;""\""&amp;INDEX(SPLIT($A$2,""_""),2)&amp;""\""&amp;SUBSTITUTE(SUBST"&amp;"ITUTE(SUBSTITUTE(SUBSTITUTE(SUBSTITUTE(INDEX(Hairstyles!$C:$C,MATCH($B562,Hairstyles!$F:$F,0)),"" "",""""),""'"",""""),""("",""""),"")"",""""),""-"",""_"")&amp;""_""&amp;$A$2)"),"XingHDT-SMPWigs\Human\Female\Xing_HHShortBobSideSwept_Human_Female")</f>
        <v>XingHDT-SMPWigs\Human\Female\Xing_HHShortBobSideSwept_Human_Female</v>
      </c>
      <c r="D562" s="12" t="str">
        <f t="shared" si="1"/>
        <v>Uvi_Wig_Spell_X_HH_ShortBobSideSwept,XingHDT-SMPWigs\Human\Female\Xing_HHShortBobSideSwept_Human_Female</v>
      </c>
    </row>
    <row r="563">
      <c r="B563" s="12" t="str">
        <f>IFERROR(__xludf.DUMMYFUNCTION("""COMPUTED_VALUE"""),"Uvi_Wig_Spell_X_HH_ShortBobTucked")</f>
        <v>Uvi_Wig_Spell_X_HH_ShortBobTucked</v>
      </c>
      <c r="C563" s="12" t="str">
        <f>IFERROR(__xludf.DUMMYFUNCTION("IF($B563="""","""",SUBSTITUTE(SUBSTITUTE(SUBSTITUTE(SUBSTITUTE(INDEX(Hairstyles!$A:$A,MATCH($B563,Hairstyles!$F:$F,0)),"" "",""""),""'"",""""),""("",""""),"")"","""")&amp;""\""&amp;INDEX(SPLIT($A$2,""_""),1)&amp;""\""&amp;INDEX(SPLIT($A$2,""_""),2)&amp;""\""&amp;SUBSTITUTE(SUBST"&amp;"ITUTE(SUBSTITUTE(SUBSTITUTE(SUBSTITUTE(INDEX(Hairstyles!$C:$C,MATCH($B563,Hairstyles!$F:$F,0)),"" "",""""),""'"",""""),""("",""""),"")"",""""),""-"",""_"")&amp;""_""&amp;$A$2)"),"XingHDT-SMPWigs\Human\Female\Xing_HHShortBobTucked_Human_Female")</f>
        <v>XingHDT-SMPWigs\Human\Female\Xing_HHShortBobTucked_Human_Female</v>
      </c>
      <c r="D563" s="12" t="str">
        <f t="shared" si="1"/>
        <v>Uvi_Wig_Spell_X_HH_ShortBobTucked,XingHDT-SMPWigs\Human\Female\Xing_HHShortBobTucked_Human_Female</v>
      </c>
    </row>
    <row r="564">
      <c r="B564" s="12" t="str">
        <f>IFERROR(__xludf.DUMMYFUNCTION("""COMPUTED_VALUE"""),"Uvi_Wig_Spell_X_Dint_KS_AmberL")</f>
        <v>Uvi_Wig_Spell_X_Dint_KS_AmberL</v>
      </c>
      <c r="C564" s="12" t="str">
        <f>IFERROR(__xludf.DUMMYFUNCTION("IF($B564="""","""",SUBSTITUTE(SUBSTITUTE(SUBSTITUTE(SUBSTITUTE(INDEX(Hairstyles!$A:$A,MATCH($B564,Hairstyles!$F:$F,0)),"" "",""""),""'"",""""),""("",""""),"")"","""")&amp;""\""&amp;INDEX(SPLIT($A$2,""_""),1)&amp;""\""&amp;INDEX(SPLIT($A$2,""_""),2)&amp;""\""&amp;SUBSTITUTE(SUBST"&amp;"ITUTE(SUBSTITUTE(SUBSTITUTE(SUBSTITUTE(INDEX(Hairstyles!$C:$C,MATCH($B564,Hairstyles!$F:$F,0)),"" "",""""),""'"",""""),""("",""""),"")"",""""),""-"",""_"")&amp;""_""&amp;$A$2)"),"XingHDT-SMPWigs\Human\Female\Xing_KSAmberLights_Human_Female")</f>
        <v>XingHDT-SMPWigs\Human\Female\Xing_KSAmberLights_Human_Female</v>
      </c>
      <c r="D564" s="12" t="str">
        <f t="shared" si="1"/>
        <v>Uvi_Wig_Spell_X_Dint_KS_AmberL,XingHDT-SMPWigs\Human\Female\Xing_KSAmberLights_Human_Female</v>
      </c>
    </row>
    <row r="565">
      <c r="B565" s="12" t="str">
        <f>IFERROR(__xludf.DUMMYFUNCTION("""COMPUTED_VALUE"""),"Uvi_Wig_Spell_X_Dint_KS_Anchor")</f>
        <v>Uvi_Wig_Spell_X_Dint_KS_Anchor</v>
      </c>
      <c r="C565" s="12" t="str">
        <f>IFERROR(__xludf.DUMMYFUNCTION("IF($B565="""","""",SUBSTITUTE(SUBSTITUTE(SUBSTITUTE(SUBSTITUTE(INDEX(Hairstyles!$A:$A,MATCH($B565,Hairstyles!$F:$F,0)),"" "",""""),""'"",""""),""("",""""),"")"","""")&amp;""\""&amp;INDEX(SPLIT($A$2,""_""),1)&amp;""\""&amp;INDEX(SPLIT($A$2,""_""),2)&amp;""\""&amp;SUBSTITUTE(SUBST"&amp;"ITUTE(SUBSTITUTE(SUBSTITUTE(SUBSTITUTE(INDEX(Hairstyles!$C:$C,MATCH($B565,Hairstyles!$F:$F,0)),"" "",""""),""'"",""""),""("",""""),"")"",""""),""-"",""_"")&amp;""_""&amp;$A$2)"),"XingHDT-SMPWigs\Human\Female\Xing_KSAnchor_Human_Female")</f>
        <v>XingHDT-SMPWigs\Human\Female\Xing_KSAnchor_Human_Female</v>
      </c>
      <c r="D565" s="12" t="str">
        <f t="shared" si="1"/>
        <v>Uvi_Wig_Spell_X_Dint_KS_Anchor,XingHDT-SMPWigs\Human\Female\Xing_KSAnchor_Human_Female</v>
      </c>
    </row>
    <row r="566">
      <c r="B566" s="12" t="str">
        <f>IFERROR(__xludf.DUMMYFUNCTION("""COMPUTED_VALUE"""),"Uvi_Wig_Spell_X_Dint_KS_Aquaria")</f>
        <v>Uvi_Wig_Spell_X_Dint_KS_Aquaria</v>
      </c>
      <c r="C566" s="12" t="str">
        <f>IFERROR(__xludf.DUMMYFUNCTION("IF($B566="""","""",SUBSTITUTE(SUBSTITUTE(SUBSTITUTE(SUBSTITUTE(INDEX(Hairstyles!$A:$A,MATCH($B566,Hairstyles!$F:$F,0)),"" "",""""),""'"",""""),""("",""""),"")"","""")&amp;""\""&amp;INDEX(SPLIT($A$2,""_""),1)&amp;""\""&amp;INDEX(SPLIT($A$2,""_""),2)&amp;""\""&amp;SUBSTITUTE(SUBST"&amp;"ITUTE(SUBSTITUTE(SUBSTITUTE(SUBSTITUTE(INDEX(Hairstyles!$C:$C,MATCH($B566,Hairstyles!$F:$F,0)),"" "",""""),""'"",""""),""("",""""),"")"",""""),""-"",""_"")&amp;""_""&amp;$A$2)"),"XingHDT-SMPWigs\Human\Female\Xing_KSAquaria_Human_Female")</f>
        <v>XingHDT-SMPWigs\Human\Female\Xing_KSAquaria_Human_Female</v>
      </c>
      <c r="D566" s="12" t="str">
        <f t="shared" si="1"/>
        <v>Uvi_Wig_Spell_X_Dint_KS_Aquaria,XingHDT-SMPWigs\Human\Female\Xing_KSAquaria_Human_Female</v>
      </c>
    </row>
    <row r="567">
      <c r="B567" s="12" t="str">
        <f>IFERROR(__xludf.DUMMYFUNCTION("""COMPUTED_VALUE"""),"Uvi_Wig_Spell_X_Dint_KS_BlackBullet")</f>
        <v>Uvi_Wig_Spell_X_Dint_KS_BlackBullet</v>
      </c>
      <c r="C567" s="12" t="str">
        <f>IFERROR(__xludf.DUMMYFUNCTION("IF($B567="""","""",SUBSTITUTE(SUBSTITUTE(SUBSTITUTE(SUBSTITUTE(INDEX(Hairstyles!$A:$A,MATCH($B567,Hairstyles!$F:$F,0)),"" "",""""),""'"",""""),""("",""""),"")"","""")&amp;""\""&amp;INDEX(SPLIT($A$2,""_""),1)&amp;""\""&amp;INDEX(SPLIT($A$2,""_""),2)&amp;""\""&amp;SUBSTITUTE(SUBST"&amp;"ITUTE(SUBSTITUTE(SUBSTITUTE(SUBSTITUTE(INDEX(Hairstyles!$C:$C,MATCH($B567,Hairstyles!$F:$F,0)),"" "",""""),""'"",""""),""("",""""),"")"",""""),""-"",""_"")&amp;""_""&amp;$A$2)"),"XingHDT-SMPWigs\Human\Female\Xing_KSBlackBullet_Human_Female")</f>
        <v>XingHDT-SMPWigs\Human\Female\Xing_KSBlackBullet_Human_Female</v>
      </c>
      <c r="D567" s="12" t="str">
        <f t="shared" si="1"/>
        <v>Uvi_Wig_Spell_X_Dint_KS_BlackBullet,XingHDT-SMPWigs\Human\Female\Xing_KSBlackBullet_Human_Female</v>
      </c>
    </row>
    <row r="568">
      <c r="B568" s="12" t="str">
        <f>IFERROR(__xludf.DUMMYFUNCTION("""COMPUTED_VALUE"""),"Uvi_Wig_Spell_X_Dint_KS_BlossomStory")</f>
        <v>Uvi_Wig_Spell_X_Dint_KS_BlossomStory</v>
      </c>
      <c r="C568" s="12" t="str">
        <f>IFERROR(__xludf.DUMMYFUNCTION("IF($B568="""","""",SUBSTITUTE(SUBSTITUTE(SUBSTITUTE(SUBSTITUTE(INDEX(Hairstyles!$A:$A,MATCH($B568,Hairstyles!$F:$F,0)),"" "",""""),""'"",""""),""("",""""),"")"","""")&amp;""\""&amp;INDEX(SPLIT($A$2,""_""),1)&amp;""\""&amp;INDEX(SPLIT($A$2,""_""),2)&amp;""\""&amp;SUBSTITUTE(SUBST"&amp;"ITUTE(SUBSTITUTE(SUBSTITUTE(SUBSTITUTE(INDEX(Hairstyles!$C:$C,MATCH($B568,Hairstyles!$F:$F,0)),"" "",""""),""'"",""""),""("",""""),"")"",""""),""-"",""_"")&amp;""_""&amp;$A$2)"),"XingHDT-SMPWigs\Human\Female\Xing_KSBlossomStory_Human_Female")</f>
        <v>XingHDT-SMPWigs\Human\Female\Xing_KSBlossomStory_Human_Female</v>
      </c>
      <c r="D568" s="12" t="str">
        <f t="shared" si="1"/>
        <v>Uvi_Wig_Spell_X_Dint_KS_BlossomStory,XingHDT-SMPWigs\Human\Female\Xing_KSBlossomStory_Human_Female</v>
      </c>
    </row>
    <row r="569">
      <c r="B569" s="12" t="str">
        <f>IFERROR(__xludf.DUMMYFUNCTION("""COMPUTED_VALUE"""),"Uvi_Wig_Spell_X_Dint_KS_Butterfly098")</f>
        <v>Uvi_Wig_Spell_X_Dint_KS_Butterfly098</v>
      </c>
      <c r="C569" s="12" t="str">
        <f>IFERROR(__xludf.DUMMYFUNCTION("IF($B569="""","""",SUBSTITUTE(SUBSTITUTE(SUBSTITUTE(SUBSTITUTE(INDEX(Hairstyles!$A:$A,MATCH($B569,Hairstyles!$F:$F,0)),"" "",""""),""'"",""""),""("",""""),"")"","""")&amp;""\""&amp;INDEX(SPLIT($A$2,""_""),1)&amp;""\""&amp;INDEX(SPLIT($A$2,""_""),2)&amp;""\""&amp;SUBSTITUTE(SUBST"&amp;"ITUTE(SUBSTITUTE(SUBSTITUTE(SUBSTITUTE(INDEX(Hairstyles!$C:$C,MATCH($B569,Hairstyles!$F:$F,0)),"" "",""""),""'"",""""),""("",""""),"")"",""""),""-"",""_"")&amp;""_""&amp;$A$2)"),"XingHDT-SMPWigs\Human\Female\Xing_KSButterfly098_Human_Female")</f>
        <v>XingHDT-SMPWigs\Human\Female\Xing_KSButterfly098_Human_Female</v>
      </c>
      <c r="D569" s="12" t="str">
        <f t="shared" si="1"/>
        <v>Uvi_Wig_Spell_X_Dint_KS_Butterfly098,XingHDT-SMPWigs\Human\Female\Xing_KSButterfly098_Human_Female</v>
      </c>
    </row>
    <row r="570">
      <c r="B570" s="12" t="str">
        <f>IFERROR(__xludf.DUMMYFUNCTION("""COMPUTED_VALUE"""),"Uvi_Wig_Spell_X_Dint_KS_Cambrian")</f>
        <v>Uvi_Wig_Spell_X_Dint_KS_Cambrian</v>
      </c>
      <c r="C570" s="12" t="str">
        <f>IFERROR(__xludf.DUMMYFUNCTION("IF($B570="""","""",SUBSTITUTE(SUBSTITUTE(SUBSTITUTE(SUBSTITUTE(INDEX(Hairstyles!$A:$A,MATCH($B570,Hairstyles!$F:$F,0)),"" "",""""),""'"",""""),""("",""""),"")"","""")&amp;""\""&amp;INDEX(SPLIT($A$2,""_""),1)&amp;""\""&amp;INDEX(SPLIT($A$2,""_""),2)&amp;""\""&amp;SUBSTITUTE(SUBST"&amp;"ITUTE(SUBSTITUTE(SUBSTITUTE(SUBSTITUTE(INDEX(Hairstyles!$C:$C,MATCH($B570,Hairstyles!$F:$F,0)),"" "",""""),""'"",""""),""("",""""),"")"",""""),""-"",""_"")&amp;""_""&amp;$A$2)"),"XingHDT-SMPWigs\Human\Female\Xing_KSCambrian_Human_Female")</f>
        <v>XingHDT-SMPWigs\Human\Female\Xing_KSCambrian_Human_Female</v>
      </c>
      <c r="D570" s="12" t="str">
        <f t="shared" si="1"/>
        <v>Uvi_Wig_Spell_X_Dint_KS_Cambrian,XingHDT-SMPWigs\Human\Female\Xing_KSCambrian_Human_Female</v>
      </c>
    </row>
    <row r="571">
      <c r="B571" s="12" t="str">
        <f>IFERROR(__xludf.DUMMYFUNCTION("""COMPUTED_VALUE"""),"Uvi_Wig_Spell_X_Dint_KS_Caramella")</f>
        <v>Uvi_Wig_Spell_X_Dint_KS_Caramella</v>
      </c>
      <c r="C571" s="12" t="str">
        <f>IFERROR(__xludf.DUMMYFUNCTION("IF($B571="""","""",SUBSTITUTE(SUBSTITUTE(SUBSTITUTE(SUBSTITUTE(INDEX(Hairstyles!$A:$A,MATCH($B571,Hairstyles!$F:$F,0)),"" "",""""),""'"",""""),""("",""""),"")"","""")&amp;""\""&amp;INDEX(SPLIT($A$2,""_""),1)&amp;""\""&amp;INDEX(SPLIT($A$2,""_""),2)&amp;""\""&amp;SUBSTITUTE(SUBST"&amp;"ITUTE(SUBSTITUTE(SUBSTITUTE(SUBSTITUTE(INDEX(Hairstyles!$C:$C,MATCH($B571,Hairstyles!$F:$F,0)),"" "",""""),""'"",""""),""("",""""),"")"",""""),""-"",""_"")&amp;""_""&amp;$A$2)"),"XingHDT-SMPWigs\Human\Female\Xing_KSCaramella_Human_Female")</f>
        <v>XingHDT-SMPWigs\Human\Female\Xing_KSCaramella_Human_Female</v>
      </c>
      <c r="D571" s="12" t="str">
        <f t="shared" si="1"/>
        <v>Uvi_Wig_Spell_X_Dint_KS_Caramella,XingHDT-SMPWigs\Human\Female\Xing_KSCaramella_Human_Female</v>
      </c>
    </row>
    <row r="572">
      <c r="B572" s="12" t="str">
        <f>IFERROR(__xludf.DUMMYFUNCTION("""COMPUTED_VALUE"""),"Uvi_Wig_Spell_X_Dint_KS_ChainReaction")</f>
        <v>Uvi_Wig_Spell_X_Dint_KS_ChainReaction</v>
      </c>
      <c r="C572" s="12" t="str">
        <f>IFERROR(__xludf.DUMMYFUNCTION("IF($B572="""","""",SUBSTITUTE(SUBSTITUTE(SUBSTITUTE(SUBSTITUTE(INDEX(Hairstyles!$A:$A,MATCH($B572,Hairstyles!$F:$F,0)),"" "",""""),""'"",""""),""("",""""),"")"","""")&amp;""\""&amp;INDEX(SPLIT($A$2,""_""),1)&amp;""\""&amp;INDEX(SPLIT($A$2,""_""),2)&amp;""\""&amp;SUBSTITUTE(SUBST"&amp;"ITUTE(SUBSTITUTE(SUBSTITUTE(SUBSTITUTE(INDEX(Hairstyles!$C:$C,MATCH($B572,Hairstyles!$F:$F,0)),"" "",""""),""'"",""""),""("",""""),"")"",""""),""-"",""_"")&amp;""_""&amp;$A$2)"),"XingHDT-SMPWigs\Human\Female\Xing_KSChainReaction_Human_Female")</f>
        <v>XingHDT-SMPWigs\Human\Female\Xing_KSChainReaction_Human_Female</v>
      </c>
      <c r="D572" s="12" t="str">
        <f t="shared" si="1"/>
        <v>Uvi_Wig_Spell_X_Dint_KS_ChainReaction,XingHDT-SMPWigs\Human\Female\Xing_KSChainReaction_Human_Female</v>
      </c>
    </row>
    <row r="573">
      <c r="B573" s="12" t="str">
        <f>IFERROR(__xludf.DUMMYFUNCTION("""COMPUTED_VALUE"""),"Uvi_Wig_Spell_X_Dint_KS_Clover")</f>
        <v>Uvi_Wig_Spell_X_Dint_KS_Clover</v>
      </c>
      <c r="C573" s="12" t="str">
        <f>IFERROR(__xludf.DUMMYFUNCTION("IF($B573="""","""",SUBSTITUTE(SUBSTITUTE(SUBSTITUTE(SUBSTITUTE(INDEX(Hairstyles!$A:$A,MATCH($B573,Hairstyles!$F:$F,0)),"" "",""""),""'"",""""),""("",""""),"")"","""")&amp;""\""&amp;INDEX(SPLIT($A$2,""_""),1)&amp;""\""&amp;INDEX(SPLIT($A$2,""_""),2)&amp;""\""&amp;SUBSTITUTE(SUBST"&amp;"ITUTE(SUBSTITUTE(SUBSTITUTE(SUBSTITUTE(INDEX(Hairstyles!$C:$C,MATCH($B573,Hairstyles!$F:$F,0)),"" "",""""),""'"",""""),""("",""""),"")"",""""),""-"",""_"")&amp;""_""&amp;$A$2)"),"XingHDT-SMPWigs\Human\Female\Xing_KSClover_Human_Female")</f>
        <v>XingHDT-SMPWigs\Human\Female\Xing_KSClover_Human_Female</v>
      </c>
      <c r="D573" s="12" t="str">
        <f t="shared" si="1"/>
        <v>Uvi_Wig_Spell_X_Dint_KS_Clover,XingHDT-SMPWigs\Human\Female\Xing_KSClover_Human_Female</v>
      </c>
    </row>
    <row r="574">
      <c r="B574" s="12" t="str">
        <f>IFERROR(__xludf.DUMMYFUNCTION("""COMPUTED_VALUE"""),"Uvi_Wig_Spell_X_Dint_KS_CraxyLove")</f>
        <v>Uvi_Wig_Spell_X_Dint_KS_CraxyLove</v>
      </c>
      <c r="C574" s="12" t="str">
        <f>IFERROR(__xludf.DUMMYFUNCTION("IF($B574="""","""",SUBSTITUTE(SUBSTITUTE(SUBSTITUTE(SUBSTITUTE(INDEX(Hairstyles!$A:$A,MATCH($B574,Hairstyles!$F:$F,0)),"" "",""""),""'"",""""),""("",""""),"")"","""")&amp;""\""&amp;INDEX(SPLIT($A$2,""_""),1)&amp;""\""&amp;INDEX(SPLIT($A$2,""_""),2)&amp;""\""&amp;SUBSTITUTE(SUBST"&amp;"ITUTE(SUBSTITUTE(SUBSTITUTE(SUBSTITUTE(INDEX(Hairstyles!$C:$C,MATCH($B574,Hairstyles!$F:$F,0)),"" "",""""),""'"",""""),""("",""""),"")"",""""),""-"",""_"")&amp;""_""&amp;$A$2)"),"XingHDT-SMPWigs\Human\Female\Xing_KSCraxyLove_Human_Female")</f>
        <v>XingHDT-SMPWigs\Human\Female\Xing_KSCraxyLove_Human_Female</v>
      </c>
      <c r="D574" s="12" t="str">
        <f t="shared" si="1"/>
        <v>Uvi_Wig_Spell_X_Dint_KS_CraxyLove,XingHDT-SMPWigs\Human\Female\Xing_KSCraxyLove_Human_Female</v>
      </c>
    </row>
    <row r="575">
      <c r="B575" s="12" t="str">
        <f>IFERROR(__xludf.DUMMYFUNCTION("""COMPUTED_VALUE"""),"Uvi_Wig_Spell_X_Dint_KS_Dawn")</f>
        <v>Uvi_Wig_Spell_X_Dint_KS_Dawn</v>
      </c>
      <c r="C575" s="12" t="str">
        <f>IFERROR(__xludf.DUMMYFUNCTION("IF($B575="""","""",SUBSTITUTE(SUBSTITUTE(SUBSTITUTE(SUBSTITUTE(INDEX(Hairstyles!$A:$A,MATCH($B575,Hairstyles!$F:$F,0)),"" "",""""),""'"",""""),""("",""""),"")"","""")&amp;""\""&amp;INDEX(SPLIT($A$2,""_""),1)&amp;""\""&amp;INDEX(SPLIT($A$2,""_""),2)&amp;""\""&amp;SUBSTITUTE(SUBST"&amp;"ITUTE(SUBSTITUTE(SUBSTITUTE(SUBSTITUTE(INDEX(Hairstyles!$C:$C,MATCH($B575,Hairstyles!$F:$F,0)),"" "",""""),""'"",""""),""("",""""),"")"",""""),""-"",""_"")&amp;""_""&amp;$A$2)"),"XingHDT-SMPWigs\Human\Female\Xing_KSDawn_Human_Female")</f>
        <v>XingHDT-SMPWigs\Human\Female\Xing_KSDawn_Human_Female</v>
      </c>
      <c r="D575" s="12" t="str">
        <f t="shared" si="1"/>
        <v>Uvi_Wig_Spell_X_Dint_KS_Dawn,XingHDT-SMPWigs\Human\Female\Xing_KSDawn_Human_Female</v>
      </c>
    </row>
    <row r="576">
      <c r="B576" s="12" t="str">
        <f>IFERROR(__xludf.DUMMYFUNCTION("""COMPUTED_VALUE"""),"Uvi_Wig_Spell_X_Dint_KS_Daydream")</f>
        <v>Uvi_Wig_Spell_X_Dint_KS_Daydream</v>
      </c>
      <c r="C576" s="12" t="str">
        <f>IFERROR(__xludf.DUMMYFUNCTION("IF($B576="""","""",SUBSTITUTE(SUBSTITUTE(SUBSTITUTE(SUBSTITUTE(INDEX(Hairstyles!$A:$A,MATCH($B576,Hairstyles!$F:$F,0)),"" "",""""),""'"",""""),""("",""""),"")"","""")&amp;""\""&amp;INDEX(SPLIT($A$2,""_""),1)&amp;""\""&amp;INDEX(SPLIT($A$2,""_""),2)&amp;""\""&amp;SUBSTITUTE(SUBST"&amp;"ITUTE(SUBSTITUTE(SUBSTITUTE(SUBSTITUTE(INDEX(Hairstyles!$C:$C,MATCH($B576,Hairstyles!$F:$F,0)),"" "",""""),""'"",""""),""("",""""),"")"",""""),""-"",""_"")&amp;""_""&amp;$A$2)"),"XingHDT-SMPWigs\Human\Female\Xing_KSDaydream_Human_Female")</f>
        <v>XingHDT-SMPWigs\Human\Female\Xing_KSDaydream_Human_Female</v>
      </c>
      <c r="D576" s="12" t="str">
        <f t="shared" si="1"/>
        <v>Uvi_Wig_Spell_X_Dint_KS_Daydream,XingHDT-SMPWigs\Human\Female\Xing_KSDaydream_Human_Female</v>
      </c>
    </row>
    <row r="577">
      <c r="B577" s="12" t="str">
        <f>IFERROR(__xludf.DUMMYFUNCTION("""COMPUTED_VALUE"""),"Uvi_Wig_Spell_X_Dint_KS_Dracarys")</f>
        <v>Uvi_Wig_Spell_X_Dint_KS_Dracarys</v>
      </c>
      <c r="C577" s="12" t="str">
        <f>IFERROR(__xludf.DUMMYFUNCTION("IF($B577="""","""",SUBSTITUTE(SUBSTITUTE(SUBSTITUTE(SUBSTITUTE(INDEX(Hairstyles!$A:$A,MATCH($B577,Hairstyles!$F:$F,0)),"" "",""""),""'"",""""),""("",""""),"")"","""")&amp;""\""&amp;INDEX(SPLIT($A$2,""_""),1)&amp;""\""&amp;INDEX(SPLIT($A$2,""_""),2)&amp;""\""&amp;SUBSTITUTE(SUBST"&amp;"ITUTE(SUBSTITUTE(SUBSTITUTE(SUBSTITUTE(INDEX(Hairstyles!$C:$C,MATCH($B577,Hairstyles!$F:$F,0)),"" "",""""),""'"",""""),""("",""""),"")"",""""),""-"",""_"")&amp;""_""&amp;$A$2)"),"XingHDT-SMPWigs\Human\Female\Xing_KSDracarys_Human_Female")</f>
        <v>XingHDT-SMPWigs\Human\Female\Xing_KSDracarys_Human_Female</v>
      </c>
      <c r="D577" s="12" t="str">
        <f t="shared" si="1"/>
        <v>Uvi_Wig_Spell_X_Dint_KS_Dracarys,XingHDT-SMPWigs\Human\Female\Xing_KSDracarys_Human_Female</v>
      </c>
    </row>
    <row r="578">
      <c r="B578" s="12" t="str">
        <f>IFERROR(__xludf.DUMMYFUNCTION("""COMPUTED_VALUE"""),"Uvi_Wig_Spell_X_Dint_KS_DragonStone")</f>
        <v>Uvi_Wig_Spell_X_Dint_KS_DragonStone</v>
      </c>
      <c r="C578" s="12" t="str">
        <f>IFERROR(__xludf.DUMMYFUNCTION("IF($B578="""","""",SUBSTITUTE(SUBSTITUTE(SUBSTITUTE(SUBSTITUTE(INDEX(Hairstyles!$A:$A,MATCH($B578,Hairstyles!$F:$F,0)),"" "",""""),""'"",""""),""("",""""),"")"","""")&amp;""\""&amp;INDEX(SPLIT($A$2,""_""),1)&amp;""\""&amp;INDEX(SPLIT($A$2,""_""),2)&amp;""\""&amp;SUBSTITUTE(SUBST"&amp;"ITUTE(SUBSTITUTE(SUBSTITUTE(SUBSTITUTE(INDEX(Hairstyles!$C:$C,MATCH($B578,Hairstyles!$F:$F,0)),"" "",""""),""'"",""""),""("",""""),"")"",""""),""-"",""_"")&amp;""_""&amp;$A$2)"),"XingHDT-SMPWigs\Human\Female\Xing_KSDragonStone_Human_Female")</f>
        <v>XingHDT-SMPWigs\Human\Female\Xing_KSDragonStone_Human_Female</v>
      </c>
      <c r="D578" s="12" t="str">
        <f t="shared" si="1"/>
        <v>Uvi_Wig_Spell_X_Dint_KS_DragonStone,XingHDT-SMPWigs\Human\Female\Xing_KSDragonStone_Human_Female</v>
      </c>
    </row>
    <row r="579">
      <c r="B579" s="12" t="str">
        <f>IFERROR(__xludf.DUMMYFUNCTION("""COMPUTED_VALUE"""),"Uvi_Wig_Spell_X_Dint_KS_Dreamgirl")</f>
        <v>Uvi_Wig_Spell_X_Dint_KS_Dreamgirl</v>
      </c>
      <c r="C579" s="12" t="str">
        <f>IFERROR(__xludf.DUMMYFUNCTION("IF($B579="""","""",SUBSTITUTE(SUBSTITUTE(SUBSTITUTE(SUBSTITUTE(INDEX(Hairstyles!$A:$A,MATCH($B579,Hairstyles!$F:$F,0)),"" "",""""),""'"",""""),""("",""""),"")"","""")&amp;""\""&amp;INDEX(SPLIT($A$2,""_""),1)&amp;""\""&amp;INDEX(SPLIT($A$2,""_""),2)&amp;""\""&amp;SUBSTITUTE(SUBST"&amp;"ITUTE(SUBSTITUTE(SUBSTITUTE(SUBSTITUTE(INDEX(Hairstyles!$C:$C,MATCH($B579,Hairstyles!$F:$F,0)),"" "",""""),""'"",""""),""("",""""),"")"",""""),""-"",""_"")&amp;""_""&amp;$A$2)"),"XingHDT-SMPWigs\Human\Female\Xing_KSDreamgirl_Human_Female")</f>
        <v>XingHDT-SMPWigs\Human\Female\Xing_KSDreamgirl_Human_Female</v>
      </c>
      <c r="D579" s="12" t="str">
        <f t="shared" si="1"/>
        <v>Uvi_Wig_Spell_X_Dint_KS_Dreamgirl,XingHDT-SMPWigs\Human\Female\Xing_KSDreamgirl_Human_Female</v>
      </c>
    </row>
    <row r="580">
      <c r="B580" s="12" t="str">
        <f>IFERROR(__xludf.DUMMYFUNCTION("""COMPUTED_VALUE"""),"Uvi_Wig_Spell_X_Dint_KS_Eden")</f>
        <v>Uvi_Wig_Spell_X_Dint_KS_Eden</v>
      </c>
      <c r="C580" s="12" t="str">
        <f>IFERROR(__xludf.DUMMYFUNCTION("IF($B580="""","""",SUBSTITUTE(SUBSTITUTE(SUBSTITUTE(SUBSTITUTE(INDEX(Hairstyles!$A:$A,MATCH($B580,Hairstyles!$F:$F,0)),"" "",""""),""'"",""""),""("",""""),"")"","""")&amp;""\""&amp;INDEX(SPLIT($A$2,""_""),1)&amp;""\""&amp;INDEX(SPLIT($A$2,""_""),2)&amp;""\""&amp;SUBSTITUTE(SUBST"&amp;"ITUTE(SUBSTITUTE(SUBSTITUTE(SUBSTITUTE(INDEX(Hairstyles!$C:$C,MATCH($B580,Hairstyles!$F:$F,0)),"" "",""""),""'"",""""),""("",""""),"")"",""""),""-"",""_"")&amp;""_""&amp;$A$2)"),"XingHDT-SMPWigs\Human\Female\Xing_KSEden_Human_Female")</f>
        <v>XingHDT-SMPWigs\Human\Female\Xing_KSEden_Human_Female</v>
      </c>
      <c r="D580" s="12" t="str">
        <f t="shared" si="1"/>
        <v>Uvi_Wig_Spell_X_Dint_KS_Eden,XingHDT-SMPWigs\Human\Female\Xing_KSEden_Human_Female</v>
      </c>
    </row>
    <row r="581">
      <c r="B581" s="12" t="str">
        <f>IFERROR(__xludf.DUMMYFUNCTION("""COMPUTED_VALUE"""),"Uvi_Wig_Spell_X_Dint_KS_Equanimity")</f>
        <v>Uvi_Wig_Spell_X_Dint_KS_Equanimity</v>
      </c>
      <c r="C581" s="12" t="str">
        <f>IFERROR(__xludf.DUMMYFUNCTION("IF($B581="""","""",SUBSTITUTE(SUBSTITUTE(SUBSTITUTE(SUBSTITUTE(INDEX(Hairstyles!$A:$A,MATCH($B581,Hairstyles!$F:$F,0)),"" "",""""),""'"",""""),""("",""""),"")"","""")&amp;""\""&amp;INDEX(SPLIT($A$2,""_""),1)&amp;""\""&amp;INDEX(SPLIT($A$2,""_""),2)&amp;""\""&amp;SUBSTITUTE(SUBST"&amp;"ITUTE(SUBSTITUTE(SUBSTITUTE(SUBSTITUTE(INDEX(Hairstyles!$C:$C,MATCH($B581,Hairstyles!$F:$F,0)),"" "",""""),""'"",""""),""("",""""),"")"",""""),""-"",""_"")&amp;""_""&amp;$A$2)"),"XingHDT-SMPWigs\Human\Female\Xing_KSEquanimity_Human_Female")</f>
        <v>XingHDT-SMPWigs\Human\Female\Xing_KSEquanimity_Human_Female</v>
      </c>
      <c r="D581" s="12" t="str">
        <f t="shared" si="1"/>
        <v>Uvi_Wig_Spell_X_Dint_KS_Equanimity,XingHDT-SMPWigs\Human\Female\Xing_KSEquanimity_Human_Female</v>
      </c>
    </row>
    <row r="582">
      <c r="B582" s="12" t="str">
        <f>IFERROR(__xludf.DUMMYFUNCTION("""COMPUTED_VALUE"""),"Uvi_Wig_Spell_X_Dint_KS_Firenze")</f>
        <v>Uvi_Wig_Spell_X_Dint_KS_Firenze</v>
      </c>
      <c r="C582" s="12" t="str">
        <f>IFERROR(__xludf.DUMMYFUNCTION("IF($B582="""","""",SUBSTITUTE(SUBSTITUTE(SUBSTITUTE(SUBSTITUTE(INDEX(Hairstyles!$A:$A,MATCH($B582,Hairstyles!$F:$F,0)),"" "",""""),""'"",""""),""("",""""),"")"","""")&amp;""\""&amp;INDEX(SPLIT($A$2,""_""),1)&amp;""\""&amp;INDEX(SPLIT($A$2,""_""),2)&amp;""\""&amp;SUBSTITUTE(SUBST"&amp;"ITUTE(SUBSTITUTE(SUBSTITUTE(SUBSTITUTE(INDEX(Hairstyles!$C:$C,MATCH($B582,Hairstyles!$F:$F,0)),"" "",""""),""'"",""""),""("",""""),"")"",""""),""-"",""_"")&amp;""_""&amp;$A$2)"),"XingHDT-SMPWigs\Human\Female\Xing_KSFirenze_Human_Female")</f>
        <v>XingHDT-SMPWigs\Human\Female\Xing_KSFirenze_Human_Female</v>
      </c>
      <c r="D582" s="12" t="str">
        <f t="shared" si="1"/>
        <v>Uvi_Wig_Spell_X_Dint_KS_Firenze,XingHDT-SMPWigs\Human\Female\Xing_KSFirenze_Human_Female</v>
      </c>
    </row>
    <row r="583">
      <c r="B583" s="12" t="str">
        <f>IFERROR(__xludf.DUMMYFUNCTION("""COMPUTED_VALUE"""),"Uvi_Wig_Spell_X_Dint_KS_Fragile")</f>
        <v>Uvi_Wig_Spell_X_Dint_KS_Fragile</v>
      </c>
      <c r="C583" s="12" t="str">
        <f>IFERROR(__xludf.DUMMYFUNCTION("IF($B583="""","""",SUBSTITUTE(SUBSTITUTE(SUBSTITUTE(SUBSTITUTE(INDEX(Hairstyles!$A:$A,MATCH($B583,Hairstyles!$F:$F,0)),"" "",""""),""'"",""""),""("",""""),"")"","""")&amp;""\""&amp;INDEX(SPLIT($A$2,""_""),1)&amp;""\""&amp;INDEX(SPLIT($A$2,""_""),2)&amp;""\""&amp;SUBSTITUTE(SUBST"&amp;"ITUTE(SUBSTITUTE(SUBSTITUTE(SUBSTITUTE(INDEX(Hairstyles!$C:$C,MATCH($B583,Hairstyles!$F:$F,0)),"" "",""""),""'"",""""),""("",""""),"")"",""""),""-"",""_"")&amp;""_""&amp;$A$2)"),"XingHDT-SMPWigs\Human\Female\Xing_KSFragile_Human_Female")</f>
        <v>XingHDT-SMPWigs\Human\Female\Xing_KSFragile_Human_Female</v>
      </c>
      <c r="D583" s="12" t="str">
        <f t="shared" si="1"/>
        <v>Uvi_Wig_Spell_X_Dint_KS_Fragile,XingHDT-SMPWigs\Human\Female\Xing_KSFragile_Human_Female</v>
      </c>
    </row>
    <row r="584">
      <c r="B584" s="12" t="str">
        <f>IFERROR(__xludf.DUMMYFUNCTION("""COMPUTED_VALUE"""),"Uvi_Wig_Spell_X_Dint_KS_Galactic")</f>
        <v>Uvi_Wig_Spell_X_Dint_KS_Galactic</v>
      </c>
      <c r="C584" s="12" t="str">
        <f>IFERROR(__xludf.DUMMYFUNCTION("IF($B584="""","""",SUBSTITUTE(SUBSTITUTE(SUBSTITUTE(SUBSTITUTE(INDEX(Hairstyles!$A:$A,MATCH($B584,Hairstyles!$F:$F,0)),"" "",""""),""'"",""""),""("",""""),"")"","""")&amp;""\""&amp;INDEX(SPLIT($A$2,""_""),1)&amp;""\""&amp;INDEX(SPLIT($A$2,""_""),2)&amp;""\""&amp;SUBSTITUTE(SUBST"&amp;"ITUTE(SUBSTITUTE(SUBSTITUTE(SUBSTITUTE(INDEX(Hairstyles!$C:$C,MATCH($B584,Hairstyles!$F:$F,0)),"" "",""""),""'"",""""),""("",""""),"")"",""""),""-"",""_"")&amp;""_""&amp;$A$2)"),"XingHDT-SMPWigs\Human\Female\Xing_KSGalactic_Human_Female")</f>
        <v>XingHDT-SMPWigs\Human\Female\Xing_KSGalactic_Human_Female</v>
      </c>
      <c r="D584" s="12" t="str">
        <f t="shared" si="1"/>
        <v>Uvi_Wig_Spell_X_Dint_KS_Galactic,XingHDT-SMPWigs\Human\Female\Xing_KSGalactic_Human_Female</v>
      </c>
    </row>
    <row r="585">
      <c r="B585" s="12" t="str">
        <f>IFERROR(__xludf.DUMMYFUNCTION("""COMPUTED_VALUE"""),"Uvi_Wig_Spell_X_Dint_KS_Gem")</f>
        <v>Uvi_Wig_Spell_X_Dint_KS_Gem</v>
      </c>
      <c r="C585" s="12" t="str">
        <f>IFERROR(__xludf.DUMMYFUNCTION("IF($B585="""","""",SUBSTITUTE(SUBSTITUTE(SUBSTITUTE(SUBSTITUTE(INDEX(Hairstyles!$A:$A,MATCH($B585,Hairstyles!$F:$F,0)),"" "",""""),""'"",""""),""("",""""),"")"","""")&amp;""\""&amp;INDEX(SPLIT($A$2,""_""),1)&amp;""\""&amp;INDEX(SPLIT($A$2,""_""),2)&amp;""\""&amp;SUBSTITUTE(SUBST"&amp;"ITUTE(SUBSTITUTE(SUBSTITUTE(SUBSTITUTE(INDEX(Hairstyles!$C:$C,MATCH($B585,Hairstyles!$F:$F,0)),"" "",""""),""'"",""""),""("",""""),"")"",""""),""-"",""_"")&amp;""_""&amp;$A$2)"),"XingHDT-SMPWigs\Human\Female\Xing_KSGem_Human_Female")</f>
        <v>XingHDT-SMPWigs\Human\Female\Xing_KSGem_Human_Female</v>
      </c>
      <c r="D585" s="12" t="str">
        <f t="shared" si="1"/>
        <v>Uvi_Wig_Spell_X_Dint_KS_Gem,XingHDT-SMPWigs\Human\Female\Xing_KSGem_Human_Female</v>
      </c>
    </row>
    <row r="586">
      <c r="B586" s="12" t="str">
        <f>IFERROR(__xludf.DUMMYFUNCTION("""COMPUTED_VALUE"""),"Uvi_Wig_Spell_X_Dint_KS_Glow")</f>
        <v>Uvi_Wig_Spell_X_Dint_KS_Glow</v>
      </c>
      <c r="C586" s="12" t="str">
        <f>IFERROR(__xludf.DUMMYFUNCTION("IF($B586="""","""",SUBSTITUTE(SUBSTITUTE(SUBSTITUTE(SUBSTITUTE(INDEX(Hairstyles!$A:$A,MATCH($B586,Hairstyles!$F:$F,0)),"" "",""""),""'"",""""),""("",""""),"")"","""")&amp;""\""&amp;INDEX(SPLIT($A$2,""_""),1)&amp;""\""&amp;INDEX(SPLIT($A$2,""_""),2)&amp;""\""&amp;SUBSTITUTE(SUBST"&amp;"ITUTE(SUBSTITUTE(SUBSTITUTE(SUBSTITUTE(INDEX(Hairstyles!$C:$C,MATCH($B586,Hairstyles!$F:$F,0)),"" "",""""),""'"",""""),""("",""""),"")"",""""),""-"",""_"")&amp;""_""&amp;$A$2)"),"XingHDT-SMPWigs\Human\Female\Xing_KSGlow_Human_Female")</f>
        <v>XingHDT-SMPWigs\Human\Female\Xing_KSGlow_Human_Female</v>
      </c>
      <c r="D586" s="12" t="str">
        <f t="shared" si="1"/>
        <v>Uvi_Wig_Spell_X_Dint_KS_Glow,XingHDT-SMPWigs\Human\Female\Xing_KSGlow_Human_Female</v>
      </c>
    </row>
    <row r="587">
      <c r="B587" s="12" t="str">
        <f>IFERROR(__xludf.DUMMYFUNCTION("""COMPUTED_VALUE"""),"Uvi_Wig_Spell_X_Dint_KS_Heartquake")</f>
        <v>Uvi_Wig_Spell_X_Dint_KS_Heartquake</v>
      </c>
      <c r="C587" s="12" t="str">
        <f>IFERROR(__xludf.DUMMYFUNCTION("IF($B587="""","""",SUBSTITUTE(SUBSTITUTE(SUBSTITUTE(SUBSTITUTE(INDEX(Hairstyles!$A:$A,MATCH($B587,Hairstyles!$F:$F,0)),"" "",""""),""'"",""""),""("",""""),"")"","""")&amp;""\""&amp;INDEX(SPLIT($A$2,""_""),1)&amp;""\""&amp;INDEX(SPLIT($A$2,""_""),2)&amp;""\""&amp;SUBSTITUTE(SUBST"&amp;"ITUTE(SUBSTITUTE(SUBSTITUTE(SUBSTITUTE(INDEX(Hairstyles!$C:$C,MATCH($B587,Hairstyles!$F:$F,0)),"" "",""""),""'"",""""),""("",""""),"")"",""""),""-"",""_"")&amp;""_""&amp;$A$2)"),"XingHDT-SMPWigs\Human\Female\Xing_KSHeartquake_Human_Female")</f>
        <v>XingHDT-SMPWigs\Human\Female\Xing_KSHeartquake_Human_Female</v>
      </c>
      <c r="D587" s="12" t="str">
        <f t="shared" si="1"/>
        <v>Uvi_Wig_Spell_X_Dint_KS_Heartquake,XingHDT-SMPWigs\Human\Female\Xing_KSHeartquake_Human_Female</v>
      </c>
    </row>
    <row r="588">
      <c r="B588" s="12" t="str">
        <f>IFERROR(__xludf.DUMMYFUNCTION("""COMPUTED_VALUE"""),"Uvi_Wig_Spell_X_Dint_KS_Hello")</f>
        <v>Uvi_Wig_Spell_X_Dint_KS_Hello</v>
      </c>
      <c r="C588" s="12" t="str">
        <f>IFERROR(__xludf.DUMMYFUNCTION("IF($B588="""","""",SUBSTITUTE(SUBSTITUTE(SUBSTITUTE(SUBSTITUTE(INDEX(Hairstyles!$A:$A,MATCH($B588,Hairstyles!$F:$F,0)),"" "",""""),""'"",""""),""("",""""),"")"","""")&amp;""\""&amp;INDEX(SPLIT($A$2,""_""),1)&amp;""\""&amp;INDEX(SPLIT($A$2,""_""),2)&amp;""\""&amp;SUBSTITUTE(SUBST"&amp;"ITUTE(SUBSTITUTE(SUBSTITUTE(SUBSTITUTE(INDEX(Hairstyles!$C:$C,MATCH($B588,Hairstyles!$F:$F,0)),"" "",""""),""'"",""""),""("",""""),"")"",""""),""-"",""_"")&amp;""_""&amp;$A$2)"),"XingHDT-SMPWigs\Human\Female\Xing_KSHello_Human_Female")</f>
        <v>XingHDT-SMPWigs\Human\Female\Xing_KSHello_Human_Female</v>
      </c>
      <c r="D588" s="12" t="str">
        <f t="shared" si="1"/>
        <v>Uvi_Wig_Spell_X_Dint_KS_Hello,XingHDT-SMPWigs\Human\Female\Xing_KSHello_Human_Female</v>
      </c>
    </row>
    <row r="589">
      <c r="B589" s="12" t="str">
        <f>IFERROR(__xludf.DUMMYFUNCTION("""COMPUTED_VALUE"""),"Uvi_Wig_Spell_X_Dint_KS_Hourglass")</f>
        <v>Uvi_Wig_Spell_X_Dint_KS_Hourglass</v>
      </c>
      <c r="C589" s="12" t="str">
        <f>IFERROR(__xludf.DUMMYFUNCTION("IF($B589="""","""",SUBSTITUTE(SUBSTITUTE(SUBSTITUTE(SUBSTITUTE(INDEX(Hairstyles!$A:$A,MATCH($B589,Hairstyles!$F:$F,0)),"" "",""""),""'"",""""),""("",""""),"")"","""")&amp;""\""&amp;INDEX(SPLIT($A$2,""_""),1)&amp;""\""&amp;INDEX(SPLIT($A$2,""_""),2)&amp;""\""&amp;SUBSTITUTE(SUBST"&amp;"ITUTE(SUBSTITUTE(SUBSTITUTE(SUBSTITUTE(INDEX(Hairstyles!$C:$C,MATCH($B589,Hairstyles!$F:$F,0)),"" "",""""),""'"",""""),""("",""""),"")"",""""),""-"",""_"")&amp;""_""&amp;$A$2)"),"XingHDT-SMPWigs\Human\Female\Xing_KSHourglass_Human_Female")</f>
        <v>XingHDT-SMPWigs\Human\Female\Xing_KSHourglass_Human_Female</v>
      </c>
      <c r="D589" s="12" t="str">
        <f t="shared" si="1"/>
        <v>Uvi_Wig_Spell_X_Dint_KS_Hourglass,XingHDT-SMPWigs\Human\Female\Xing_KSHourglass_Human_Female</v>
      </c>
    </row>
    <row r="590">
      <c r="B590" s="12" t="str">
        <f>IFERROR(__xludf.DUMMYFUNCTION("""COMPUTED_VALUE"""),"Uvi_Wig_Spell_X_Dint_KS_Kaysa")</f>
        <v>Uvi_Wig_Spell_X_Dint_KS_Kaysa</v>
      </c>
      <c r="C590" s="12" t="str">
        <f>IFERROR(__xludf.DUMMYFUNCTION("IF($B590="""","""",SUBSTITUTE(SUBSTITUTE(SUBSTITUTE(SUBSTITUTE(INDEX(Hairstyles!$A:$A,MATCH($B590,Hairstyles!$F:$F,0)),"" "",""""),""'"",""""),""("",""""),"")"","""")&amp;""\""&amp;INDEX(SPLIT($A$2,""_""),1)&amp;""\""&amp;INDEX(SPLIT($A$2,""_""),2)&amp;""\""&amp;SUBSTITUTE(SUBST"&amp;"ITUTE(SUBSTITUTE(SUBSTITUTE(SUBSTITUTE(INDEX(Hairstyles!$C:$C,MATCH($B590,Hairstyles!$F:$F,0)),"" "",""""),""'"",""""),""("",""""),"")"",""""),""-"",""_"")&amp;""_""&amp;$A$2)"),"XingHDT-SMPWigs\Human\Female\Xing_KSKaysa_Human_Female")</f>
        <v>XingHDT-SMPWigs\Human\Female\Xing_KSKaysa_Human_Female</v>
      </c>
      <c r="D590" s="12" t="str">
        <f t="shared" si="1"/>
        <v>Uvi_Wig_Spell_X_Dint_KS_Kaysa,XingHDT-SMPWigs\Human\Female\Xing_KSKaysa_Human_Female</v>
      </c>
    </row>
    <row r="591">
      <c r="B591" s="12" t="str">
        <f>IFERROR(__xludf.DUMMYFUNCTION("""COMPUTED_VALUE"""),"Uvi_Wig_Spell_X_Dint_KS_Mhysa")</f>
        <v>Uvi_Wig_Spell_X_Dint_KS_Mhysa</v>
      </c>
      <c r="C591" s="12" t="str">
        <f>IFERROR(__xludf.DUMMYFUNCTION("IF($B591="""","""",SUBSTITUTE(SUBSTITUTE(SUBSTITUTE(SUBSTITUTE(INDEX(Hairstyles!$A:$A,MATCH($B591,Hairstyles!$F:$F,0)),"" "",""""),""'"",""""),""("",""""),"")"","""")&amp;""\""&amp;INDEX(SPLIT($A$2,""_""),1)&amp;""\""&amp;INDEX(SPLIT($A$2,""_""),2)&amp;""\""&amp;SUBSTITUTE(SUBST"&amp;"ITUTE(SUBSTITUTE(SUBSTITUTE(SUBSTITUTE(INDEX(Hairstyles!$C:$C,MATCH($B591,Hairstyles!$F:$F,0)),"" "",""""),""'"",""""),""("",""""),"")"",""""),""-"",""_"")&amp;""_""&amp;$A$2)"),"XingHDT-SMPWigs\Human\Female\Xing_KSMhysa_Human_Female")</f>
        <v>XingHDT-SMPWigs\Human\Female\Xing_KSMhysa_Human_Female</v>
      </c>
      <c r="D591" s="12" t="str">
        <f t="shared" si="1"/>
        <v>Uvi_Wig_Spell_X_Dint_KS_Mhysa,XingHDT-SMPWigs\Human\Female\Xing_KSMhysa_Human_Female</v>
      </c>
    </row>
    <row r="592">
      <c r="B592" s="12" t="str">
        <f>IFERROR(__xludf.DUMMYFUNCTION("""COMPUTED_VALUE"""),"Uvi_Wig_Spell_X_Dint_KS_Peppermint")</f>
        <v>Uvi_Wig_Spell_X_Dint_KS_Peppermint</v>
      </c>
      <c r="C592" s="12" t="str">
        <f>IFERROR(__xludf.DUMMYFUNCTION("IF($B592="""","""",SUBSTITUTE(SUBSTITUTE(SUBSTITUTE(SUBSTITUTE(INDEX(Hairstyles!$A:$A,MATCH($B592,Hairstyles!$F:$F,0)),"" "",""""),""'"",""""),""("",""""),"")"","""")&amp;""\""&amp;INDEX(SPLIT($A$2,""_""),1)&amp;""\""&amp;INDEX(SPLIT($A$2,""_""),2)&amp;""\""&amp;SUBSTITUTE(SUBST"&amp;"ITUTE(SUBSTITUTE(SUBSTITUTE(SUBSTITUTE(INDEX(Hairstyles!$C:$C,MATCH($B592,Hairstyles!$F:$F,0)),"" "",""""),""'"",""""),""("",""""),"")"",""""),""-"",""_"")&amp;""_""&amp;$A$2)"),"XingHDT-SMPWigs\Human\Female\Xing_KSPeppermint_Human_Female")</f>
        <v>XingHDT-SMPWigs\Human\Female\Xing_KSPeppermint_Human_Female</v>
      </c>
      <c r="D592" s="12" t="str">
        <f t="shared" si="1"/>
        <v>Uvi_Wig_Spell_X_Dint_KS_Peppermint,XingHDT-SMPWigs\Human\Female\Xing_KSPeppermint_Human_Female</v>
      </c>
    </row>
    <row r="593">
      <c r="B593" s="12" t="str">
        <f>IFERROR(__xludf.DUMMYFUNCTION("""COMPUTED_VALUE"""),"Uvi_Wig_Spell_X_Dint_KS_Renata")</f>
        <v>Uvi_Wig_Spell_X_Dint_KS_Renata</v>
      </c>
      <c r="C593" s="12" t="str">
        <f>IFERROR(__xludf.DUMMYFUNCTION("IF($B593="""","""",SUBSTITUTE(SUBSTITUTE(SUBSTITUTE(SUBSTITUTE(INDEX(Hairstyles!$A:$A,MATCH($B593,Hairstyles!$F:$F,0)),"" "",""""),""'"",""""),""("",""""),"")"","""")&amp;""\""&amp;INDEX(SPLIT($A$2,""_""),1)&amp;""\""&amp;INDEX(SPLIT($A$2,""_""),2)&amp;""\""&amp;SUBSTITUTE(SUBST"&amp;"ITUTE(SUBSTITUTE(SUBSTITUTE(SUBSTITUTE(INDEX(Hairstyles!$C:$C,MATCH($B593,Hairstyles!$F:$F,0)),"" "",""""),""'"",""""),""("",""""),"")"",""""),""-"",""_"")&amp;""_""&amp;$A$2)"),"XingHDT-SMPWigs\Human\Female\Xing_KSRenata_Human_Female")</f>
        <v>XingHDT-SMPWigs\Human\Female\Xing_KSRenata_Human_Female</v>
      </c>
      <c r="D593" s="12" t="str">
        <f t="shared" si="1"/>
        <v>Uvi_Wig_Spell_X_Dint_KS_Renata,XingHDT-SMPWigs\Human\Female\Xing_KSRenata_Human_Female</v>
      </c>
    </row>
    <row r="594">
      <c r="B594" s="12" t="str">
        <f>IFERROR(__xludf.DUMMYFUNCTION("""COMPUTED_VALUE"""),"Uvi_Wig_Spell_X_Dint_KS_Runaway")</f>
        <v>Uvi_Wig_Spell_X_Dint_KS_Runaway</v>
      </c>
      <c r="C594" s="12" t="str">
        <f>IFERROR(__xludf.DUMMYFUNCTION("IF($B594="""","""",SUBSTITUTE(SUBSTITUTE(SUBSTITUTE(SUBSTITUTE(INDEX(Hairstyles!$A:$A,MATCH($B594,Hairstyles!$F:$F,0)),"" "",""""),""'"",""""),""("",""""),"")"","""")&amp;""\""&amp;INDEX(SPLIT($A$2,""_""),1)&amp;""\""&amp;INDEX(SPLIT($A$2,""_""),2)&amp;""\""&amp;SUBSTITUTE(SUBST"&amp;"ITUTE(SUBSTITUTE(SUBSTITUTE(SUBSTITUTE(INDEX(Hairstyles!$C:$C,MATCH($B594,Hairstyles!$F:$F,0)),"" "",""""),""'"",""""),""("",""""),"")"",""""),""-"",""_"")&amp;""_""&amp;$A$2)"),"XingHDT-SMPWigs\Human\Female\Xing_KSRunaway_Human_Female")</f>
        <v>XingHDT-SMPWigs\Human\Female\Xing_KSRunaway_Human_Female</v>
      </c>
      <c r="D594" s="12" t="str">
        <f t="shared" si="1"/>
        <v>Uvi_Wig_Spell_X_Dint_KS_Runaway,XingHDT-SMPWigs\Human\Female\Xing_KSRunaway_Human_Female</v>
      </c>
    </row>
    <row r="595">
      <c r="B595" s="12" t="str">
        <f>IFERROR(__xludf.DUMMYFUNCTION("""COMPUTED_VALUE"""),"Uvi_Wig_Spell_X_Dint_KS_SailAway")</f>
        <v>Uvi_Wig_Spell_X_Dint_KS_SailAway</v>
      </c>
      <c r="C595" s="12" t="str">
        <f>IFERROR(__xludf.DUMMYFUNCTION("IF($B595="""","""",SUBSTITUTE(SUBSTITUTE(SUBSTITUTE(SUBSTITUTE(INDEX(Hairstyles!$A:$A,MATCH($B595,Hairstyles!$F:$F,0)),"" "",""""),""'"",""""),""("",""""),"")"","""")&amp;""\""&amp;INDEX(SPLIT($A$2,""_""),1)&amp;""\""&amp;INDEX(SPLIT($A$2,""_""),2)&amp;""\""&amp;SUBSTITUTE(SUBST"&amp;"ITUTE(SUBSTITUTE(SUBSTITUTE(SUBSTITUTE(INDEX(Hairstyles!$C:$C,MATCH($B595,Hairstyles!$F:$F,0)),"" "",""""),""'"",""""),""("",""""),"")"",""""),""-"",""_"")&amp;""_""&amp;$A$2)"),"XingHDT-SMPWigs\Human\Female\Xing_KSSailAway_Human_Female")</f>
        <v>XingHDT-SMPWigs\Human\Female\Xing_KSSailAway_Human_Female</v>
      </c>
      <c r="D595" s="12" t="str">
        <f t="shared" si="1"/>
        <v>Uvi_Wig_Spell_X_Dint_KS_SailAway,XingHDT-SMPWigs\Human\Female\Xing_KSSailAway_Human_Female</v>
      </c>
    </row>
    <row r="596">
      <c r="B596" s="12" t="str">
        <f>IFERROR(__xludf.DUMMYFUNCTION("""COMPUTED_VALUE"""),"Uvi_Wig_Spell_X_Dint_KS_Shepherd")</f>
        <v>Uvi_Wig_Spell_X_Dint_KS_Shepherd</v>
      </c>
      <c r="C596" s="12" t="str">
        <f>IFERROR(__xludf.DUMMYFUNCTION("IF($B596="""","""",SUBSTITUTE(SUBSTITUTE(SUBSTITUTE(SUBSTITUTE(INDEX(Hairstyles!$A:$A,MATCH($B596,Hairstyles!$F:$F,0)),"" "",""""),""'"",""""),""("",""""),"")"","""")&amp;""\""&amp;INDEX(SPLIT($A$2,""_""),1)&amp;""\""&amp;INDEX(SPLIT($A$2,""_""),2)&amp;""\""&amp;SUBSTITUTE(SUBST"&amp;"ITUTE(SUBSTITUTE(SUBSTITUTE(SUBSTITUTE(INDEX(Hairstyles!$C:$C,MATCH($B596,Hairstyles!$F:$F,0)),"" "",""""),""'"",""""),""("",""""),"")"",""""),""-"",""_"")&amp;""_""&amp;$A$2)"),"XingHDT-SMPWigs\Human\Female\Xing_KSShepherd_Human_Female")</f>
        <v>XingHDT-SMPWigs\Human\Female\Xing_KSShepherd_Human_Female</v>
      </c>
      <c r="D596" s="12" t="str">
        <f t="shared" si="1"/>
        <v>Uvi_Wig_Spell_X_Dint_KS_Shepherd,XingHDT-SMPWigs\Human\Female\Xing_KSShepherd_Human_Female</v>
      </c>
    </row>
    <row r="597">
      <c r="B597" s="12" t="str">
        <f>IFERROR(__xludf.DUMMYFUNCTION("""COMPUTED_VALUE"""),"Uvi_Wig_Spell_X_Dint_KS_Shieldbrother")</f>
        <v>Uvi_Wig_Spell_X_Dint_KS_Shieldbrother</v>
      </c>
      <c r="C597" s="12" t="str">
        <f>IFERROR(__xludf.DUMMYFUNCTION("IF($B597="""","""",SUBSTITUTE(SUBSTITUTE(SUBSTITUTE(SUBSTITUTE(INDEX(Hairstyles!$A:$A,MATCH($B597,Hairstyles!$F:$F,0)),"" "",""""),""'"",""""),""("",""""),"")"","""")&amp;""\""&amp;INDEX(SPLIT($A$2,""_""),1)&amp;""\""&amp;INDEX(SPLIT($A$2,""_""),2)&amp;""\""&amp;SUBSTITUTE(SUBST"&amp;"ITUTE(SUBSTITUTE(SUBSTITUTE(SUBSTITUTE(INDEX(Hairstyles!$C:$C,MATCH($B597,Hairstyles!$F:$F,0)),"" "",""""),""'"",""""),""("",""""),"")"",""""),""-"",""_"")&amp;""_""&amp;$A$2)"),"XingHDT-SMPWigs\Human\Female\Xing_KSShieldbrother_Human_Female")</f>
        <v>XingHDT-SMPWigs\Human\Female\Xing_KSShieldbrother_Human_Female</v>
      </c>
      <c r="D597" s="12" t="str">
        <f t="shared" si="1"/>
        <v>Uvi_Wig_Spell_X_Dint_KS_Shieldbrother,XingHDT-SMPWigs\Human\Female\Xing_KSShieldbrother_Human_Female</v>
      </c>
    </row>
    <row r="598">
      <c r="B598" s="12" t="str">
        <f>IFERROR(__xludf.DUMMYFUNCTION("""COMPUTED_VALUE"""),"Uvi_Wig_Spell_X_Dint_KS_Shieldmaiden")</f>
        <v>Uvi_Wig_Spell_X_Dint_KS_Shieldmaiden</v>
      </c>
      <c r="C598" s="12" t="str">
        <f>IFERROR(__xludf.DUMMYFUNCTION("IF($B598="""","""",SUBSTITUTE(SUBSTITUTE(SUBSTITUTE(SUBSTITUTE(INDEX(Hairstyles!$A:$A,MATCH($B598,Hairstyles!$F:$F,0)),"" "",""""),""'"",""""),""("",""""),"")"","""")&amp;""\""&amp;INDEX(SPLIT($A$2,""_""),1)&amp;""\""&amp;INDEX(SPLIT($A$2,""_""),2)&amp;""\""&amp;SUBSTITUTE(SUBST"&amp;"ITUTE(SUBSTITUTE(SUBSTITUTE(SUBSTITUTE(INDEX(Hairstyles!$C:$C,MATCH($B598,Hairstyles!$F:$F,0)),"" "",""""),""'"",""""),""("",""""),"")"",""""),""-"",""_"")&amp;""_""&amp;$A$2)"),"XingHDT-SMPWigs\Human\Female\Xing_KSShieldmaiden_Human_Female")</f>
        <v>XingHDT-SMPWigs\Human\Female\Xing_KSShieldmaiden_Human_Female</v>
      </c>
      <c r="D598" s="12" t="str">
        <f t="shared" si="1"/>
        <v>Uvi_Wig_Spell_X_Dint_KS_Shieldmaiden,XingHDT-SMPWigs\Human\Female\Xing_KSShieldmaiden_Human_Female</v>
      </c>
    </row>
    <row r="599">
      <c r="B599" s="12" t="str">
        <f>IFERROR(__xludf.DUMMYFUNCTION("""COMPUTED_VALUE"""),"Uvi_Wig_Spell_X_Dint_KS_SirenForest")</f>
        <v>Uvi_Wig_Spell_X_Dint_KS_SirenForest</v>
      </c>
      <c r="C599" s="12" t="str">
        <f>IFERROR(__xludf.DUMMYFUNCTION("IF($B599="""","""",SUBSTITUTE(SUBSTITUTE(SUBSTITUTE(SUBSTITUTE(INDEX(Hairstyles!$A:$A,MATCH($B599,Hairstyles!$F:$F,0)),"" "",""""),""'"",""""),""("",""""),"")"","""")&amp;""\""&amp;INDEX(SPLIT($A$2,""_""),1)&amp;""\""&amp;INDEX(SPLIT($A$2,""_""),2)&amp;""\""&amp;SUBSTITUTE(SUBST"&amp;"ITUTE(SUBSTITUTE(SUBSTITUTE(SUBSTITUTE(INDEX(Hairstyles!$C:$C,MATCH($B599,Hairstyles!$F:$F,0)),"" "",""""),""'"",""""),""("",""""),"")"",""""),""-"",""_"")&amp;""_""&amp;$A$2)"),"XingHDT-SMPWigs\Human\Female\Xing_KSSirenForest_Human_Female")</f>
        <v>XingHDT-SMPWigs\Human\Female\Xing_KSSirenForest_Human_Female</v>
      </c>
      <c r="D599" s="12" t="str">
        <f t="shared" si="1"/>
        <v>Uvi_Wig_Spell_X_Dint_KS_SirenForest,XingHDT-SMPWigs\Human\Female\Xing_KSSirenForest_Human_Female</v>
      </c>
    </row>
    <row r="600">
      <c r="B600" s="12" t="str">
        <f>IFERROR(__xludf.DUMMYFUNCTION("""COMPUTED_VALUE"""),"Uvi_Wig_Spell_X_Dint_KS_Sky084")</f>
        <v>Uvi_Wig_Spell_X_Dint_KS_Sky084</v>
      </c>
      <c r="C600" s="12" t="str">
        <f>IFERROR(__xludf.DUMMYFUNCTION("IF($B600="""","""",SUBSTITUTE(SUBSTITUTE(SUBSTITUTE(SUBSTITUTE(INDEX(Hairstyles!$A:$A,MATCH($B600,Hairstyles!$F:$F,0)),"" "",""""),""'"",""""),""("",""""),"")"","""")&amp;""\""&amp;INDEX(SPLIT($A$2,""_""),1)&amp;""\""&amp;INDEX(SPLIT($A$2,""_""),2)&amp;""\""&amp;SUBSTITUTE(SUBST"&amp;"ITUTE(SUBSTITUTE(SUBSTITUTE(SUBSTITUTE(INDEX(Hairstyles!$C:$C,MATCH($B600,Hairstyles!$F:$F,0)),"" "",""""),""'"",""""),""("",""""),"")"",""""),""-"",""_"")&amp;""_""&amp;$A$2)"),"XingHDT-SMPWigs\Human\Female\Xing_KSSky084_Human_Female")</f>
        <v>XingHDT-SMPWigs\Human\Female\Xing_KSSky084_Human_Female</v>
      </c>
      <c r="D600" s="12" t="str">
        <f t="shared" si="1"/>
        <v>Uvi_Wig_Spell_X_Dint_KS_Sky084,XingHDT-SMPWigs\Human\Female\Xing_KSSky084_Human_Female</v>
      </c>
    </row>
    <row r="601">
      <c r="B601" s="12" t="str">
        <f>IFERROR(__xludf.DUMMYFUNCTION("""COMPUTED_VALUE"""),"Uvi_Wig_Spell_X_Dint_KS_Sky161")</f>
        <v>Uvi_Wig_Spell_X_Dint_KS_Sky161</v>
      </c>
      <c r="C601" s="12" t="str">
        <f>IFERROR(__xludf.DUMMYFUNCTION("IF($B601="""","""",SUBSTITUTE(SUBSTITUTE(SUBSTITUTE(SUBSTITUTE(INDEX(Hairstyles!$A:$A,MATCH($B601,Hairstyles!$F:$F,0)),"" "",""""),""'"",""""),""("",""""),"")"","""")&amp;""\""&amp;INDEX(SPLIT($A$2,""_""),1)&amp;""\""&amp;INDEX(SPLIT($A$2,""_""),2)&amp;""\""&amp;SUBSTITUTE(SUBST"&amp;"ITUTE(SUBSTITUTE(SUBSTITUTE(SUBSTITUTE(INDEX(Hairstyles!$C:$C,MATCH($B601,Hairstyles!$F:$F,0)),"" "",""""),""'"",""""),""("",""""),"")"",""""),""-"",""_"")&amp;""_""&amp;$A$2)"),"XingHDT-SMPWigs\Human\Female\Xing_KSSky161_Human_Female")</f>
        <v>XingHDT-SMPWigs\Human\Female\Xing_KSSky161_Human_Female</v>
      </c>
      <c r="D601" s="12" t="str">
        <f t="shared" si="1"/>
        <v>Uvi_Wig_Spell_X_Dint_KS_Sky161,XingHDT-SMPWigs\Human\Female\Xing_KSSky161_Human_Female</v>
      </c>
    </row>
    <row r="602">
      <c r="B602" s="12" t="str">
        <f>IFERROR(__xludf.DUMMYFUNCTION("""COMPUTED_VALUE"""),"Uvi_Wig_Spell_X_Dint_KS_Sky207")</f>
        <v>Uvi_Wig_Spell_X_Dint_KS_Sky207</v>
      </c>
      <c r="C602" s="12" t="str">
        <f>IFERROR(__xludf.DUMMYFUNCTION("IF($B602="""","""",SUBSTITUTE(SUBSTITUTE(SUBSTITUTE(SUBSTITUTE(INDEX(Hairstyles!$A:$A,MATCH($B602,Hairstyles!$F:$F,0)),"" "",""""),""'"",""""),""("",""""),"")"","""")&amp;""\""&amp;INDEX(SPLIT($A$2,""_""),1)&amp;""\""&amp;INDEX(SPLIT($A$2,""_""),2)&amp;""\""&amp;SUBSTITUTE(SUBST"&amp;"ITUTE(SUBSTITUTE(SUBSTITUTE(SUBSTITUTE(INDEX(Hairstyles!$C:$C,MATCH($B602,Hairstyles!$F:$F,0)),"" "",""""),""'"",""""),""("",""""),"")"",""""),""-"",""_"")&amp;""_""&amp;$A$2)"),"XingHDT-SMPWigs\Human\Female\Xing_KSSky207_Human_Female")</f>
        <v>XingHDT-SMPWigs\Human\Female\Xing_KSSky207_Human_Female</v>
      </c>
      <c r="D602" s="12" t="str">
        <f t="shared" si="1"/>
        <v>Uvi_Wig_Spell_X_Dint_KS_Sky207,XingHDT-SMPWigs\Human\Female\Xing_KSSky207_Human_Female</v>
      </c>
    </row>
    <row r="603">
      <c r="B603" s="12" t="str">
        <f>IFERROR(__xludf.DUMMYFUNCTION("""COMPUTED_VALUE"""),"Uvi_Wig_Spell_X_Dint_KS_Sleeper")</f>
        <v>Uvi_Wig_Spell_X_Dint_KS_Sleeper</v>
      </c>
      <c r="C603" s="12" t="str">
        <f>IFERROR(__xludf.DUMMYFUNCTION("IF($B603="""","""",SUBSTITUTE(SUBSTITUTE(SUBSTITUTE(SUBSTITUTE(INDEX(Hairstyles!$A:$A,MATCH($B603,Hairstyles!$F:$F,0)),"" "",""""),""'"",""""),""("",""""),"")"","""")&amp;""\""&amp;INDEX(SPLIT($A$2,""_""),1)&amp;""\""&amp;INDEX(SPLIT($A$2,""_""),2)&amp;""\""&amp;SUBSTITUTE(SUBST"&amp;"ITUTE(SUBSTITUTE(SUBSTITUTE(SUBSTITUTE(INDEX(Hairstyles!$C:$C,MATCH($B603,Hairstyles!$F:$F,0)),"" "",""""),""'"",""""),""("",""""),"")"",""""),""-"",""_"")&amp;""_""&amp;$A$2)"),"XingHDT-SMPWigs\Human\Female\Xing_KSSleeper_Human_Female")</f>
        <v>XingHDT-SMPWigs\Human\Female\Xing_KSSleeper_Human_Female</v>
      </c>
      <c r="D603" s="12" t="str">
        <f t="shared" si="1"/>
        <v>Uvi_Wig_Spell_X_Dint_KS_Sleeper,XingHDT-SMPWigs\Human\Female\Xing_KSSleeper_Human_Female</v>
      </c>
    </row>
    <row r="604">
      <c r="B604" s="12" t="str">
        <f>IFERROR(__xludf.DUMMYFUNCTION("""COMPUTED_VALUE"""),"Uvi_Wig_Spell_X_Dint_KS_Somali")</f>
        <v>Uvi_Wig_Spell_X_Dint_KS_Somali</v>
      </c>
      <c r="C604" s="12" t="str">
        <f>IFERROR(__xludf.DUMMYFUNCTION("IF($B604="""","""",SUBSTITUTE(SUBSTITUTE(SUBSTITUTE(SUBSTITUTE(INDEX(Hairstyles!$A:$A,MATCH($B604,Hairstyles!$F:$F,0)),"" "",""""),""'"",""""),""("",""""),"")"","""")&amp;""\""&amp;INDEX(SPLIT($A$2,""_""),1)&amp;""\""&amp;INDEX(SPLIT($A$2,""_""),2)&amp;""\""&amp;SUBSTITUTE(SUBST"&amp;"ITUTE(SUBSTITUTE(SUBSTITUTE(SUBSTITUTE(INDEX(Hairstyles!$C:$C,MATCH($B604,Hairstyles!$F:$F,0)),"" "",""""),""'"",""""),""("",""""),"")"",""""),""-"",""_"")&amp;""_""&amp;$A$2)"),"XingHDT-SMPWigs\Human\Female\Xing_KSSomali_Human_Female")</f>
        <v>XingHDT-SMPWigs\Human\Female\Xing_KSSomali_Human_Female</v>
      </c>
      <c r="D604" s="12" t="str">
        <f t="shared" si="1"/>
        <v>Uvi_Wig_Spell_X_Dint_KS_Somali,XingHDT-SMPWigs\Human\Female\Xing_KSSomali_Human_Female</v>
      </c>
    </row>
    <row r="605">
      <c r="B605" s="12" t="str">
        <f>IFERROR(__xludf.DUMMYFUNCTION("""COMPUTED_VALUE"""),"Uvi_Wig_Spell_X_Dint_KS_Soundwave")</f>
        <v>Uvi_Wig_Spell_X_Dint_KS_Soundwave</v>
      </c>
      <c r="C605" s="12" t="str">
        <f>IFERROR(__xludf.DUMMYFUNCTION("IF($B605="""","""",SUBSTITUTE(SUBSTITUTE(SUBSTITUTE(SUBSTITUTE(INDEX(Hairstyles!$A:$A,MATCH($B605,Hairstyles!$F:$F,0)),"" "",""""),""'"",""""),""("",""""),"")"","""")&amp;""\""&amp;INDEX(SPLIT($A$2,""_""),1)&amp;""\""&amp;INDEX(SPLIT($A$2,""_""),2)&amp;""\""&amp;SUBSTITUTE(SUBST"&amp;"ITUTE(SUBSTITUTE(SUBSTITUTE(SUBSTITUTE(INDEX(Hairstyles!$C:$C,MATCH($B605,Hairstyles!$F:$F,0)),"" "",""""),""'"",""""),""("",""""),"")"",""""),""-"",""_"")&amp;""_""&amp;$A$2)"),"XingHDT-SMPWigs\Human\Female\Xing_KSSoundwave_Human_Female")</f>
        <v>XingHDT-SMPWigs\Human\Female\Xing_KSSoundwave_Human_Female</v>
      </c>
      <c r="D605" s="12" t="str">
        <f t="shared" si="1"/>
        <v>Uvi_Wig_Spell_X_Dint_KS_Soundwave,XingHDT-SMPWigs\Human\Female\Xing_KSSoundwave_Human_Female</v>
      </c>
    </row>
    <row r="606">
      <c r="B606" s="12" t="str">
        <f>IFERROR(__xludf.DUMMYFUNCTION("""COMPUTED_VALUE"""),"Uvi_Wig_Spell_X_Dint_KS_Sparks")</f>
        <v>Uvi_Wig_Spell_X_Dint_KS_Sparks</v>
      </c>
      <c r="C606" s="12" t="str">
        <f>IFERROR(__xludf.DUMMYFUNCTION("IF($B606="""","""",SUBSTITUTE(SUBSTITUTE(SUBSTITUTE(SUBSTITUTE(INDEX(Hairstyles!$A:$A,MATCH($B606,Hairstyles!$F:$F,0)),"" "",""""),""'"",""""),""("",""""),"")"","""")&amp;""\""&amp;INDEX(SPLIT($A$2,""_""),1)&amp;""\""&amp;INDEX(SPLIT($A$2,""_""),2)&amp;""\""&amp;SUBSTITUTE(SUBST"&amp;"ITUTE(SUBSTITUTE(SUBSTITUTE(SUBSTITUTE(INDEX(Hairstyles!$C:$C,MATCH($B606,Hairstyles!$F:$F,0)),"" "",""""),""'"",""""),""("",""""),"")"",""""),""-"",""_"")&amp;""_""&amp;$A$2)"),"XingHDT-SMPWigs\Human\Female\Xing_KSSparks_Human_Female")</f>
        <v>XingHDT-SMPWigs\Human\Female\Xing_KSSparks_Human_Female</v>
      </c>
      <c r="D606" s="12" t="str">
        <f t="shared" si="1"/>
        <v>Uvi_Wig_Spell_X_Dint_KS_Sparks,XingHDT-SMPWigs\Human\Female\Xing_KSSparks_Human_Female</v>
      </c>
    </row>
    <row r="607">
      <c r="B607" s="12" t="str">
        <f>IFERROR(__xludf.DUMMYFUNCTION("""COMPUTED_VALUE"""),"Uvi_Wig_Spell_X_Dint_KS_Spectrum")</f>
        <v>Uvi_Wig_Spell_X_Dint_KS_Spectrum</v>
      </c>
      <c r="C607" s="12" t="str">
        <f>IFERROR(__xludf.DUMMYFUNCTION("IF($B607="""","""",SUBSTITUTE(SUBSTITUTE(SUBSTITUTE(SUBSTITUTE(INDEX(Hairstyles!$A:$A,MATCH($B607,Hairstyles!$F:$F,0)),"" "",""""),""'"",""""),""("",""""),"")"","""")&amp;""\""&amp;INDEX(SPLIT($A$2,""_""),1)&amp;""\""&amp;INDEX(SPLIT($A$2,""_""),2)&amp;""\""&amp;SUBSTITUTE(SUBST"&amp;"ITUTE(SUBSTITUTE(SUBSTITUTE(SUBSTITUTE(INDEX(Hairstyles!$C:$C,MATCH($B607,Hairstyles!$F:$F,0)),"" "",""""),""'"",""""),""("",""""),"")"",""""),""-"",""_"")&amp;""_""&amp;$A$2)"),"XingHDT-SMPWigs\Human\Female\Xing_KSSpectrum_Human_Female")</f>
        <v>XingHDT-SMPWigs\Human\Female\Xing_KSSpectrum_Human_Female</v>
      </c>
      <c r="D607" s="12" t="str">
        <f t="shared" si="1"/>
        <v>Uvi_Wig_Spell_X_Dint_KS_Spectrum,XingHDT-SMPWigs\Human\Female\Xing_KSSpectrum_Human_Female</v>
      </c>
    </row>
    <row r="608">
      <c r="B608" s="12" t="str">
        <f>IFERROR(__xludf.DUMMYFUNCTION("""COMPUTED_VALUE"""),"Uvi_Wig_Spell_X_Dint_KS_Steammist")</f>
        <v>Uvi_Wig_Spell_X_Dint_KS_Steammist</v>
      </c>
      <c r="C608" s="12" t="str">
        <f>IFERROR(__xludf.DUMMYFUNCTION("IF($B608="""","""",SUBSTITUTE(SUBSTITUTE(SUBSTITUTE(SUBSTITUTE(INDEX(Hairstyles!$A:$A,MATCH($B608,Hairstyles!$F:$F,0)),"" "",""""),""'"",""""),""("",""""),"")"","""")&amp;""\""&amp;INDEX(SPLIT($A$2,""_""),1)&amp;""\""&amp;INDEX(SPLIT($A$2,""_""),2)&amp;""\""&amp;SUBSTITUTE(SUBST"&amp;"ITUTE(SUBSTITUTE(SUBSTITUTE(SUBSTITUTE(INDEX(Hairstyles!$C:$C,MATCH($B608,Hairstyles!$F:$F,0)),"" "",""""),""'"",""""),""("",""""),"")"",""""),""-"",""_"")&amp;""_""&amp;$A$2)"),"XingHDT-SMPWigs\Human\Female\Xing_KSSteammist_Human_Female")</f>
        <v>XingHDT-SMPWigs\Human\Female\Xing_KSSteammist_Human_Female</v>
      </c>
      <c r="D608" s="12" t="str">
        <f t="shared" si="1"/>
        <v>Uvi_Wig_Spell_X_Dint_KS_Steammist,XingHDT-SMPWigs\Human\Female\Xing_KSSteammist_Human_Female</v>
      </c>
    </row>
    <row r="609">
      <c r="B609" s="12" t="str">
        <f>IFERROR(__xludf.DUMMYFUNCTION("""COMPUTED_VALUE"""),"Uvi_Wig_Spell_X_Dint_KS_Sunshine")</f>
        <v>Uvi_Wig_Spell_X_Dint_KS_Sunshine</v>
      </c>
      <c r="C609" s="12" t="str">
        <f>IFERROR(__xludf.DUMMYFUNCTION("IF($B609="""","""",SUBSTITUTE(SUBSTITUTE(SUBSTITUTE(SUBSTITUTE(INDEX(Hairstyles!$A:$A,MATCH($B609,Hairstyles!$F:$F,0)),"" "",""""),""'"",""""),""("",""""),"")"","""")&amp;""\""&amp;INDEX(SPLIT($A$2,""_""),1)&amp;""\""&amp;INDEX(SPLIT($A$2,""_""),2)&amp;""\""&amp;SUBSTITUTE(SUBST"&amp;"ITUTE(SUBSTITUTE(SUBSTITUTE(SUBSTITUTE(INDEX(Hairstyles!$C:$C,MATCH($B609,Hairstyles!$F:$F,0)),"" "",""""),""'"",""""),""("",""""),"")"",""""),""-"",""_"")&amp;""_""&amp;$A$2)"),"XingHDT-SMPWigs\Human\Female\Xing_KSSunshine_Human_Female")</f>
        <v>XingHDT-SMPWigs\Human\Female\Xing_KSSunshine_Human_Female</v>
      </c>
      <c r="D609" s="12" t="str">
        <f t="shared" si="1"/>
        <v>Uvi_Wig_Spell_X_Dint_KS_Sunshine,XingHDT-SMPWigs\Human\Female\Xing_KSSunshine_Human_Female</v>
      </c>
    </row>
    <row r="610">
      <c r="B610" s="12" t="str">
        <f>IFERROR(__xludf.DUMMYFUNCTION("""COMPUTED_VALUE"""),"Uvi_Wig_Spell_X_Dint_KS_Temptress")</f>
        <v>Uvi_Wig_Spell_X_Dint_KS_Temptress</v>
      </c>
      <c r="C610" s="12" t="str">
        <f>IFERROR(__xludf.DUMMYFUNCTION("IF($B610="""","""",SUBSTITUTE(SUBSTITUTE(SUBSTITUTE(SUBSTITUTE(INDEX(Hairstyles!$A:$A,MATCH($B610,Hairstyles!$F:$F,0)),"" "",""""),""'"",""""),""("",""""),"")"","""")&amp;""\""&amp;INDEX(SPLIT($A$2,""_""),1)&amp;""\""&amp;INDEX(SPLIT($A$2,""_""),2)&amp;""\""&amp;SUBSTITUTE(SUBST"&amp;"ITUTE(SUBSTITUTE(SUBSTITUTE(SUBSTITUTE(INDEX(Hairstyles!$C:$C,MATCH($B610,Hairstyles!$F:$F,0)),"" "",""""),""'"",""""),""("",""""),"")"",""""),""-"",""_"")&amp;""_""&amp;$A$2)"),"XingHDT-SMPWigs\Human\Female\Xing_KSTemptress_Human_Female")</f>
        <v>XingHDT-SMPWigs\Human\Female\Xing_KSTemptress_Human_Female</v>
      </c>
      <c r="D610" s="12" t="str">
        <f t="shared" si="1"/>
        <v>Uvi_Wig_Spell_X_Dint_KS_Temptress,XingHDT-SMPWigs\Human\Female\Xing_KSTemptress_Human_Female</v>
      </c>
    </row>
    <row r="611">
      <c r="B611" s="12" t="str">
        <f>IFERROR(__xludf.DUMMYFUNCTION("""COMPUTED_VALUE"""),"Uvi_Wig_Spell_X_Dint_KS_Titanium")</f>
        <v>Uvi_Wig_Spell_X_Dint_KS_Titanium</v>
      </c>
      <c r="C611" s="12" t="str">
        <f>IFERROR(__xludf.DUMMYFUNCTION("IF($B611="""","""",SUBSTITUTE(SUBSTITUTE(SUBSTITUTE(SUBSTITUTE(INDEX(Hairstyles!$A:$A,MATCH($B611,Hairstyles!$F:$F,0)),"" "",""""),""'"",""""),""("",""""),"")"","""")&amp;""\""&amp;INDEX(SPLIT($A$2,""_""),1)&amp;""\""&amp;INDEX(SPLIT($A$2,""_""),2)&amp;""\""&amp;SUBSTITUTE(SUBST"&amp;"ITUTE(SUBSTITUTE(SUBSTITUTE(SUBSTITUTE(INDEX(Hairstyles!$C:$C,MATCH($B611,Hairstyles!$F:$F,0)),"" "",""""),""'"",""""),""("",""""),"")"",""""),""-"",""_"")&amp;""_""&amp;$A$2)"),"XingHDT-SMPWigs\Human\Female\Xing_KSTitanium_Human_Female")</f>
        <v>XingHDT-SMPWigs\Human\Female\Xing_KSTitanium_Human_Female</v>
      </c>
      <c r="D611" s="12" t="str">
        <f t="shared" si="1"/>
        <v>Uvi_Wig_Spell_X_Dint_KS_Titanium,XingHDT-SMPWigs\Human\Female\Xing_KSTitanium_Human_Female</v>
      </c>
    </row>
    <row r="612">
      <c r="B612" s="12" t="str">
        <f>IFERROR(__xludf.DUMMYFUNCTION("""COMPUTED_VALUE"""),"Uvi_Wig_Spell_X_Dint_KS_Tsugumi1")</f>
        <v>Uvi_Wig_Spell_X_Dint_KS_Tsugumi1</v>
      </c>
      <c r="C612" s="12" t="str">
        <f>IFERROR(__xludf.DUMMYFUNCTION("IF($B612="""","""",SUBSTITUTE(SUBSTITUTE(SUBSTITUTE(SUBSTITUTE(INDEX(Hairstyles!$A:$A,MATCH($B612,Hairstyles!$F:$F,0)),"" "",""""),""'"",""""),""("",""""),"")"","""")&amp;""\""&amp;INDEX(SPLIT($A$2,""_""),1)&amp;""\""&amp;INDEX(SPLIT($A$2,""_""),2)&amp;""\""&amp;SUBSTITUTE(SUBST"&amp;"ITUTE(SUBSTITUTE(SUBSTITUTE(SUBSTITUTE(INDEX(Hairstyles!$C:$C,MATCH($B612,Hairstyles!$F:$F,0)),"" "",""""),""'"",""""),""("",""""),"")"",""""),""-"",""_"")&amp;""_""&amp;$A$2)"),"XingHDT-SMPWigs\Human\Female\Xing_KSTsugumi1_Human_Female")</f>
        <v>XingHDT-SMPWigs\Human\Female\Xing_KSTsugumi1_Human_Female</v>
      </c>
      <c r="D612" s="12" t="str">
        <f t="shared" si="1"/>
        <v>Uvi_Wig_Spell_X_Dint_KS_Tsugumi1,XingHDT-SMPWigs\Human\Female\Xing_KSTsugumi1_Human_Female</v>
      </c>
    </row>
    <row r="613">
      <c r="B613" s="12" t="str">
        <f>IFERROR(__xludf.DUMMYFUNCTION("""COMPUTED_VALUE"""),"Uvi_Wig_Spell_X_Dint_KS_Tsugumi2")</f>
        <v>Uvi_Wig_Spell_X_Dint_KS_Tsugumi2</v>
      </c>
      <c r="C613" s="12" t="str">
        <f>IFERROR(__xludf.DUMMYFUNCTION("IF($B613="""","""",SUBSTITUTE(SUBSTITUTE(SUBSTITUTE(SUBSTITUTE(INDEX(Hairstyles!$A:$A,MATCH($B613,Hairstyles!$F:$F,0)),"" "",""""),""'"",""""),""("",""""),"")"","""")&amp;""\""&amp;INDEX(SPLIT($A$2,""_""),1)&amp;""\""&amp;INDEX(SPLIT($A$2,""_""),2)&amp;""\""&amp;SUBSTITUTE(SUBST"&amp;"ITUTE(SUBSTITUTE(SUBSTITUTE(SUBSTITUTE(INDEX(Hairstyles!$C:$C,MATCH($B613,Hairstyles!$F:$F,0)),"" "",""""),""'"",""""),""("",""""),"")"",""""),""-"",""_"")&amp;""_""&amp;$A$2)"),"XingHDT-SMPWigs\Human\Female\Xing_KSTsugumi2_Human_Female")</f>
        <v>XingHDT-SMPWigs\Human\Female\Xing_KSTsugumi2_Human_Female</v>
      </c>
      <c r="D613" s="12" t="str">
        <f t="shared" si="1"/>
        <v>Uvi_Wig_Spell_X_Dint_KS_Tsugumi2,XingHDT-SMPWigs\Human\Female\Xing_KSTsugumi2_Human_Female</v>
      </c>
    </row>
    <row r="614">
      <c r="B614" s="12" t="str">
        <f>IFERROR(__xludf.DUMMYFUNCTION("""COMPUTED_VALUE"""),"Uvi_Wig_Spell_X_Dint_KS_Tsugumi3")</f>
        <v>Uvi_Wig_Spell_X_Dint_KS_Tsugumi3</v>
      </c>
      <c r="C614" s="12" t="str">
        <f>IFERROR(__xludf.DUMMYFUNCTION("IF($B614="""","""",SUBSTITUTE(SUBSTITUTE(SUBSTITUTE(SUBSTITUTE(INDEX(Hairstyles!$A:$A,MATCH($B614,Hairstyles!$F:$F,0)),"" "",""""),""'"",""""),""("",""""),"")"","""")&amp;""\""&amp;INDEX(SPLIT($A$2,""_""),1)&amp;""\""&amp;INDEX(SPLIT($A$2,""_""),2)&amp;""\""&amp;SUBSTITUTE(SUBST"&amp;"ITUTE(SUBSTITUTE(SUBSTITUTE(SUBSTITUTE(INDEX(Hairstyles!$C:$C,MATCH($B614,Hairstyles!$F:$F,0)),"" "",""""),""'"",""""),""("",""""),"")"",""""),""-"",""_"")&amp;""_""&amp;$A$2)"),"XingHDT-SMPWigs\Human\Female\Xing_KSTsugumi3_Human_Female")</f>
        <v>XingHDT-SMPWigs\Human\Female\Xing_KSTsugumi3_Human_Female</v>
      </c>
      <c r="D614" s="12" t="str">
        <f t="shared" si="1"/>
        <v>Uvi_Wig_Spell_X_Dint_KS_Tsugumi3,XingHDT-SMPWigs\Human\Female\Xing_KSTsugumi3_Human_Female</v>
      </c>
    </row>
    <row r="615">
      <c r="B615" s="12" t="str">
        <f>IFERROR(__xludf.DUMMYFUNCTION("""COMPUTED_VALUE"""),"Uvi_Wig_Spell_X_Dint_KS_Veneris")</f>
        <v>Uvi_Wig_Spell_X_Dint_KS_Veneris</v>
      </c>
      <c r="C615" s="12" t="str">
        <f>IFERROR(__xludf.DUMMYFUNCTION("IF($B615="""","""",SUBSTITUTE(SUBSTITUTE(SUBSTITUTE(SUBSTITUTE(INDEX(Hairstyles!$A:$A,MATCH($B615,Hairstyles!$F:$F,0)),"" "",""""),""'"",""""),""("",""""),"")"","""")&amp;""\""&amp;INDEX(SPLIT($A$2,""_""),1)&amp;""\""&amp;INDEX(SPLIT($A$2,""_""),2)&amp;""\""&amp;SUBSTITUTE(SUBST"&amp;"ITUTE(SUBSTITUTE(SUBSTITUTE(SUBSTITUTE(INDEX(Hairstyles!$C:$C,MATCH($B615,Hairstyles!$F:$F,0)),"" "",""""),""'"",""""),""("",""""),"")"",""""),""-"",""_"")&amp;""_""&amp;$A$2)"),"XingHDT-SMPWigs\Human\Female\Xing_KSVeneris_Human_Female")</f>
        <v>XingHDT-SMPWigs\Human\Female\Xing_KSVeneris_Human_Female</v>
      </c>
      <c r="D615" s="12" t="str">
        <f t="shared" si="1"/>
        <v>Uvi_Wig_Spell_X_Dint_KS_Veneris,XingHDT-SMPWigs\Human\Female\Xing_KSVeneris_Human_Female</v>
      </c>
    </row>
    <row r="616">
      <c r="B616" s="12" t="str">
        <f>IFERROR(__xludf.DUMMYFUNCTION("""COMPUTED_VALUE"""),"Uvi_Wig_Spell_X_Dint_KS_Venus")</f>
        <v>Uvi_Wig_Spell_X_Dint_KS_Venus</v>
      </c>
      <c r="C616" s="12" t="str">
        <f>IFERROR(__xludf.DUMMYFUNCTION("IF($B616="""","""",SUBSTITUTE(SUBSTITUTE(SUBSTITUTE(SUBSTITUTE(INDEX(Hairstyles!$A:$A,MATCH($B616,Hairstyles!$F:$F,0)),"" "",""""),""'"",""""),""("",""""),"")"","""")&amp;""\""&amp;INDEX(SPLIT($A$2,""_""),1)&amp;""\""&amp;INDEX(SPLIT($A$2,""_""),2)&amp;""\""&amp;SUBSTITUTE(SUBST"&amp;"ITUTE(SUBSTITUTE(SUBSTITUTE(SUBSTITUTE(INDEX(Hairstyles!$C:$C,MATCH($B616,Hairstyles!$F:$F,0)),"" "",""""),""'"",""""),""("",""""),"")"",""""),""-"",""_"")&amp;""_""&amp;$A$2)"),"XingHDT-SMPWigs\Human\Female\Xing_KSVenus_Human_Female")</f>
        <v>XingHDT-SMPWigs\Human\Female\Xing_KSVenus_Human_Female</v>
      </c>
      <c r="D616" s="12" t="str">
        <f t="shared" si="1"/>
        <v>Uvi_Wig_Spell_X_Dint_KS_Venus,XingHDT-SMPWigs\Human\Female\Xing_KSVenus_Human_Female</v>
      </c>
    </row>
    <row r="617">
      <c r="B617" s="12" t="str">
        <f>IFERROR(__xludf.DUMMYFUNCTION("""COMPUTED_VALUE"""),"Uvi_Wig_Spell_X_Dint_SG_hairginko02")</f>
        <v>Uvi_Wig_Spell_X_Dint_SG_hairginko02</v>
      </c>
      <c r="C617" s="12" t="str">
        <f>IFERROR(__xludf.DUMMYFUNCTION("IF($B617="""","""",SUBSTITUTE(SUBSTITUTE(SUBSTITUTE(SUBSTITUTE(INDEX(Hairstyles!$A:$A,MATCH($B617,Hairstyles!$F:$F,0)),"" "",""""),""'"",""""),""("",""""),"")"","""")&amp;""\""&amp;INDEX(SPLIT($A$2,""_""),1)&amp;""\""&amp;INDEX(SPLIT($A$2,""_""),2)&amp;""\""&amp;SUBSTITUTE(SUBST"&amp;"ITUTE(SUBSTITUTE(SUBSTITUTE(SUBSTITUTE(INDEX(Hairstyles!$C:$C,MATCH($B617,Hairstyles!$F:$F,0)),"" "",""""),""'"",""""),""("",""""),"")"",""""),""-"",""_"")&amp;""_""&amp;$A$2)"),"XingHDT-SMPWigs\Human\Female\Xing_SGGinko02_Human_Female")</f>
        <v>XingHDT-SMPWigs\Human\Female\Xing_SGGinko02_Human_Female</v>
      </c>
      <c r="D617" s="12" t="str">
        <f t="shared" si="1"/>
        <v>Uvi_Wig_Spell_X_Dint_SG_hairginko02,XingHDT-SMPWigs\Human\Female\Xing_SGGinko02_Human_Female</v>
      </c>
    </row>
    <row r="618">
      <c r="B618" s="12" t="str">
        <f>IFERROR(__xludf.DUMMYFUNCTION("""COMPUTED_VALUE"""),"Uvi_Wig_Spell_X_Dint_SG_hair25")</f>
        <v>Uvi_Wig_Spell_X_Dint_SG_hair25</v>
      </c>
      <c r="C618" s="12" t="str">
        <f>IFERROR(__xludf.DUMMYFUNCTION("IF($B618="""","""",SUBSTITUTE(SUBSTITUTE(SUBSTITUTE(SUBSTITUTE(INDEX(Hairstyles!$A:$A,MATCH($B618,Hairstyles!$F:$F,0)),"" "",""""),""'"",""""),""("",""""),"")"","""")&amp;""\""&amp;INDEX(SPLIT($A$2,""_""),1)&amp;""\""&amp;INDEX(SPLIT($A$2,""_""),2)&amp;""\""&amp;SUBSTITUTE(SUBST"&amp;"ITUTE(SUBSTITUTE(SUBSTITUTE(SUBSTITUTE(INDEX(Hairstyles!$C:$C,MATCH($B618,Hairstyles!$F:$F,0)),"" "",""""),""'"",""""),""("",""""),"")"",""""),""-"",""_"")&amp;""_""&amp;$A$2)"),"XingHDT-SMPWigs\Human\Female\Xing_SGhair25_Human_Female")</f>
        <v>XingHDT-SMPWigs\Human\Female\Xing_SGhair25_Human_Female</v>
      </c>
      <c r="D618" s="12" t="str">
        <f t="shared" si="1"/>
        <v>Uvi_Wig_Spell_X_Dint_SG_hair25,XingHDT-SMPWigs\Human\Female\Xing_SGhair25_Human_Female</v>
      </c>
    </row>
    <row r="619">
      <c r="B619" s="12" t="str">
        <f>IFERROR(__xludf.DUMMYFUNCTION("""COMPUTED_VALUE"""),"Uvi_Wig_Spell_X_Dint_SG_haircoolsims89")</f>
        <v>Uvi_Wig_Spell_X_Dint_SG_haircoolsims89</v>
      </c>
      <c r="C619" s="12" t="str">
        <f>IFERROR(__xludf.DUMMYFUNCTION("IF($B619="""","""",SUBSTITUTE(SUBSTITUTE(SUBSTITUTE(SUBSTITUTE(INDEX(Hairstyles!$A:$A,MATCH($B619,Hairstyles!$F:$F,0)),"" "",""""),""'"",""""),""("",""""),"")"","""")&amp;""\""&amp;INDEX(SPLIT($A$2,""_""),1)&amp;""\""&amp;INDEX(SPLIT($A$2,""_""),2)&amp;""\""&amp;SUBSTITUTE(SUBST"&amp;"ITUTE(SUBSTITUTE(SUBSTITUTE(SUBSTITUTE(INDEX(Hairstyles!$C:$C,MATCH($B619,Hairstyles!$F:$F,0)),"" "",""""),""'"",""""),""("",""""),"")"",""""),""-"",""_"")&amp;""_""&amp;$A$2)"),"XingHDT-SMPWigs\Human\Female\Xing_SGHaircoolsims89_Human_Female")</f>
        <v>XingHDT-SMPWigs\Human\Female\Xing_SGHaircoolsims89_Human_Female</v>
      </c>
      <c r="D619" s="12" t="str">
        <f t="shared" si="1"/>
        <v>Uvi_Wig_Spell_X_Dint_SG_haircoolsims89,XingHDT-SMPWigs\Human\Female\Xing_SGHaircoolsims89_Human_Female</v>
      </c>
    </row>
    <row r="620">
      <c r="B620" s="12" t="str">
        <f>IFERROR(__xludf.DUMMYFUNCTION("""COMPUTED_VALUE"""),"Uvi_Wig_Spell_X_Dint_SG_hairpg4385")</f>
        <v>Uvi_Wig_Spell_X_Dint_SG_hairpg4385</v>
      </c>
      <c r="C620" s="12" t="str">
        <f>IFERROR(__xludf.DUMMYFUNCTION("IF($B620="""","""",SUBSTITUTE(SUBSTITUTE(SUBSTITUTE(SUBSTITUTE(INDEX(Hairstyles!$A:$A,MATCH($B620,Hairstyles!$F:$F,0)),"" "",""""),""'"",""""),""("",""""),"")"","""")&amp;""\""&amp;INDEX(SPLIT($A$2,""_""),1)&amp;""\""&amp;INDEX(SPLIT($A$2,""_""),2)&amp;""\""&amp;SUBSTITUTE(SUBST"&amp;"ITUTE(SUBSTITUTE(SUBSTITUTE(SUBSTITUTE(INDEX(Hairstyles!$C:$C,MATCH($B620,Hairstyles!$F:$F,0)),"" "",""""),""'"",""""),""("",""""),"")"",""""),""-"",""_"")&amp;""_""&amp;$A$2)"),"XingHDT-SMPWigs\Human\Female\Xing_SGhairpg4385_Human_Female")</f>
        <v>XingHDT-SMPWigs\Human\Female\Xing_SGhairpg4385_Human_Female</v>
      </c>
      <c r="D620" s="12" t="str">
        <f t="shared" si="1"/>
        <v>Uvi_Wig_Spell_X_Dint_SG_hairpg4385,XingHDT-SMPWigs\Human\Female\Xing_SGhairpg4385_Human_Female</v>
      </c>
    </row>
    <row r="621">
      <c r="B621" s="12" t="str">
        <f>IFERROR(__xludf.DUMMYFUNCTION("""COMPUTED_VALUE"""),"Uvi_Wig_Spell_X_Dint_SG_hairlovelution")</f>
        <v>Uvi_Wig_Spell_X_Dint_SG_hairlovelution</v>
      </c>
      <c r="C621" s="12" t="str">
        <f>IFERROR(__xludf.DUMMYFUNCTION("IF($B621="""","""",SUBSTITUTE(SUBSTITUTE(SUBSTITUTE(SUBSTITUTE(INDEX(Hairstyles!$A:$A,MATCH($B621,Hairstyles!$F:$F,0)),"" "",""""),""'"",""""),""("",""""),"")"","""")&amp;""\""&amp;INDEX(SPLIT($A$2,""_""),1)&amp;""\""&amp;INDEX(SPLIT($A$2,""_""),2)&amp;""\""&amp;SUBSTITUTE(SUBST"&amp;"ITUTE(SUBSTITUTE(SUBSTITUTE(SUBSTITUTE(INDEX(Hairstyles!$C:$C,MATCH($B621,Hairstyles!$F:$F,0)),"" "",""""),""'"",""""),""("",""""),"")"",""""),""-"",""_"")&amp;""_""&amp;$A$2)"),"XingHDT-SMPWigs\Human\Female\Xing_SGLovelution_Human_Female")</f>
        <v>XingHDT-SMPWigs\Human\Female\Xing_SGLovelution_Human_Female</v>
      </c>
      <c r="D621" s="12" t="str">
        <f t="shared" si="1"/>
        <v>Uvi_Wig_Spell_X_Dint_SG_hairlovelution,XingHDT-SMPWigs\Human\Female\Xing_SGLovelution_Human_Female</v>
      </c>
    </row>
    <row r="622">
      <c r="B622" s="12" t="str">
        <f>IFERROR(__xludf.DUMMYFUNCTION("""COMPUTED_VALUE"""),"Uvi_Wig_Spell_X_Dint_SG_Misa")</f>
        <v>Uvi_Wig_Spell_X_Dint_SG_Misa</v>
      </c>
      <c r="C622" s="12" t="str">
        <f>IFERROR(__xludf.DUMMYFUNCTION("IF($B622="""","""",SUBSTITUTE(SUBSTITUTE(SUBSTITUTE(SUBSTITUTE(INDEX(Hairstyles!$A:$A,MATCH($B622,Hairstyles!$F:$F,0)),"" "",""""),""'"",""""),""("",""""),"")"","""")&amp;""\""&amp;INDEX(SPLIT($A$2,""_""),1)&amp;""\""&amp;INDEX(SPLIT($A$2,""_""),2)&amp;""\""&amp;SUBSTITUTE(SUBST"&amp;"ITUTE(SUBSTITUTE(SUBSTITUTE(SUBSTITUTE(INDEX(Hairstyles!$C:$C,MATCH($B622,Hairstyles!$F:$F,0)),"" "",""""),""'"",""""),""("",""""),"")"",""""),""-"",""_"")&amp;""_""&amp;$A$2)"),"XingHDT-SMPWigs\Human\Female\Xing_SGMisa_Human_Female")</f>
        <v>XingHDT-SMPWigs\Human\Female\Xing_SGMisa_Human_Female</v>
      </c>
      <c r="D622" s="12" t="str">
        <f t="shared" si="1"/>
        <v>Uvi_Wig_Spell_X_Dint_SG_Misa,XingHDT-SMPWigs\Human\Female\Xing_SGMisa_Human_Female</v>
      </c>
    </row>
    <row r="623">
      <c r="B623" s="12" t="str">
        <f>IFERROR(__xludf.DUMMYFUNCTION("""COMPUTED_VALUE"""),"Uvi_Wig_Spell_X_Dint_SG_Misa2")</f>
        <v>Uvi_Wig_Spell_X_Dint_SG_Misa2</v>
      </c>
      <c r="C623" s="12" t="str">
        <f>IFERROR(__xludf.DUMMYFUNCTION("IF($B623="""","""",SUBSTITUTE(SUBSTITUTE(SUBSTITUTE(SUBSTITUTE(INDEX(Hairstyles!$A:$A,MATCH($B623,Hairstyles!$F:$F,0)),"" "",""""),""'"",""""),""("",""""),"")"","""")&amp;""\""&amp;INDEX(SPLIT($A$2,""_""),1)&amp;""\""&amp;INDEX(SPLIT($A$2,""_""),2)&amp;""\""&amp;SUBSTITUTE(SUBST"&amp;"ITUTE(SUBSTITUTE(SUBSTITUTE(SUBSTITUTE(INDEX(Hairstyles!$C:$C,MATCH($B623,Hairstyles!$F:$F,0)),"" "",""""),""'"",""""),""("",""""),"")"",""""),""-"",""_"")&amp;""_""&amp;$A$2)"),"XingHDT-SMPWigs\Human\Female\Xing_SGMisa2_Human_Female")</f>
        <v>XingHDT-SMPWigs\Human\Female\Xing_SGMisa2_Human_Female</v>
      </c>
      <c r="D623" s="12" t="str">
        <f t="shared" si="1"/>
        <v>Uvi_Wig_Spell_X_Dint_SG_Misa2,XingHDT-SMPWigs\Human\Female\Xing_SGMisa2_Human_Female</v>
      </c>
    </row>
    <row r="624">
      <c r="B624" s="12" t="str">
        <f>IFERROR(__xludf.DUMMYFUNCTION("""COMPUTED_VALUE"""),"Uvi_Wig_Spell_X_Dint_SG_hairsidebraids")</f>
        <v>Uvi_Wig_Spell_X_Dint_SG_hairsidebraids</v>
      </c>
      <c r="C624" s="12" t="str">
        <f>IFERROR(__xludf.DUMMYFUNCTION("IF($B624="""","""",SUBSTITUTE(SUBSTITUTE(SUBSTITUTE(SUBSTITUTE(INDEX(Hairstyles!$A:$A,MATCH($B624,Hairstyles!$F:$F,0)),"" "",""""),""'"",""""),""("",""""),"")"","""")&amp;""\""&amp;INDEX(SPLIT($A$2,""_""),1)&amp;""\""&amp;INDEX(SPLIT($A$2,""_""),2)&amp;""\""&amp;SUBSTITUTE(SUBST"&amp;"ITUTE(SUBSTITUTE(SUBSTITUTE(SUBSTITUTE(INDEX(Hairstyles!$C:$C,MATCH($B624,Hairstyles!$F:$F,0)),"" "",""""),""'"",""""),""("",""""),"")"",""""),""-"",""_"")&amp;""_""&amp;$A$2)"),"XingHDT-SMPWigs\Human\Female\Xing_SGSidebraids_Human_Female")</f>
        <v>XingHDT-SMPWigs\Human\Female\Xing_SGSidebraids_Human_Female</v>
      </c>
      <c r="D624" s="12" t="str">
        <f t="shared" si="1"/>
        <v>Uvi_Wig_Spell_X_Dint_SG_hairsidebraids,XingHDT-SMPWigs\Human\Female\Xing_SGSidebraids_Human_Female</v>
      </c>
    </row>
    <row r="625">
      <c r="B625" s="12" t="str">
        <f>IFERROR(__xludf.DUMMYFUNCTION("""COMPUTED_VALUE"""),"Uvi_Wig_Spell_X_Dint_SG_hairWildsoul")</f>
        <v>Uvi_Wig_Spell_X_Dint_SG_hairWildsoul</v>
      </c>
      <c r="C625" s="12" t="str">
        <f>IFERROR(__xludf.DUMMYFUNCTION("IF($B625="""","""",SUBSTITUTE(SUBSTITUTE(SUBSTITUTE(SUBSTITUTE(INDEX(Hairstyles!$A:$A,MATCH($B625,Hairstyles!$F:$F,0)),"" "",""""),""'"",""""),""("",""""),"")"","""")&amp;""\""&amp;INDEX(SPLIT($A$2,""_""),1)&amp;""\""&amp;INDEX(SPLIT($A$2,""_""),2)&amp;""\""&amp;SUBSTITUTE(SUBST"&amp;"ITUTE(SUBSTITUTE(SUBSTITUTE(SUBSTITUTE(INDEX(Hairstyles!$C:$C,MATCH($B625,Hairstyles!$F:$F,0)),"" "",""""),""'"",""""),""("",""""),"")"",""""),""-"",""_"")&amp;""_""&amp;$A$2)"),"XingHDT-SMPWigs\Human\Female\Xing_SGWildsoul_Human_Female")</f>
        <v>XingHDT-SMPWigs\Human\Female\Xing_SGWildsoul_Human_Female</v>
      </c>
      <c r="D625" s="12" t="str">
        <f t="shared" si="1"/>
        <v>Uvi_Wig_Spell_X_Dint_SG_hairWildsoul,XingHDT-SMPWigs\Human\Female\Xing_SGWildsoul_Human_Female</v>
      </c>
    </row>
    <row r="626">
      <c r="C626" s="12" t="str">
        <f>IFERROR(__xludf.DUMMYFUNCTION("IF($B626="""","""",SUBSTITUTE(SUBSTITUTE(SUBSTITUTE(SUBSTITUTE(INDEX(Hairstyles!$A:$A,MATCH($B626,Hairstyles!$F:$F,0)),"" "",""""),""'"",""""),""("",""""),"")"","""")&amp;""\""&amp;INDEX(SPLIT($A$2,""_""),1)&amp;""\""&amp;INDEX(SPLIT($A$2,""_""),2)&amp;""\""&amp;SUBSTITUTE(SUBST"&amp;"ITUTE(SUBSTITUTE(SUBSTITUTE(SUBSTITUTE(INDEX(Hairstyles!$C:$C,MATCH($B626,Hairstyles!$F:$F,0)),"" "",""""),""'"",""""),""("",""""),"")"",""""),""-"",""_"")&amp;""_""&amp;$A$2)"),"")</f>
        <v/>
      </c>
      <c r="D626" s="12" t="str">
        <f t="shared" si="1"/>
        <v/>
      </c>
    </row>
    <row r="627">
      <c r="C627" s="12" t="str">
        <f>IFERROR(__xludf.DUMMYFUNCTION("IF($B627="""","""",SUBSTITUTE(SUBSTITUTE(SUBSTITUTE(SUBSTITUTE(INDEX(Hairstyles!$A:$A,MATCH($B627,Hairstyles!$F:$F,0)),"" "",""""),""'"",""""),""("",""""),"")"","""")&amp;""\""&amp;INDEX(SPLIT($A$2,""_""),1)&amp;""\""&amp;INDEX(SPLIT($A$2,""_""),2)&amp;""\""&amp;SUBSTITUTE(SUBST"&amp;"ITUTE(SUBSTITUTE(SUBSTITUTE(SUBSTITUTE(INDEX(Hairstyles!$C:$C,MATCH($B627,Hairstyles!$F:$F,0)),"" "",""""),""'"",""""),""("",""""),"")"",""""),""-"",""_"")&amp;""_""&amp;$A$2)"),"")</f>
        <v/>
      </c>
      <c r="D627" s="12" t="str">
        <f t="shared" si="1"/>
        <v/>
      </c>
    </row>
    <row r="628">
      <c r="C628" s="12" t="str">
        <f>IFERROR(__xludf.DUMMYFUNCTION("IF($B628="""","""",SUBSTITUTE(SUBSTITUTE(SUBSTITUTE(SUBSTITUTE(INDEX(Hairstyles!$A:$A,MATCH($B628,Hairstyles!$F:$F,0)),"" "",""""),""'"",""""),""("",""""),"")"","""")&amp;""\""&amp;INDEX(SPLIT($A$2,""_""),1)&amp;""\""&amp;INDEX(SPLIT($A$2,""_""),2)&amp;""\""&amp;SUBSTITUTE(SUBST"&amp;"ITUTE(SUBSTITUTE(SUBSTITUTE(SUBSTITUTE(INDEX(Hairstyles!$C:$C,MATCH($B628,Hairstyles!$F:$F,0)),"" "",""""),""'"",""""),""("",""""),"")"",""""),""-"",""_"")&amp;""_""&amp;$A$2)"),"")</f>
        <v/>
      </c>
      <c r="D628" s="12" t="str">
        <f t="shared" si="1"/>
        <v/>
      </c>
    </row>
    <row r="629">
      <c r="C629" s="12" t="str">
        <f>IFERROR(__xludf.DUMMYFUNCTION("IF($B629="""","""",SUBSTITUTE(SUBSTITUTE(SUBSTITUTE(SUBSTITUTE(INDEX(Hairstyles!$A:$A,MATCH($B629,Hairstyles!$F:$F,0)),"" "",""""),""'"",""""),""("",""""),"")"","""")&amp;""\""&amp;INDEX(SPLIT($A$2,""_""),1)&amp;""\""&amp;INDEX(SPLIT($A$2,""_""),2)&amp;""\""&amp;SUBSTITUTE(SUBST"&amp;"ITUTE(SUBSTITUTE(SUBSTITUTE(SUBSTITUTE(INDEX(Hairstyles!$C:$C,MATCH($B629,Hairstyles!$F:$F,0)),"" "",""""),""'"",""""),""("",""""),"")"",""""),""-"",""_"")&amp;""_""&amp;$A$2)"),"")</f>
        <v/>
      </c>
      <c r="D629" s="12" t="str">
        <f t="shared" si="1"/>
        <v/>
      </c>
    </row>
    <row r="630">
      <c r="C630" s="12" t="str">
        <f>IFERROR(__xludf.DUMMYFUNCTION("IF($B630="""","""",SUBSTITUTE(SUBSTITUTE(SUBSTITUTE(SUBSTITUTE(INDEX(Hairstyles!$A:$A,MATCH($B630,Hairstyles!$F:$F,0)),"" "",""""),""'"",""""),""("",""""),"")"","""")&amp;""\""&amp;INDEX(SPLIT($A$2,""_""),1)&amp;""\""&amp;INDEX(SPLIT($A$2,""_""),2)&amp;""\""&amp;SUBSTITUTE(SUBST"&amp;"ITUTE(SUBSTITUTE(SUBSTITUTE(SUBSTITUTE(INDEX(Hairstyles!$C:$C,MATCH($B630,Hairstyles!$F:$F,0)),"" "",""""),""'"",""""),""("",""""),"")"",""""),""-"",""_"")&amp;""_""&amp;$A$2)"),"")</f>
        <v/>
      </c>
      <c r="D630" s="12" t="str">
        <f t="shared" si="1"/>
        <v/>
      </c>
    </row>
    <row r="631">
      <c r="C631" s="12" t="str">
        <f>IFERROR(__xludf.DUMMYFUNCTION("IF($B631="""","""",SUBSTITUTE(SUBSTITUTE(SUBSTITUTE(SUBSTITUTE(INDEX(Hairstyles!$A:$A,MATCH($B631,Hairstyles!$F:$F,0)),"" "",""""),""'"",""""),""("",""""),"")"","""")&amp;""\""&amp;INDEX(SPLIT($A$2,""_""),1)&amp;""\""&amp;INDEX(SPLIT($A$2,""_""),2)&amp;""\""&amp;SUBSTITUTE(SUBST"&amp;"ITUTE(SUBSTITUTE(SUBSTITUTE(SUBSTITUTE(INDEX(Hairstyles!$C:$C,MATCH($B631,Hairstyles!$F:$F,0)),"" "",""""),""'"",""""),""("",""""),"")"",""""),""-"",""_"")&amp;""_""&amp;$A$2)"),"")</f>
        <v/>
      </c>
      <c r="D631" s="12" t="str">
        <f t="shared" si="1"/>
        <v/>
      </c>
    </row>
    <row r="632">
      <c r="C632" s="12" t="str">
        <f>IFERROR(__xludf.DUMMYFUNCTION("IF($B632="""","""",SUBSTITUTE(SUBSTITUTE(SUBSTITUTE(SUBSTITUTE(INDEX(Hairstyles!$A:$A,MATCH($B632,Hairstyles!$F:$F,0)),"" "",""""),""'"",""""),""("",""""),"")"","""")&amp;""\""&amp;INDEX(SPLIT($A$2,""_""),1)&amp;""\""&amp;INDEX(SPLIT($A$2,""_""),2)&amp;""\""&amp;SUBSTITUTE(SUBST"&amp;"ITUTE(SUBSTITUTE(SUBSTITUTE(SUBSTITUTE(INDEX(Hairstyles!$C:$C,MATCH($B632,Hairstyles!$F:$F,0)),"" "",""""),""'"",""""),""("",""""),"")"",""""),""-"",""_"")&amp;""_""&amp;$A$2)"),"")</f>
        <v/>
      </c>
      <c r="D632" s="12" t="str">
        <f t="shared" si="1"/>
        <v/>
      </c>
    </row>
    <row r="633">
      <c r="C633" s="12" t="str">
        <f>IFERROR(__xludf.DUMMYFUNCTION("IF($B633="""","""",SUBSTITUTE(SUBSTITUTE(SUBSTITUTE(SUBSTITUTE(INDEX(Hairstyles!$A:$A,MATCH($B633,Hairstyles!$F:$F,0)),"" "",""""),""'"",""""),""("",""""),"")"","""")&amp;""\""&amp;INDEX(SPLIT($A$2,""_""),1)&amp;""\""&amp;INDEX(SPLIT($A$2,""_""),2)&amp;""\""&amp;SUBSTITUTE(SUBST"&amp;"ITUTE(SUBSTITUTE(SUBSTITUTE(SUBSTITUTE(INDEX(Hairstyles!$C:$C,MATCH($B633,Hairstyles!$F:$F,0)),"" "",""""),""'"",""""),""("",""""),"")"",""""),""-"",""_"")&amp;""_""&amp;$A$2)"),"")</f>
        <v/>
      </c>
      <c r="D633" s="12" t="str">
        <f t="shared" si="1"/>
        <v/>
      </c>
    </row>
    <row r="634">
      <c r="C634" s="12" t="str">
        <f>IFERROR(__xludf.DUMMYFUNCTION("IF($B634="""","""",SUBSTITUTE(SUBSTITUTE(SUBSTITUTE(SUBSTITUTE(INDEX(Hairstyles!$A:$A,MATCH($B634,Hairstyles!$F:$F,0)),"" "",""""),""'"",""""),""("",""""),"")"","""")&amp;""\""&amp;INDEX(SPLIT($A$2,""_""),1)&amp;""\""&amp;INDEX(SPLIT($A$2,""_""),2)&amp;""\""&amp;SUBSTITUTE(SUBST"&amp;"ITUTE(SUBSTITUTE(SUBSTITUTE(SUBSTITUTE(INDEX(Hairstyles!$C:$C,MATCH($B634,Hairstyles!$F:$F,0)),"" "",""""),""'"",""""),""("",""""),"")"",""""),""-"",""_"")&amp;""_""&amp;$A$2)"),"")</f>
        <v/>
      </c>
      <c r="D634" s="12" t="str">
        <f t="shared" si="1"/>
        <v/>
      </c>
    </row>
    <row r="635">
      <c r="C635" s="12" t="str">
        <f>IFERROR(__xludf.DUMMYFUNCTION("IF($B635="""","""",SUBSTITUTE(SUBSTITUTE(SUBSTITUTE(SUBSTITUTE(INDEX(Hairstyles!$A:$A,MATCH($B635,Hairstyles!$F:$F,0)),"" "",""""),""'"",""""),""("",""""),"")"","""")&amp;""\""&amp;INDEX(SPLIT($A$2,""_""),1)&amp;""\""&amp;INDEX(SPLIT($A$2,""_""),2)&amp;""\""&amp;SUBSTITUTE(SUBST"&amp;"ITUTE(SUBSTITUTE(SUBSTITUTE(SUBSTITUTE(INDEX(Hairstyles!$C:$C,MATCH($B635,Hairstyles!$F:$F,0)),"" "",""""),""'"",""""),""("",""""),"")"",""""),""-"",""_"")&amp;""_""&amp;$A$2)"),"")</f>
        <v/>
      </c>
      <c r="D635" s="12" t="str">
        <f t="shared" si="1"/>
        <v/>
      </c>
    </row>
    <row r="636">
      <c r="C636" s="12" t="str">
        <f>IFERROR(__xludf.DUMMYFUNCTION("IF($B636="""","""",SUBSTITUTE(SUBSTITUTE(SUBSTITUTE(SUBSTITUTE(INDEX(Hairstyles!$A:$A,MATCH($B636,Hairstyles!$F:$F,0)),"" "",""""),""'"",""""),""("",""""),"")"","""")&amp;""\""&amp;INDEX(SPLIT($A$2,""_""),1)&amp;""\""&amp;INDEX(SPLIT($A$2,""_""),2)&amp;""\""&amp;SUBSTITUTE(SUBST"&amp;"ITUTE(SUBSTITUTE(SUBSTITUTE(SUBSTITUTE(INDEX(Hairstyles!$C:$C,MATCH($B636,Hairstyles!$F:$F,0)),"" "",""""),""'"",""""),""("",""""),"")"",""""),""-"",""_"")&amp;""_""&amp;$A$2)"),"")</f>
        <v/>
      </c>
      <c r="D636" s="12" t="str">
        <f t="shared" si="1"/>
        <v/>
      </c>
    </row>
    <row r="637">
      <c r="C637" s="12" t="str">
        <f>IFERROR(__xludf.DUMMYFUNCTION("IF($B637="""","""",SUBSTITUTE(SUBSTITUTE(SUBSTITUTE(SUBSTITUTE(INDEX(Hairstyles!$A:$A,MATCH($B637,Hairstyles!$F:$F,0)),"" "",""""),""'"",""""),""("",""""),"")"","""")&amp;""\""&amp;INDEX(SPLIT($A$2,""_""),1)&amp;""\""&amp;INDEX(SPLIT($A$2,""_""),2)&amp;""\""&amp;SUBSTITUTE(SUBST"&amp;"ITUTE(SUBSTITUTE(SUBSTITUTE(SUBSTITUTE(INDEX(Hairstyles!$C:$C,MATCH($B637,Hairstyles!$F:$F,0)),"" "",""""),""'"",""""),""("",""""),"")"",""""),""-"",""_"")&amp;""_""&amp;$A$2)"),"")</f>
        <v/>
      </c>
      <c r="D637" s="12" t="str">
        <f t="shared" si="1"/>
        <v/>
      </c>
    </row>
    <row r="638">
      <c r="C638" s="12" t="str">
        <f>IFERROR(__xludf.DUMMYFUNCTION("IF($B638="""","""",SUBSTITUTE(SUBSTITUTE(SUBSTITUTE(SUBSTITUTE(INDEX(Hairstyles!$A:$A,MATCH($B638,Hairstyles!$F:$F,0)),"" "",""""),""'"",""""),""("",""""),"")"","""")&amp;""\""&amp;INDEX(SPLIT($A$2,""_""),1)&amp;""\""&amp;INDEX(SPLIT($A$2,""_""),2)&amp;""\""&amp;SUBSTITUTE(SUBST"&amp;"ITUTE(SUBSTITUTE(SUBSTITUTE(SUBSTITUTE(INDEX(Hairstyles!$C:$C,MATCH($B638,Hairstyles!$F:$F,0)),"" "",""""),""'"",""""),""("",""""),"")"",""""),""-"",""_"")&amp;""_""&amp;$A$2)"),"")</f>
        <v/>
      </c>
      <c r="D638" s="12" t="str">
        <f t="shared" si="1"/>
        <v/>
      </c>
    </row>
    <row r="639">
      <c r="C639" s="12" t="str">
        <f>IFERROR(__xludf.DUMMYFUNCTION("IF($B639="""","""",SUBSTITUTE(SUBSTITUTE(SUBSTITUTE(SUBSTITUTE(INDEX(Hairstyles!$A:$A,MATCH($B639,Hairstyles!$F:$F,0)),"" "",""""),""'"",""""),""("",""""),"")"","""")&amp;""\""&amp;INDEX(SPLIT($A$2,""_""),1)&amp;""\""&amp;INDEX(SPLIT($A$2,""_""),2)&amp;""\""&amp;SUBSTITUTE(SUBST"&amp;"ITUTE(SUBSTITUTE(SUBSTITUTE(SUBSTITUTE(INDEX(Hairstyles!$C:$C,MATCH($B639,Hairstyles!$F:$F,0)),"" "",""""),""'"",""""),""("",""""),"")"",""""),""-"",""_"")&amp;""_""&amp;$A$2)"),"")</f>
        <v/>
      </c>
      <c r="D639" s="12" t="str">
        <f t="shared" si="1"/>
        <v/>
      </c>
    </row>
    <row r="640">
      <c r="C640" s="12" t="str">
        <f>IFERROR(__xludf.DUMMYFUNCTION("IF($B640="""","""",SUBSTITUTE(SUBSTITUTE(SUBSTITUTE(SUBSTITUTE(INDEX(Hairstyles!$A:$A,MATCH($B640,Hairstyles!$F:$F,0)),"" "",""""),""'"",""""),""("",""""),"")"","""")&amp;""\""&amp;INDEX(SPLIT($A$2,""_""),1)&amp;""\""&amp;INDEX(SPLIT($A$2,""_""),2)&amp;""\""&amp;SUBSTITUTE(SUBST"&amp;"ITUTE(SUBSTITUTE(SUBSTITUTE(SUBSTITUTE(INDEX(Hairstyles!$C:$C,MATCH($B640,Hairstyles!$F:$F,0)),"" "",""""),""'"",""""),""("",""""),"")"",""""),""-"",""_"")&amp;""_""&amp;$A$2)"),"")</f>
        <v/>
      </c>
      <c r="D640" s="12" t="str">
        <f t="shared" si="1"/>
        <v/>
      </c>
    </row>
    <row r="641">
      <c r="C641" s="12" t="str">
        <f>IFERROR(__xludf.DUMMYFUNCTION("IF($B641="""","""",SUBSTITUTE(SUBSTITUTE(SUBSTITUTE(SUBSTITUTE(INDEX(Hairstyles!$A:$A,MATCH($B641,Hairstyles!$F:$F,0)),"" "",""""),""'"",""""),""("",""""),"")"","""")&amp;""\""&amp;INDEX(SPLIT($A$2,""_""),1)&amp;""\""&amp;INDEX(SPLIT($A$2,""_""),2)&amp;""\""&amp;SUBSTITUTE(SUBST"&amp;"ITUTE(SUBSTITUTE(SUBSTITUTE(SUBSTITUTE(INDEX(Hairstyles!$C:$C,MATCH($B641,Hairstyles!$F:$F,0)),"" "",""""),""'"",""""),""("",""""),"")"",""""),""-"",""_"")&amp;""_""&amp;$A$2)"),"")</f>
        <v/>
      </c>
      <c r="D641" s="12" t="str">
        <f t="shared" si="1"/>
        <v/>
      </c>
    </row>
    <row r="642">
      <c r="C642" s="12" t="str">
        <f>IFERROR(__xludf.DUMMYFUNCTION("IF($B642="""","""",SUBSTITUTE(SUBSTITUTE(SUBSTITUTE(SUBSTITUTE(INDEX(Hairstyles!$A:$A,MATCH($B642,Hairstyles!$F:$F,0)),"" "",""""),""'"",""""),""("",""""),"")"","""")&amp;""\""&amp;INDEX(SPLIT($A$2,""_""),1)&amp;""\""&amp;INDEX(SPLIT($A$2,""_""),2)&amp;""\""&amp;SUBSTITUTE(SUBST"&amp;"ITUTE(SUBSTITUTE(SUBSTITUTE(SUBSTITUTE(INDEX(Hairstyles!$C:$C,MATCH($B642,Hairstyles!$F:$F,0)),"" "",""""),""'"",""""),""("",""""),"")"",""""),""-"",""_"")&amp;""_""&amp;$A$2)"),"")</f>
        <v/>
      </c>
      <c r="D642" s="12" t="str">
        <f t="shared" si="1"/>
        <v/>
      </c>
    </row>
    <row r="643">
      <c r="C643" s="12" t="str">
        <f>IFERROR(__xludf.DUMMYFUNCTION("IF($B643="""","""",SUBSTITUTE(SUBSTITUTE(SUBSTITUTE(SUBSTITUTE(INDEX(Hairstyles!$A:$A,MATCH($B643,Hairstyles!$F:$F,0)),"" "",""""),""'"",""""),""("",""""),"")"","""")&amp;""\""&amp;INDEX(SPLIT($A$2,""_""),1)&amp;""\""&amp;INDEX(SPLIT($A$2,""_""),2)&amp;""\""&amp;SUBSTITUTE(SUBST"&amp;"ITUTE(SUBSTITUTE(SUBSTITUTE(SUBSTITUTE(INDEX(Hairstyles!$C:$C,MATCH($B643,Hairstyles!$F:$F,0)),"" "",""""),""'"",""""),""("",""""),"")"",""""),""-"",""_"")&amp;""_""&amp;$A$2)"),"")</f>
        <v/>
      </c>
      <c r="D643" s="12" t="str">
        <f t="shared" si="1"/>
        <v/>
      </c>
    </row>
    <row r="644">
      <c r="C644" s="12" t="str">
        <f>IFERROR(__xludf.DUMMYFUNCTION("IF($B644="""","""",SUBSTITUTE(SUBSTITUTE(SUBSTITUTE(SUBSTITUTE(INDEX(Hairstyles!$A:$A,MATCH($B644,Hairstyles!$F:$F,0)),"" "",""""),""'"",""""),""("",""""),"")"","""")&amp;""\""&amp;INDEX(SPLIT($A$2,""_""),1)&amp;""\""&amp;INDEX(SPLIT($A$2,""_""),2)&amp;""\""&amp;SUBSTITUTE(SUBST"&amp;"ITUTE(SUBSTITUTE(SUBSTITUTE(SUBSTITUTE(INDEX(Hairstyles!$C:$C,MATCH($B644,Hairstyles!$F:$F,0)),"" "",""""),""'"",""""),""("",""""),"")"",""""),""-"",""_"")&amp;""_""&amp;$A$2)"),"")</f>
        <v/>
      </c>
      <c r="D644" s="12" t="str">
        <f t="shared" si="1"/>
        <v/>
      </c>
    </row>
    <row r="645">
      <c r="C645" s="12" t="str">
        <f>IFERROR(__xludf.DUMMYFUNCTION("IF($B645="""","""",SUBSTITUTE(SUBSTITUTE(SUBSTITUTE(SUBSTITUTE(INDEX(Hairstyles!$A:$A,MATCH($B645,Hairstyles!$F:$F,0)),"" "",""""),""'"",""""),""("",""""),"")"","""")&amp;""\""&amp;INDEX(SPLIT($A$2,""_""),1)&amp;""\""&amp;INDEX(SPLIT($A$2,""_""),2)&amp;""\""&amp;SUBSTITUTE(SUBST"&amp;"ITUTE(SUBSTITUTE(SUBSTITUTE(SUBSTITUTE(INDEX(Hairstyles!$C:$C,MATCH($B645,Hairstyles!$F:$F,0)),"" "",""""),""'"",""""),""("",""""),"")"",""""),""-"",""_"")&amp;""_""&amp;$A$2)"),"")</f>
        <v/>
      </c>
      <c r="D645" s="12" t="str">
        <f t="shared" si="1"/>
        <v/>
      </c>
    </row>
    <row r="646">
      <c r="C646" s="12" t="str">
        <f>IFERROR(__xludf.DUMMYFUNCTION("IF($B646="""","""",SUBSTITUTE(SUBSTITUTE(SUBSTITUTE(SUBSTITUTE(INDEX(Hairstyles!$A:$A,MATCH($B646,Hairstyles!$F:$F,0)),"" "",""""),""'"",""""),""("",""""),"")"","""")&amp;""\""&amp;INDEX(SPLIT($A$2,""_""),1)&amp;""\""&amp;INDEX(SPLIT($A$2,""_""),2)&amp;""\""&amp;SUBSTITUTE(SUBST"&amp;"ITUTE(SUBSTITUTE(SUBSTITUTE(SUBSTITUTE(INDEX(Hairstyles!$C:$C,MATCH($B646,Hairstyles!$F:$F,0)),"" "",""""),""'"",""""),""("",""""),"")"",""""),""-"",""_"")&amp;""_""&amp;$A$2)"),"")</f>
        <v/>
      </c>
      <c r="D646" s="12" t="str">
        <f t="shared" si="1"/>
        <v/>
      </c>
    </row>
    <row r="647">
      <c r="C647" s="12" t="str">
        <f>IFERROR(__xludf.DUMMYFUNCTION("IF($B647="""","""",SUBSTITUTE(SUBSTITUTE(SUBSTITUTE(SUBSTITUTE(INDEX(Hairstyles!$A:$A,MATCH($B647,Hairstyles!$F:$F,0)),"" "",""""),""'"",""""),""("",""""),"")"","""")&amp;""\""&amp;INDEX(SPLIT($A$2,""_""),1)&amp;""\""&amp;INDEX(SPLIT($A$2,""_""),2)&amp;""\""&amp;SUBSTITUTE(SUBST"&amp;"ITUTE(SUBSTITUTE(SUBSTITUTE(SUBSTITUTE(INDEX(Hairstyles!$C:$C,MATCH($B647,Hairstyles!$F:$F,0)),"" "",""""),""'"",""""),""("",""""),"")"",""""),""-"",""_"")&amp;""_""&amp;$A$2)"),"")</f>
        <v/>
      </c>
      <c r="D647" s="12" t="str">
        <f t="shared" si="1"/>
        <v/>
      </c>
    </row>
    <row r="648">
      <c r="C648" s="12" t="str">
        <f>IFERROR(__xludf.DUMMYFUNCTION("IF($B648="""","""",SUBSTITUTE(SUBSTITUTE(SUBSTITUTE(SUBSTITUTE(INDEX(Hairstyles!$A:$A,MATCH($B648,Hairstyles!$F:$F,0)),"" "",""""),""'"",""""),""("",""""),"")"","""")&amp;""\""&amp;INDEX(SPLIT($A$2,""_""),1)&amp;""\""&amp;INDEX(SPLIT($A$2,""_""),2)&amp;""\""&amp;SUBSTITUTE(SUBST"&amp;"ITUTE(SUBSTITUTE(SUBSTITUTE(SUBSTITUTE(INDEX(Hairstyles!$C:$C,MATCH($B648,Hairstyles!$F:$F,0)),"" "",""""),""'"",""""),""("",""""),"")"",""""),""-"",""_"")&amp;""_""&amp;$A$2)"),"")</f>
        <v/>
      </c>
      <c r="D648" s="12" t="str">
        <f t="shared" si="1"/>
        <v/>
      </c>
    </row>
    <row r="649">
      <c r="C649" s="12" t="str">
        <f>IFERROR(__xludf.DUMMYFUNCTION("IF($B649="""","""",SUBSTITUTE(SUBSTITUTE(SUBSTITUTE(SUBSTITUTE(INDEX(Hairstyles!$A:$A,MATCH($B649,Hairstyles!$F:$F,0)),"" "",""""),""'"",""""),""("",""""),"")"","""")&amp;""\""&amp;INDEX(SPLIT($A$2,""_""),1)&amp;""\""&amp;INDEX(SPLIT($A$2,""_""),2)&amp;""\""&amp;SUBSTITUTE(SUBST"&amp;"ITUTE(SUBSTITUTE(SUBSTITUTE(SUBSTITUTE(INDEX(Hairstyles!$C:$C,MATCH($B649,Hairstyles!$F:$F,0)),"" "",""""),""'"",""""),""("",""""),"")"",""""),""-"",""_"")&amp;""_""&amp;$A$2)"),"")</f>
        <v/>
      </c>
      <c r="D649" s="12" t="str">
        <f t="shared" si="1"/>
        <v/>
      </c>
    </row>
    <row r="650">
      <c r="C650" s="12" t="str">
        <f>IFERROR(__xludf.DUMMYFUNCTION("IF($B650="""","""",SUBSTITUTE(SUBSTITUTE(SUBSTITUTE(SUBSTITUTE(INDEX(Hairstyles!$A:$A,MATCH($B650,Hairstyles!$F:$F,0)),"" "",""""),""'"",""""),""("",""""),"")"","""")&amp;""\""&amp;INDEX(SPLIT($A$2,""_""),1)&amp;""\""&amp;INDEX(SPLIT($A$2,""_""),2)&amp;""\""&amp;SUBSTITUTE(SUBST"&amp;"ITUTE(SUBSTITUTE(SUBSTITUTE(SUBSTITUTE(INDEX(Hairstyles!$C:$C,MATCH($B650,Hairstyles!$F:$F,0)),"" "",""""),""'"",""""),""("",""""),"")"",""""),""-"",""_"")&amp;""_""&amp;$A$2)"),"")</f>
        <v/>
      </c>
      <c r="D650" s="12" t="str">
        <f t="shared" si="1"/>
        <v/>
      </c>
    </row>
    <row r="651">
      <c r="C651" s="12" t="str">
        <f>IFERROR(__xludf.DUMMYFUNCTION("IF($B651="""","""",SUBSTITUTE(SUBSTITUTE(SUBSTITUTE(SUBSTITUTE(INDEX(Hairstyles!$A:$A,MATCH($B651,Hairstyles!$F:$F,0)),"" "",""""),""'"",""""),""("",""""),"")"","""")&amp;""\""&amp;INDEX(SPLIT($A$2,""_""),1)&amp;""\""&amp;INDEX(SPLIT($A$2,""_""),2)&amp;""\""&amp;SUBSTITUTE(SUBST"&amp;"ITUTE(SUBSTITUTE(SUBSTITUTE(SUBSTITUTE(INDEX(Hairstyles!$C:$C,MATCH($B651,Hairstyles!$F:$F,0)),"" "",""""),""'"",""""),""("",""""),"")"",""""),""-"",""_"")&amp;""_""&amp;$A$2)"),"")</f>
        <v/>
      </c>
      <c r="D651" s="12" t="str">
        <f t="shared" si="1"/>
        <v/>
      </c>
    </row>
    <row r="652">
      <c r="C652" s="12" t="str">
        <f>IFERROR(__xludf.DUMMYFUNCTION("IF($B652="""","""",SUBSTITUTE(SUBSTITUTE(SUBSTITUTE(SUBSTITUTE(INDEX(Hairstyles!$A:$A,MATCH($B652,Hairstyles!$F:$F,0)),"" "",""""),""'"",""""),""("",""""),"")"","""")&amp;""\""&amp;INDEX(SPLIT($A$2,""_""),1)&amp;""\""&amp;INDEX(SPLIT($A$2,""_""),2)&amp;""\""&amp;SUBSTITUTE(SUBST"&amp;"ITUTE(SUBSTITUTE(SUBSTITUTE(SUBSTITUTE(INDEX(Hairstyles!$C:$C,MATCH($B652,Hairstyles!$F:$F,0)),"" "",""""),""'"",""""),""("",""""),"")"",""""),""-"",""_"")&amp;""_""&amp;$A$2)"),"")</f>
        <v/>
      </c>
      <c r="D652" s="12" t="str">
        <f t="shared" si="1"/>
        <v/>
      </c>
    </row>
    <row r="653">
      <c r="C653" s="12" t="str">
        <f>IFERROR(__xludf.DUMMYFUNCTION("IF($B653="""","""",SUBSTITUTE(SUBSTITUTE(SUBSTITUTE(SUBSTITUTE(INDEX(Hairstyles!$A:$A,MATCH($B653,Hairstyles!$F:$F,0)),"" "",""""),""'"",""""),""("",""""),"")"","""")&amp;""\""&amp;INDEX(SPLIT($A$2,""_""),1)&amp;""\""&amp;INDEX(SPLIT($A$2,""_""),2)&amp;""\""&amp;SUBSTITUTE(SUBST"&amp;"ITUTE(SUBSTITUTE(SUBSTITUTE(SUBSTITUTE(INDEX(Hairstyles!$C:$C,MATCH($B653,Hairstyles!$F:$F,0)),"" "",""""),""'"",""""),""("",""""),"")"",""""),""-"",""_"")&amp;""_""&amp;$A$2)"),"")</f>
        <v/>
      </c>
      <c r="D653" s="12" t="str">
        <f t="shared" si="1"/>
        <v/>
      </c>
    </row>
    <row r="654">
      <c r="C654" s="12" t="str">
        <f>IFERROR(__xludf.DUMMYFUNCTION("IF($B654="""","""",SUBSTITUTE(SUBSTITUTE(SUBSTITUTE(SUBSTITUTE(INDEX(Hairstyles!$A:$A,MATCH($B654,Hairstyles!$F:$F,0)),"" "",""""),""'"",""""),""("",""""),"")"","""")&amp;""\""&amp;INDEX(SPLIT($A$2,""_""),1)&amp;""\""&amp;INDEX(SPLIT($A$2,""_""),2)&amp;""\""&amp;SUBSTITUTE(SUBST"&amp;"ITUTE(SUBSTITUTE(SUBSTITUTE(SUBSTITUTE(INDEX(Hairstyles!$C:$C,MATCH($B654,Hairstyles!$F:$F,0)),"" "",""""),""'"",""""),""("",""""),"")"",""""),""-"",""_"")&amp;""_""&amp;$A$2)"),"")</f>
        <v/>
      </c>
      <c r="D654" s="12" t="str">
        <f t="shared" si="1"/>
        <v/>
      </c>
    </row>
    <row r="655">
      <c r="C655" s="12" t="str">
        <f>IFERROR(__xludf.DUMMYFUNCTION("IF($B655="""","""",SUBSTITUTE(SUBSTITUTE(SUBSTITUTE(SUBSTITUTE(INDEX(Hairstyles!$A:$A,MATCH($B655,Hairstyles!$F:$F,0)),"" "",""""),""'"",""""),""("",""""),"")"","""")&amp;""\""&amp;INDEX(SPLIT($A$2,""_""),1)&amp;""\""&amp;INDEX(SPLIT($A$2,""_""),2)&amp;""\""&amp;SUBSTITUTE(SUBST"&amp;"ITUTE(SUBSTITUTE(SUBSTITUTE(SUBSTITUTE(INDEX(Hairstyles!$C:$C,MATCH($B655,Hairstyles!$F:$F,0)),"" "",""""),""'"",""""),""("",""""),"")"",""""),""-"",""_"")&amp;""_""&amp;$A$2)"),"")</f>
        <v/>
      </c>
      <c r="D655" s="12" t="str">
        <f t="shared" si="1"/>
        <v/>
      </c>
    </row>
    <row r="656">
      <c r="C656" s="12" t="str">
        <f>IFERROR(__xludf.DUMMYFUNCTION("IF($B656="""","""",SUBSTITUTE(SUBSTITUTE(SUBSTITUTE(SUBSTITUTE(INDEX(Hairstyles!$A:$A,MATCH($B656,Hairstyles!$F:$F,0)),"" "",""""),""'"",""""),""("",""""),"")"","""")&amp;""\""&amp;INDEX(SPLIT($A$2,""_""),1)&amp;""\""&amp;INDEX(SPLIT($A$2,""_""),2)&amp;""\""&amp;SUBSTITUTE(SUBST"&amp;"ITUTE(SUBSTITUTE(SUBSTITUTE(SUBSTITUTE(INDEX(Hairstyles!$C:$C,MATCH($B656,Hairstyles!$F:$F,0)),"" "",""""),""'"",""""),""("",""""),"")"",""""),""-"",""_"")&amp;""_""&amp;$A$2)"),"")</f>
        <v/>
      </c>
      <c r="D656" s="12" t="str">
        <f t="shared" si="1"/>
        <v/>
      </c>
    </row>
    <row r="657">
      <c r="C657" s="12" t="str">
        <f>IFERROR(__xludf.DUMMYFUNCTION("IF($B657="""","""",SUBSTITUTE(SUBSTITUTE(SUBSTITUTE(SUBSTITUTE(INDEX(Hairstyles!$A:$A,MATCH($B657,Hairstyles!$F:$F,0)),"" "",""""),""'"",""""),""("",""""),"")"","""")&amp;""\""&amp;INDEX(SPLIT($A$2,""_""),1)&amp;""\""&amp;INDEX(SPLIT($A$2,""_""),2)&amp;""\""&amp;SUBSTITUTE(SUBST"&amp;"ITUTE(SUBSTITUTE(SUBSTITUTE(SUBSTITUTE(INDEX(Hairstyles!$C:$C,MATCH($B657,Hairstyles!$F:$F,0)),"" "",""""),""'"",""""),""("",""""),"")"",""""),""-"",""_"")&amp;""_""&amp;$A$2)"),"")</f>
        <v/>
      </c>
      <c r="D657" s="12" t="str">
        <f t="shared" si="1"/>
        <v/>
      </c>
    </row>
    <row r="658">
      <c r="C658" s="12" t="str">
        <f>IFERROR(__xludf.DUMMYFUNCTION("IF($B658="""","""",SUBSTITUTE(SUBSTITUTE(SUBSTITUTE(SUBSTITUTE(INDEX(Hairstyles!$A:$A,MATCH($B658,Hairstyles!$F:$F,0)),"" "",""""),""'"",""""),""("",""""),"")"","""")&amp;""\""&amp;INDEX(SPLIT($A$2,""_""),1)&amp;""\""&amp;INDEX(SPLIT($A$2,""_""),2)&amp;""\""&amp;SUBSTITUTE(SUBST"&amp;"ITUTE(SUBSTITUTE(SUBSTITUTE(SUBSTITUTE(INDEX(Hairstyles!$C:$C,MATCH($B658,Hairstyles!$F:$F,0)),"" "",""""),""'"",""""),""("",""""),"")"",""""),""-"",""_"")&amp;""_""&amp;$A$2)"),"")</f>
        <v/>
      </c>
      <c r="D658" s="12" t="str">
        <f t="shared" si="1"/>
        <v/>
      </c>
    </row>
    <row r="659">
      <c r="C659" s="12" t="str">
        <f>IFERROR(__xludf.DUMMYFUNCTION("IF($B659="""","""",SUBSTITUTE(SUBSTITUTE(SUBSTITUTE(SUBSTITUTE(INDEX(Hairstyles!$A:$A,MATCH($B659,Hairstyles!$F:$F,0)),"" "",""""),""'"",""""),""("",""""),"")"","""")&amp;""\""&amp;INDEX(SPLIT($A$2,""_""),1)&amp;""\""&amp;INDEX(SPLIT($A$2,""_""),2)&amp;""\""&amp;SUBSTITUTE(SUBST"&amp;"ITUTE(SUBSTITUTE(SUBSTITUTE(SUBSTITUTE(INDEX(Hairstyles!$C:$C,MATCH($B659,Hairstyles!$F:$F,0)),"" "",""""),""'"",""""),""("",""""),"")"",""""),""-"",""_"")&amp;""_""&amp;$A$2)"),"")</f>
        <v/>
      </c>
      <c r="D659" s="12" t="str">
        <f t="shared" si="1"/>
        <v/>
      </c>
    </row>
    <row r="660">
      <c r="C660" s="12" t="str">
        <f>IFERROR(__xludf.DUMMYFUNCTION("IF($B660="""","""",SUBSTITUTE(SUBSTITUTE(SUBSTITUTE(SUBSTITUTE(INDEX(Hairstyles!$A:$A,MATCH($B660,Hairstyles!$F:$F,0)),"" "",""""),""'"",""""),""("",""""),"")"","""")&amp;""\""&amp;INDEX(SPLIT($A$2,""_""),1)&amp;""\""&amp;INDEX(SPLIT($A$2,""_""),2)&amp;""\""&amp;SUBSTITUTE(SUBST"&amp;"ITUTE(SUBSTITUTE(SUBSTITUTE(SUBSTITUTE(INDEX(Hairstyles!$C:$C,MATCH($B660,Hairstyles!$F:$F,0)),"" "",""""),""'"",""""),""("",""""),"")"",""""),""-"",""_"")&amp;""_""&amp;$A$2)"),"")</f>
        <v/>
      </c>
      <c r="D660" s="12" t="str">
        <f t="shared" si="1"/>
        <v/>
      </c>
    </row>
    <row r="661">
      <c r="C661" s="12" t="str">
        <f>IFERROR(__xludf.DUMMYFUNCTION("IF($B661="""","""",SUBSTITUTE(SUBSTITUTE(SUBSTITUTE(SUBSTITUTE(INDEX(Hairstyles!$A:$A,MATCH($B661,Hairstyles!$F:$F,0)),"" "",""""),""'"",""""),""("",""""),"")"","""")&amp;""\""&amp;INDEX(SPLIT($A$2,""_""),1)&amp;""\""&amp;INDEX(SPLIT($A$2,""_""),2)&amp;""\""&amp;SUBSTITUTE(SUBST"&amp;"ITUTE(SUBSTITUTE(SUBSTITUTE(SUBSTITUTE(INDEX(Hairstyles!$C:$C,MATCH($B661,Hairstyles!$F:$F,0)),"" "",""""),""'"",""""),""("",""""),"")"",""""),""-"",""_"")&amp;""_""&amp;$A$2)"),"")</f>
        <v/>
      </c>
      <c r="D661" s="12" t="str">
        <f t="shared" si="1"/>
        <v/>
      </c>
    </row>
    <row r="662">
      <c r="C662" s="12" t="str">
        <f>IFERROR(__xludf.DUMMYFUNCTION("IF($B662="""","""",SUBSTITUTE(SUBSTITUTE(SUBSTITUTE(SUBSTITUTE(INDEX(Hairstyles!$A:$A,MATCH($B662,Hairstyles!$F:$F,0)),"" "",""""),""'"",""""),""("",""""),"")"","""")&amp;""\""&amp;INDEX(SPLIT($A$2,""_""),1)&amp;""\""&amp;INDEX(SPLIT($A$2,""_""),2)&amp;""\""&amp;SUBSTITUTE(SUBST"&amp;"ITUTE(SUBSTITUTE(SUBSTITUTE(SUBSTITUTE(INDEX(Hairstyles!$C:$C,MATCH($B662,Hairstyles!$F:$F,0)),"" "",""""),""'"",""""),""("",""""),"")"",""""),""-"",""_"")&amp;""_""&amp;$A$2)"),"")</f>
        <v/>
      </c>
      <c r="D662" s="12" t="str">
        <f t="shared" si="1"/>
        <v/>
      </c>
    </row>
    <row r="663">
      <c r="C663" s="12" t="str">
        <f>IFERROR(__xludf.DUMMYFUNCTION("IF($B663="""","""",SUBSTITUTE(SUBSTITUTE(SUBSTITUTE(SUBSTITUTE(INDEX(Hairstyles!$A:$A,MATCH($B663,Hairstyles!$F:$F,0)),"" "",""""),""'"",""""),""("",""""),"")"","""")&amp;""\""&amp;INDEX(SPLIT($A$2,""_""),1)&amp;""\""&amp;INDEX(SPLIT($A$2,""_""),2)&amp;""\""&amp;SUBSTITUTE(SUBST"&amp;"ITUTE(SUBSTITUTE(SUBSTITUTE(SUBSTITUTE(INDEX(Hairstyles!$C:$C,MATCH($B663,Hairstyles!$F:$F,0)),"" "",""""),""'"",""""),""("",""""),"")"",""""),""-"",""_"")&amp;""_""&amp;$A$2)"),"")</f>
        <v/>
      </c>
      <c r="D663" s="12" t="str">
        <f t="shared" si="1"/>
        <v/>
      </c>
    </row>
    <row r="664">
      <c r="C664" s="12" t="str">
        <f>IFERROR(__xludf.DUMMYFUNCTION("IF($B664="""","""",SUBSTITUTE(SUBSTITUTE(SUBSTITUTE(SUBSTITUTE(INDEX(Hairstyles!$A:$A,MATCH($B664,Hairstyles!$F:$F,0)),"" "",""""),""'"",""""),""("",""""),"")"","""")&amp;""\""&amp;INDEX(SPLIT($A$2,""_""),1)&amp;""\""&amp;INDEX(SPLIT($A$2,""_""),2)&amp;""\""&amp;SUBSTITUTE(SUBST"&amp;"ITUTE(SUBSTITUTE(SUBSTITUTE(SUBSTITUTE(INDEX(Hairstyles!$C:$C,MATCH($B664,Hairstyles!$F:$F,0)),"" "",""""),""'"",""""),""("",""""),"")"",""""),""-"",""_"")&amp;""_""&amp;$A$2)"),"")</f>
        <v/>
      </c>
      <c r="D664" s="12" t="str">
        <f t="shared" si="1"/>
        <v/>
      </c>
    </row>
    <row r="665">
      <c r="C665" s="12" t="str">
        <f>IFERROR(__xludf.DUMMYFUNCTION("IF($B665="""","""",SUBSTITUTE(SUBSTITUTE(SUBSTITUTE(SUBSTITUTE(INDEX(Hairstyles!$A:$A,MATCH($B665,Hairstyles!$F:$F,0)),"" "",""""),""'"",""""),""("",""""),"")"","""")&amp;""\""&amp;INDEX(SPLIT($A$2,""_""),1)&amp;""\""&amp;INDEX(SPLIT($A$2,""_""),2)&amp;""\""&amp;SUBSTITUTE(SUBST"&amp;"ITUTE(SUBSTITUTE(SUBSTITUTE(SUBSTITUTE(INDEX(Hairstyles!$C:$C,MATCH($B665,Hairstyles!$F:$F,0)),"" "",""""),""'"",""""),""("",""""),"")"",""""),""-"",""_"")&amp;""_""&amp;$A$2)"),"")</f>
        <v/>
      </c>
      <c r="D665" s="12" t="str">
        <f t="shared" si="1"/>
        <v/>
      </c>
    </row>
    <row r="666">
      <c r="C666" s="12" t="str">
        <f>IFERROR(__xludf.DUMMYFUNCTION("IF($B666="""","""",SUBSTITUTE(SUBSTITUTE(SUBSTITUTE(SUBSTITUTE(INDEX(Hairstyles!$A:$A,MATCH($B666,Hairstyles!$F:$F,0)),"" "",""""),""'"",""""),""("",""""),"")"","""")&amp;""\""&amp;INDEX(SPLIT($A$2,""_""),1)&amp;""\""&amp;INDEX(SPLIT($A$2,""_""),2)&amp;""\""&amp;SUBSTITUTE(SUBST"&amp;"ITUTE(SUBSTITUTE(SUBSTITUTE(SUBSTITUTE(INDEX(Hairstyles!$C:$C,MATCH($B666,Hairstyles!$F:$F,0)),"" "",""""),""'"",""""),""("",""""),"")"",""""),""-"",""_"")&amp;""_""&amp;$A$2)"),"")</f>
        <v/>
      </c>
      <c r="D666" s="12" t="str">
        <f t="shared" si="1"/>
        <v/>
      </c>
    </row>
    <row r="667">
      <c r="C667" s="12" t="str">
        <f>IFERROR(__xludf.DUMMYFUNCTION("IF($B667="""","""",SUBSTITUTE(SUBSTITUTE(SUBSTITUTE(SUBSTITUTE(INDEX(Hairstyles!$A:$A,MATCH($B667,Hairstyles!$F:$F,0)),"" "",""""),""'"",""""),""("",""""),"")"","""")&amp;""\""&amp;INDEX(SPLIT($A$2,""_""),1)&amp;""\""&amp;INDEX(SPLIT($A$2,""_""),2)&amp;""\""&amp;SUBSTITUTE(SUBST"&amp;"ITUTE(SUBSTITUTE(SUBSTITUTE(SUBSTITUTE(INDEX(Hairstyles!$C:$C,MATCH($B667,Hairstyles!$F:$F,0)),"" "",""""),""'"",""""),""("",""""),"")"",""""),""-"",""_"")&amp;""_""&amp;$A$2)"),"")</f>
        <v/>
      </c>
      <c r="D667" s="12" t="str">
        <f t="shared" si="1"/>
        <v/>
      </c>
    </row>
    <row r="668">
      <c r="C668" s="12" t="str">
        <f>IFERROR(__xludf.DUMMYFUNCTION("IF($B668="""","""",SUBSTITUTE(SUBSTITUTE(SUBSTITUTE(SUBSTITUTE(INDEX(Hairstyles!$A:$A,MATCH($B668,Hairstyles!$F:$F,0)),"" "",""""),""'"",""""),""("",""""),"")"","""")&amp;""\""&amp;INDEX(SPLIT($A$2,""_""),1)&amp;""\""&amp;INDEX(SPLIT($A$2,""_""),2)&amp;""\""&amp;SUBSTITUTE(SUBST"&amp;"ITUTE(SUBSTITUTE(SUBSTITUTE(SUBSTITUTE(INDEX(Hairstyles!$C:$C,MATCH($B668,Hairstyles!$F:$F,0)),"" "",""""),""'"",""""),""("",""""),"")"",""""),""-"",""_"")&amp;""_""&amp;$A$2)"),"")</f>
        <v/>
      </c>
      <c r="D668" s="12" t="str">
        <f t="shared" si="1"/>
        <v/>
      </c>
    </row>
    <row r="669">
      <c r="C669" s="12" t="str">
        <f>IFERROR(__xludf.DUMMYFUNCTION("IF($B669="""","""",SUBSTITUTE(SUBSTITUTE(SUBSTITUTE(SUBSTITUTE(INDEX(Hairstyles!$A:$A,MATCH($B669,Hairstyles!$F:$F,0)),"" "",""""),""'"",""""),""("",""""),"")"","""")&amp;""\""&amp;INDEX(SPLIT($A$2,""_""),1)&amp;""\""&amp;INDEX(SPLIT($A$2,""_""),2)&amp;""\""&amp;SUBSTITUTE(SUBST"&amp;"ITUTE(SUBSTITUTE(SUBSTITUTE(SUBSTITUTE(INDEX(Hairstyles!$C:$C,MATCH($B669,Hairstyles!$F:$F,0)),"" "",""""),""'"",""""),""("",""""),"")"",""""),""-"",""_"")&amp;""_""&amp;$A$2)"),"")</f>
        <v/>
      </c>
      <c r="D669" s="12" t="str">
        <f t="shared" si="1"/>
        <v/>
      </c>
    </row>
    <row r="670">
      <c r="C670" s="12" t="str">
        <f>IFERROR(__xludf.DUMMYFUNCTION("IF($B670="""","""",SUBSTITUTE(SUBSTITUTE(SUBSTITUTE(SUBSTITUTE(INDEX(Hairstyles!$A:$A,MATCH($B670,Hairstyles!$F:$F,0)),"" "",""""),""'"",""""),""("",""""),"")"","""")&amp;""\""&amp;INDEX(SPLIT($A$2,""_""),1)&amp;""\""&amp;INDEX(SPLIT($A$2,""_""),2)&amp;""\""&amp;SUBSTITUTE(SUBST"&amp;"ITUTE(SUBSTITUTE(SUBSTITUTE(SUBSTITUTE(INDEX(Hairstyles!$C:$C,MATCH($B670,Hairstyles!$F:$F,0)),"" "",""""),""'"",""""),""("",""""),"")"",""""),""-"",""_"")&amp;""_""&amp;$A$2)"),"")</f>
        <v/>
      </c>
      <c r="D670" s="12" t="str">
        <f t="shared" si="1"/>
        <v/>
      </c>
    </row>
    <row r="671">
      <c r="C671" s="12" t="str">
        <f>IFERROR(__xludf.DUMMYFUNCTION("IF($B671="""","""",SUBSTITUTE(SUBSTITUTE(SUBSTITUTE(SUBSTITUTE(INDEX(Hairstyles!$A:$A,MATCH($B671,Hairstyles!$F:$F,0)),"" "",""""),""'"",""""),""("",""""),"")"","""")&amp;""\""&amp;INDEX(SPLIT($A$2,""_""),1)&amp;""\""&amp;INDEX(SPLIT($A$2,""_""),2)&amp;""\""&amp;SUBSTITUTE(SUBST"&amp;"ITUTE(SUBSTITUTE(SUBSTITUTE(SUBSTITUTE(INDEX(Hairstyles!$C:$C,MATCH($B671,Hairstyles!$F:$F,0)),"" "",""""),""'"",""""),""("",""""),"")"",""""),""-"",""_"")&amp;""_""&amp;$A$2)"),"")</f>
        <v/>
      </c>
      <c r="D671" s="12" t="str">
        <f t="shared" si="1"/>
        <v/>
      </c>
    </row>
    <row r="672">
      <c r="C672" s="12" t="str">
        <f>IFERROR(__xludf.DUMMYFUNCTION("IF($B672="""","""",SUBSTITUTE(SUBSTITUTE(SUBSTITUTE(SUBSTITUTE(INDEX(Hairstyles!$A:$A,MATCH($B672,Hairstyles!$F:$F,0)),"" "",""""),""'"",""""),""("",""""),"")"","""")&amp;""\""&amp;INDEX(SPLIT($A$2,""_""),1)&amp;""\""&amp;INDEX(SPLIT($A$2,""_""),2)&amp;""\""&amp;SUBSTITUTE(SUBST"&amp;"ITUTE(SUBSTITUTE(SUBSTITUTE(SUBSTITUTE(INDEX(Hairstyles!$C:$C,MATCH($B672,Hairstyles!$F:$F,0)),"" "",""""),""'"",""""),""("",""""),"")"",""""),""-"",""_"")&amp;""_""&amp;$A$2)"),"")</f>
        <v/>
      </c>
      <c r="D672" s="12" t="str">
        <f t="shared" si="1"/>
        <v/>
      </c>
    </row>
    <row r="673">
      <c r="C673" s="12" t="str">
        <f>IFERROR(__xludf.DUMMYFUNCTION("IF($B673="""","""",SUBSTITUTE(SUBSTITUTE(SUBSTITUTE(SUBSTITUTE(INDEX(Hairstyles!$A:$A,MATCH($B673,Hairstyles!$F:$F,0)),"" "",""""),""'"",""""),""("",""""),"")"","""")&amp;""\""&amp;INDEX(SPLIT($A$2,""_""),1)&amp;""\""&amp;INDEX(SPLIT($A$2,""_""),2)&amp;""\""&amp;SUBSTITUTE(SUBST"&amp;"ITUTE(SUBSTITUTE(SUBSTITUTE(SUBSTITUTE(INDEX(Hairstyles!$C:$C,MATCH($B673,Hairstyles!$F:$F,0)),"" "",""""),""'"",""""),""("",""""),"")"",""""),""-"",""_"")&amp;""_""&amp;$A$2)"),"")</f>
        <v/>
      </c>
      <c r="D673" s="12" t="str">
        <f t="shared" si="1"/>
        <v/>
      </c>
    </row>
    <row r="674">
      <c r="C674" s="12" t="str">
        <f>IFERROR(__xludf.DUMMYFUNCTION("IF($B674="""","""",SUBSTITUTE(SUBSTITUTE(SUBSTITUTE(SUBSTITUTE(INDEX(Hairstyles!$A:$A,MATCH($B674,Hairstyles!$F:$F,0)),"" "",""""),""'"",""""),""("",""""),"")"","""")&amp;""\""&amp;INDEX(SPLIT($A$2,""_""),1)&amp;""\""&amp;INDEX(SPLIT($A$2,""_""),2)&amp;""\""&amp;SUBSTITUTE(SUBST"&amp;"ITUTE(SUBSTITUTE(SUBSTITUTE(SUBSTITUTE(INDEX(Hairstyles!$C:$C,MATCH($B674,Hairstyles!$F:$F,0)),"" "",""""),""'"",""""),""("",""""),"")"",""""),""-"",""_"")&amp;""_""&amp;$A$2)"),"")</f>
        <v/>
      </c>
      <c r="D674" s="12" t="str">
        <f t="shared" si="1"/>
        <v/>
      </c>
    </row>
    <row r="675">
      <c r="C675" s="12" t="str">
        <f>IFERROR(__xludf.DUMMYFUNCTION("IF($B675="""","""",SUBSTITUTE(SUBSTITUTE(SUBSTITUTE(SUBSTITUTE(INDEX(Hairstyles!$A:$A,MATCH($B675,Hairstyles!$F:$F,0)),"" "",""""),""'"",""""),""("",""""),"")"","""")&amp;""\""&amp;INDEX(SPLIT($A$2,""_""),1)&amp;""\""&amp;INDEX(SPLIT($A$2,""_""),2)&amp;""\""&amp;SUBSTITUTE(SUBST"&amp;"ITUTE(SUBSTITUTE(SUBSTITUTE(SUBSTITUTE(INDEX(Hairstyles!$C:$C,MATCH($B675,Hairstyles!$F:$F,0)),"" "",""""),""'"",""""),""("",""""),"")"",""""),""-"",""_"")&amp;""_""&amp;$A$2)"),"")</f>
        <v/>
      </c>
      <c r="D675" s="12" t="str">
        <f t="shared" si="1"/>
        <v/>
      </c>
    </row>
    <row r="676">
      <c r="C676" s="12" t="str">
        <f>IFERROR(__xludf.DUMMYFUNCTION("IF($B676="""","""",SUBSTITUTE(SUBSTITUTE(SUBSTITUTE(SUBSTITUTE(INDEX(Hairstyles!$A:$A,MATCH($B676,Hairstyles!$F:$F,0)),"" "",""""),""'"",""""),""("",""""),"")"","""")&amp;""\""&amp;INDEX(SPLIT($A$2,""_""),1)&amp;""\""&amp;INDEX(SPLIT($A$2,""_""),2)&amp;""\""&amp;SUBSTITUTE(SUBST"&amp;"ITUTE(SUBSTITUTE(SUBSTITUTE(SUBSTITUTE(INDEX(Hairstyles!$C:$C,MATCH($B676,Hairstyles!$F:$F,0)),"" "",""""),""'"",""""),""("",""""),"")"",""""),""-"",""_"")&amp;""_""&amp;$A$2)"),"")</f>
        <v/>
      </c>
      <c r="D676" s="12" t="str">
        <f t="shared" si="1"/>
        <v/>
      </c>
    </row>
    <row r="677">
      <c r="C677" s="12" t="str">
        <f>IFERROR(__xludf.DUMMYFUNCTION("IF($B677="""","""",SUBSTITUTE(SUBSTITUTE(SUBSTITUTE(SUBSTITUTE(INDEX(Hairstyles!$A:$A,MATCH($B677,Hairstyles!$F:$F,0)),"" "",""""),""'"",""""),""("",""""),"")"","""")&amp;""\""&amp;INDEX(SPLIT($A$2,""_""),1)&amp;""\""&amp;INDEX(SPLIT($A$2,""_""),2)&amp;""\""&amp;SUBSTITUTE(SUBST"&amp;"ITUTE(SUBSTITUTE(SUBSTITUTE(SUBSTITUTE(INDEX(Hairstyles!$C:$C,MATCH($B677,Hairstyles!$F:$F,0)),"" "",""""),""'"",""""),""("",""""),"")"",""""),""-"",""_"")&amp;""_""&amp;$A$2)"),"")</f>
        <v/>
      </c>
      <c r="D677" s="12" t="str">
        <f t="shared" si="1"/>
        <v/>
      </c>
    </row>
    <row r="678">
      <c r="C678" s="12" t="str">
        <f>IFERROR(__xludf.DUMMYFUNCTION("IF($B678="""","""",SUBSTITUTE(SUBSTITUTE(SUBSTITUTE(SUBSTITUTE(INDEX(Hairstyles!$A:$A,MATCH($B678,Hairstyles!$F:$F,0)),"" "",""""),""'"",""""),""("",""""),"")"","""")&amp;""\""&amp;INDEX(SPLIT($A$2,""_""),1)&amp;""\""&amp;INDEX(SPLIT($A$2,""_""),2)&amp;""\""&amp;SUBSTITUTE(SUBST"&amp;"ITUTE(SUBSTITUTE(SUBSTITUTE(SUBSTITUTE(INDEX(Hairstyles!$C:$C,MATCH($B678,Hairstyles!$F:$F,0)),"" "",""""),""'"",""""),""("",""""),"")"",""""),""-"",""_"")&amp;""_""&amp;$A$2)"),"")</f>
        <v/>
      </c>
      <c r="D678" s="12" t="str">
        <f t="shared" si="1"/>
        <v/>
      </c>
    </row>
    <row r="679">
      <c r="C679" s="12" t="str">
        <f>IFERROR(__xludf.DUMMYFUNCTION("IF($B679="""","""",SUBSTITUTE(SUBSTITUTE(SUBSTITUTE(SUBSTITUTE(INDEX(Hairstyles!$A:$A,MATCH($B679,Hairstyles!$F:$F,0)),"" "",""""),""'"",""""),""("",""""),"")"","""")&amp;""\""&amp;INDEX(SPLIT($A$2,""_""),1)&amp;""\""&amp;INDEX(SPLIT($A$2,""_""),2)&amp;""\""&amp;SUBSTITUTE(SUBST"&amp;"ITUTE(SUBSTITUTE(SUBSTITUTE(SUBSTITUTE(INDEX(Hairstyles!$C:$C,MATCH($B679,Hairstyles!$F:$F,0)),"" "",""""),""'"",""""),""("",""""),"")"",""""),""-"",""_"")&amp;""_""&amp;$A$2)"),"")</f>
        <v/>
      </c>
      <c r="D679" s="12" t="str">
        <f t="shared" si="1"/>
        <v/>
      </c>
    </row>
    <row r="680">
      <c r="C680" s="12" t="str">
        <f>IFERROR(__xludf.DUMMYFUNCTION("IF($B680="""","""",SUBSTITUTE(SUBSTITUTE(SUBSTITUTE(SUBSTITUTE(INDEX(Hairstyles!$A:$A,MATCH($B680,Hairstyles!$F:$F,0)),"" "",""""),""'"",""""),""("",""""),"")"","""")&amp;""\""&amp;INDEX(SPLIT($A$2,""_""),1)&amp;""\""&amp;INDEX(SPLIT($A$2,""_""),2)&amp;""\""&amp;SUBSTITUTE(SUBST"&amp;"ITUTE(SUBSTITUTE(SUBSTITUTE(SUBSTITUTE(INDEX(Hairstyles!$C:$C,MATCH($B680,Hairstyles!$F:$F,0)),"" "",""""),""'"",""""),""("",""""),"")"",""""),""-"",""_"")&amp;""_""&amp;$A$2)"),"")</f>
        <v/>
      </c>
      <c r="D680" s="12" t="str">
        <f t="shared" si="1"/>
        <v/>
      </c>
    </row>
    <row r="681">
      <c r="C681" s="12" t="str">
        <f>IFERROR(__xludf.DUMMYFUNCTION("IF($B681="""","""",SUBSTITUTE(SUBSTITUTE(SUBSTITUTE(SUBSTITUTE(INDEX(Hairstyles!$A:$A,MATCH($B681,Hairstyles!$F:$F,0)),"" "",""""),""'"",""""),""("",""""),"")"","""")&amp;""\""&amp;INDEX(SPLIT($A$2,""_""),1)&amp;""\""&amp;INDEX(SPLIT($A$2,""_""),2)&amp;""\""&amp;SUBSTITUTE(SUBST"&amp;"ITUTE(SUBSTITUTE(SUBSTITUTE(SUBSTITUTE(INDEX(Hairstyles!$C:$C,MATCH($B681,Hairstyles!$F:$F,0)),"" "",""""),""'"",""""),""("",""""),"")"",""""),""-"",""_"")&amp;""_""&amp;$A$2)"),"")</f>
        <v/>
      </c>
      <c r="D681" s="12" t="str">
        <f t="shared" si="1"/>
        <v/>
      </c>
    </row>
    <row r="682">
      <c r="C682" s="12" t="str">
        <f>IFERROR(__xludf.DUMMYFUNCTION("IF($B682="""","""",SUBSTITUTE(SUBSTITUTE(SUBSTITUTE(SUBSTITUTE(INDEX(Hairstyles!$A:$A,MATCH($B682,Hairstyles!$F:$F,0)),"" "",""""),""'"",""""),""("",""""),"")"","""")&amp;""\""&amp;INDEX(SPLIT($A$2,""_""),1)&amp;""\""&amp;INDEX(SPLIT($A$2,""_""),2)&amp;""\""&amp;SUBSTITUTE(SUBST"&amp;"ITUTE(SUBSTITUTE(SUBSTITUTE(SUBSTITUTE(INDEX(Hairstyles!$C:$C,MATCH($B682,Hairstyles!$F:$F,0)),"" "",""""),""'"",""""),""("",""""),"")"",""""),""-"",""_"")&amp;""_""&amp;$A$2)"),"")</f>
        <v/>
      </c>
      <c r="D682" s="12" t="str">
        <f t="shared" si="1"/>
        <v/>
      </c>
    </row>
    <row r="683">
      <c r="C683" s="12" t="str">
        <f>IFERROR(__xludf.DUMMYFUNCTION("IF($B683="""","""",SUBSTITUTE(SUBSTITUTE(SUBSTITUTE(SUBSTITUTE(INDEX(Hairstyles!$A:$A,MATCH($B683,Hairstyles!$F:$F,0)),"" "",""""),""'"",""""),""("",""""),"")"","""")&amp;""\""&amp;INDEX(SPLIT($A$2,""_""),1)&amp;""\""&amp;INDEX(SPLIT($A$2,""_""),2)&amp;""\""&amp;SUBSTITUTE(SUBST"&amp;"ITUTE(SUBSTITUTE(SUBSTITUTE(SUBSTITUTE(INDEX(Hairstyles!$C:$C,MATCH($B683,Hairstyles!$F:$F,0)),"" "",""""),""'"",""""),""("",""""),"")"",""""),""-"",""_"")&amp;""_""&amp;$A$2)"),"")</f>
        <v/>
      </c>
      <c r="D683" s="12" t="str">
        <f t="shared" si="1"/>
        <v/>
      </c>
    </row>
    <row r="684">
      <c r="C684" s="12" t="str">
        <f>IFERROR(__xludf.DUMMYFUNCTION("IF($B684="""","""",SUBSTITUTE(SUBSTITUTE(SUBSTITUTE(SUBSTITUTE(INDEX(Hairstyles!$A:$A,MATCH($B684,Hairstyles!$F:$F,0)),"" "",""""),""'"",""""),""("",""""),"")"","""")&amp;""\""&amp;INDEX(SPLIT($A$2,""_""),1)&amp;""\""&amp;INDEX(SPLIT($A$2,""_""),2)&amp;""\""&amp;SUBSTITUTE(SUBST"&amp;"ITUTE(SUBSTITUTE(SUBSTITUTE(SUBSTITUTE(INDEX(Hairstyles!$C:$C,MATCH($B684,Hairstyles!$F:$F,0)),"" "",""""),""'"",""""),""("",""""),"")"",""""),""-"",""_"")&amp;""_""&amp;$A$2)"),"")</f>
        <v/>
      </c>
      <c r="D684" s="12" t="str">
        <f t="shared" si="1"/>
        <v/>
      </c>
    </row>
    <row r="685">
      <c r="C685" s="12" t="str">
        <f>IFERROR(__xludf.DUMMYFUNCTION("IF($B685="""","""",SUBSTITUTE(SUBSTITUTE(SUBSTITUTE(SUBSTITUTE(INDEX(Hairstyles!$A:$A,MATCH($B685,Hairstyles!$F:$F,0)),"" "",""""),""'"",""""),""("",""""),"")"","""")&amp;""\""&amp;INDEX(SPLIT($A$2,""_""),1)&amp;""\""&amp;INDEX(SPLIT($A$2,""_""),2)&amp;""\""&amp;SUBSTITUTE(SUBST"&amp;"ITUTE(SUBSTITUTE(SUBSTITUTE(SUBSTITUTE(INDEX(Hairstyles!$C:$C,MATCH($B685,Hairstyles!$F:$F,0)),"" "",""""),""'"",""""),""("",""""),"")"",""""),""-"",""_"")&amp;""_""&amp;$A$2)"),"")</f>
        <v/>
      </c>
      <c r="D685" s="12" t="str">
        <f t="shared" si="1"/>
        <v/>
      </c>
    </row>
    <row r="686">
      <c r="C686" s="12" t="str">
        <f>IFERROR(__xludf.DUMMYFUNCTION("IF($B686="""","""",SUBSTITUTE(SUBSTITUTE(SUBSTITUTE(SUBSTITUTE(INDEX(Hairstyles!$A:$A,MATCH($B686,Hairstyles!$F:$F,0)),"" "",""""),""'"",""""),""("",""""),"")"","""")&amp;""\""&amp;INDEX(SPLIT($A$2,""_""),1)&amp;""\""&amp;INDEX(SPLIT($A$2,""_""),2)&amp;""\""&amp;SUBSTITUTE(SUBST"&amp;"ITUTE(SUBSTITUTE(SUBSTITUTE(SUBSTITUTE(INDEX(Hairstyles!$C:$C,MATCH($B686,Hairstyles!$F:$F,0)),"" "",""""),""'"",""""),""("",""""),"")"",""""),""-"",""_"")&amp;""_""&amp;$A$2)"),"")</f>
        <v/>
      </c>
      <c r="D686" s="12" t="str">
        <f t="shared" si="1"/>
        <v/>
      </c>
    </row>
    <row r="687">
      <c r="C687" s="12" t="str">
        <f>IFERROR(__xludf.DUMMYFUNCTION("IF($B687="""","""",SUBSTITUTE(SUBSTITUTE(SUBSTITUTE(SUBSTITUTE(INDEX(Hairstyles!$A:$A,MATCH($B687,Hairstyles!$F:$F,0)),"" "",""""),""'"",""""),""("",""""),"")"","""")&amp;""\""&amp;INDEX(SPLIT($A$2,""_""),1)&amp;""\""&amp;INDEX(SPLIT($A$2,""_""),2)&amp;""\""&amp;SUBSTITUTE(SUBST"&amp;"ITUTE(SUBSTITUTE(SUBSTITUTE(SUBSTITUTE(INDEX(Hairstyles!$C:$C,MATCH($B687,Hairstyles!$F:$F,0)),"" "",""""),""'"",""""),""("",""""),"")"",""""),""-"",""_"")&amp;""_""&amp;$A$2)"),"")</f>
        <v/>
      </c>
      <c r="D687" s="12" t="str">
        <f t="shared" si="1"/>
        <v/>
      </c>
    </row>
    <row r="688">
      <c r="C688" s="12" t="str">
        <f>IFERROR(__xludf.DUMMYFUNCTION("IF($B688="""","""",SUBSTITUTE(SUBSTITUTE(SUBSTITUTE(SUBSTITUTE(INDEX(Hairstyles!$A:$A,MATCH($B688,Hairstyles!$F:$F,0)),"" "",""""),""'"",""""),""("",""""),"")"","""")&amp;""\""&amp;INDEX(SPLIT($A$2,""_""),1)&amp;""\""&amp;INDEX(SPLIT($A$2,""_""),2)&amp;""\""&amp;SUBSTITUTE(SUBST"&amp;"ITUTE(SUBSTITUTE(SUBSTITUTE(SUBSTITUTE(INDEX(Hairstyles!$C:$C,MATCH($B688,Hairstyles!$F:$F,0)),"" "",""""),""'"",""""),""("",""""),"")"",""""),""-"",""_"")&amp;""_""&amp;$A$2)"),"")</f>
        <v/>
      </c>
      <c r="D688" s="12" t="str">
        <f t="shared" si="1"/>
        <v/>
      </c>
    </row>
    <row r="689">
      <c r="C689" s="12" t="str">
        <f>IFERROR(__xludf.DUMMYFUNCTION("IF($B689="""","""",SUBSTITUTE(SUBSTITUTE(SUBSTITUTE(SUBSTITUTE(INDEX(Hairstyles!$A:$A,MATCH($B689,Hairstyles!$F:$F,0)),"" "",""""),""'"",""""),""("",""""),"")"","""")&amp;""\""&amp;INDEX(SPLIT($A$2,""_""),1)&amp;""\""&amp;INDEX(SPLIT($A$2,""_""),2)&amp;""\""&amp;SUBSTITUTE(SUBST"&amp;"ITUTE(SUBSTITUTE(SUBSTITUTE(SUBSTITUTE(INDEX(Hairstyles!$C:$C,MATCH($B689,Hairstyles!$F:$F,0)),"" "",""""),""'"",""""),""("",""""),"")"",""""),""-"",""_"")&amp;""_""&amp;$A$2)"),"")</f>
        <v/>
      </c>
      <c r="D689" s="12" t="str">
        <f t="shared" si="1"/>
        <v/>
      </c>
    </row>
    <row r="690">
      <c r="C690" s="12" t="str">
        <f>IFERROR(__xludf.DUMMYFUNCTION("IF($B690="""","""",SUBSTITUTE(SUBSTITUTE(SUBSTITUTE(SUBSTITUTE(INDEX(Hairstyles!$A:$A,MATCH($B690,Hairstyles!$F:$F,0)),"" "",""""),""'"",""""),""("",""""),"")"","""")&amp;""\""&amp;INDEX(SPLIT($A$2,""_""),1)&amp;""\""&amp;INDEX(SPLIT($A$2,""_""),2)&amp;""\""&amp;SUBSTITUTE(SUBST"&amp;"ITUTE(SUBSTITUTE(SUBSTITUTE(SUBSTITUTE(INDEX(Hairstyles!$C:$C,MATCH($B690,Hairstyles!$F:$F,0)),"" "",""""),""'"",""""),""("",""""),"")"",""""),""-"",""_"")&amp;""_""&amp;$A$2)"),"")</f>
        <v/>
      </c>
      <c r="D690" s="12" t="str">
        <f t="shared" si="1"/>
        <v/>
      </c>
    </row>
    <row r="691">
      <c r="C691" s="12" t="str">
        <f>IFERROR(__xludf.DUMMYFUNCTION("IF($B691="""","""",SUBSTITUTE(SUBSTITUTE(SUBSTITUTE(SUBSTITUTE(INDEX(Hairstyles!$A:$A,MATCH($B691,Hairstyles!$F:$F,0)),"" "",""""),""'"",""""),""("",""""),"")"","""")&amp;""\""&amp;INDEX(SPLIT($A$2,""_""),1)&amp;""\""&amp;INDEX(SPLIT($A$2,""_""),2)&amp;""\""&amp;SUBSTITUTE(SUBST"&amp;"ITUTE(SUBSTITUTE(SUBSTITUTE(SUBSTITUTE(INDEX(Hairstyles!$C:$C,MATCH($B691,Hairstyles!$F:$F,0)),"" "",""""),""'"",""""),""("",""""),"")"",""""),""-"",""_"")&amp;""_""&amp;$A$2)"),"")</f>
        <v/>
      </c>
      <c r="D691" s="12" t="str">
        <f t="shared" si="1"/>
        <v/>
      </c>
    </row>
    <row r="692">
      <c r="C692" s="12" t="str">
        <f>IFERROR(__xludf.DUMMYFUNCTION("IF($B692="""","""",SUBSTITUTE(SUBSTITUTE(SUBSTITUTE(SUBSTITUTE(INDEX(Hairstyles!$A:$A,MATCH($B692,Hairstyles!$F:$F,0)),"" "",""""),""'"",""""),""("",""""),"")"","""")&amp;""\""&amp;INDEX(SPLIT($A$2,""_""),1)&amp;""\""&amp;INDEX(SPLIT($A$2,""_""),2)&amp;""\""&amp;SUBSTITUTE(SUBST"&amp;"ITUTE(SUBSTITUTE(SUBSTITUTE(SUBSTITUTE(INDEX(Hairstyles!$C:$C,MATCH($B692,Hairstyles!$F:$F,0)),"" "",""""),""'"",""""),""("",""""),"")"",""""),""-"",""_"")&amp;""_""&amp;$A$2)"),"")</f>
        <v/>
      </c>
      <c r="D692" s="12" t="str">
        <f t="shared" si="1"/>
        <v/>
      </c>
    </row>
    <row r="693">
      <c r="C693" s="12" t="str">
        <f>IFERROR(__xludf.DUMMYFUNCTION("IF($B693="""","""",SUBSTITUTE(SUBSTITUTE(SUBSTITUTE(SUBSTITUTE(INDEX(Hairstyles!$A:$A,MATCH($B693,Hairstyles!$F:$F,0)),"" "",""""),""'"",""""),""("",""""),"")"","""")&amp;""\""&amp;INDEX(SPLIT($A$2,""_""),1)&amp;""\""&amp;INDEX(SPLIT($A$2,""_""),2)&amp;""\""&amp;SUBSTITUTE(SUBST"&amp;"ITUTE(SUBSTITUTE(SUBSTITUTE(SUBSTITUTE(INDEX(Hairstyles!$C:$C,MATCH($B693,Hairstyles!$F:$F,0)),"" "",""""),""'"",""""),""("",""""),"")"",""""),""-"",""_"")&amp;""_""&amp;$A$2)"),"")</f>
        <v/>
      </c>
      <c r="D693" s="12" t="str">
        <f t="shared" si="1"/>
        <v/>
      </c>
    </row>
    <row r="694">
      <c r="C694" s="12" t="str">
        <f>IFERROR(__xludf.DUMMYFUNCTION("IF($B694="""","""",SUBSTITUTE(SUBSTITUTE(SUBSTITUTE(SUBSTITUTE(INDEX(Hairstyles!$A:$A,MATCH($B694,Hairstyles!$F:$F,0)),"" "",""""),""'"",""""),""("",""""),"")"","""")&amp;""\""&amp;INDEX(SPLIT($A$2,""_""),1)&amp;""\""&amp;INDEX(SPLIT($A$2,""_""),2)&amp;""\""&amp;SUBSTITUTE(SUBST"&amp;"ITUTE(SUBSTITUTE(SUBSTITUTE(SUBSTITUTE(INDEX(Hairstyles!$C:$C,MATCH($B694,Hairstyles!$F:$F,0)),"" "",""""),""'"",""""),""("",""""),"")"",""""),""-"",""_"")&amp;""_""&amp;$A$2)"),"")</f>
        <v/>
      </c>
      <c r="D694" s="12" t="str">
        <f t="shared" si="1"/>
        <v/>
      </c>
    </row>
    <row r="695">
      <c r="C695" s="12" t="str">
        <f>IFERROR(__xludf.DUMMYFUNCTION("IF($B695="""","""",SUBSTITUTE(SUBSTITUTE(SUBSTITUTE(SUBSTITUTE(INDEX(Hairstyles!$A:$A,MATCH($B695,Hairstyles!$F:$F,0)),"" "",""""),""'"",""""),""("",""""),"")"","""")&amp;""\""&amp;INDEX(SPLIT($A$2,""_""),1)&amp;""\""&amp;INDEX(SPLIT($A$2,""_""),2)&amp;""\""&amp;SUBSTITUTE(SUBST"&amp;"ITUTE(SUBSTITUTE(SUBSTITUTE(SUBSTITUTE(INDEX(Hairstyles!$C:$C,MATCH($B695,Hairstyles!$F:$F,0)),"" "",""""),""'"",""""),""("",""""),"")"",""""),""-"",""_"")&amp;""_""&amp;$A$2)"),"")</f>
        <v/>
      </c>
      <c r="D695" s="12" t="str">
        <f t="shared" si="1"/>
        <v/>
      </c>
    </row>
    <row r="696">
      <c r="C696" s="12" t="str">
        <f>IFERROR(__xludf.DUMMYFUNCTION("IF($B696="""","""",SUBSTITUTE(SUBSTITUTE(SUBSTITUTE(SUBSTITUTE(INDEX(Hairstyles!$A:$A,MATCH($B696,Hairstyles!$F:$F,0)),"" "",""""),""'"",""""),""("",""""),"")"","""")&amp;""\""&amp;INDEX(SPLIT($A$2,""_""),1)&amp;""\""&amp;INDEX(SPLIT($A$2,""_""),2)&amp;""\""&amp;SUBSTITUTE(SUBST"&amp;"ITUTE(SUBSTITUTE(SUBSTITUTE(SUBSTITUTE(INDEX(Hairstyles!$C:$C,MATCH($B696,Hairstyles!$F:$F,0)),"" "",""""),""'"",""""),""("",""""),"")"",""""),""-"",""_"")&amp;""_""&amp;$A$2)"),"")</f>
        <v/>
      </c>
      <c r="D696" s="12" t="str">
        <f t="shared" si="1"/>
        <v/>
      </c>
    </row>
    <row r="697">
      <c r="C697" s="12" t="str">
        <f>IFERROR(__xludf.DUMMYFUNCTION("IF($B697="""","""",SUBSTITUTE(SUBSTITUTE(SUBSTITUTE(SUBSTITUTE(INDEX(Hairstyles!$A:$A,MATCH($B697,Hairstyles!$F:$F,0)),"" "",""""),""'"",""""),""("",""""),"")"","""")&amp;""\""&amp;INDEX(SPLIT($A$2,""_""),1)&amp;""\""&amp;INDEX(SPLIT($A$2,""_""),2)&amp;""\""&amp;SUBSTITUTE(SUBST"&amp;"ITUTE(SUBSTITUTE(SUBSTITUTE(SUBSTITUTE(INDEX(Hairstyles!$C:$C,MATCH($B697,Hairstyles!$F:$F,0)),"" "",""""),""'"",""""),""("",""""),"")"",""""),""-"",""_"")&amp;""_""&amp;$A$2)"),"")</f>
        <v/>
      </c>
      <c r="D697" s="12" t="str">
        <f t="shared" si="1"/>
        <v/>
      </c>
    </row>
    <row r="698">
      <c r="C698" s="12" t="str">
        <f>IFERROR(__xludf.DUMMYFUNCTION("IF($B698="""","""",SUBSTITUTE(SUBSTITUTE(SUBSTITUTE(SUBSTITUTE(INDEX(Hairstyles!$A:$A,MATCH($B698,Hairstyles!$F:$F,0)),"" "",""""),""'"",""""),""("",""""),"")"","""")&amp;""\""&amp;INDEX(SPLIT($A$2,""_""),1)&amp;""\""&amp;INDEX(SPLIT($A$2,""_""),2)&amp;""\""&amp;SUBSTITUTE(SUBST"&amp;"ITUTE(SUBSTITUTE(SUBSTITUTE(SUBSTITUTE(INDEX(Hairstyles!$C:$C,MATCH($B698,Hairstyles!$F:$F,0)),"" "",""""),""'"",""""),""("",""""),"")"",""""),""-"",""_"")&amp;""_""&amp;$A$2)"),"")</f>
        <v/>
      </c>
      <c r="D698" s="12" t="str">
        <f t="shared" si="1"/>
        <v/>
      </c>
    </row>
    <row r="699">
      <c r="C699" s="12" t="str">
        <f>IFERROR(__xludf.DUMMYFUNCTION("IF($B699="""","""",SUBSTITUTE(SUBSTITUTE(SUBSTITUTE(SUBSTITUTE(INDEX(Hairstyles!$A:$A,MATCH($B699,Hairstyles!$F:$F,0)),"" "",""""),""'"",""""),""("",""""),"")"","""")&amp;""\""&amp;INDEX(SPLIT($A$2,""_""),1)&amp;""\""&amp;INDEX(SPLIT($A$2,""_""),2)&amp;""\""&amp;SUBSTITUTE(SUBST"&amp;"ITUTE(SUBSTITUTE(SUBSTITUTE(SUBSTITUTE(INDEX(Hairstyles!$C:$C,MATCH($B699,Hairstyles!$F:$F,0)),"" "",""""),""'"",""""),""("",""""),"")"",""""),""-"",""_"")&amp;""_""&amp;$A$2)"),"")</f>
        <v/>
      </c>
      <c r="D699" s="12" t="str">
        <f t="shared" si="1"/>
        <v/>
      </c>
    </row>
    <row r="700">
      <c r="C700" s="12" t="str">
        <f>IFERROR(__xludf.DUMMYFUNCTION("IF($B700="""","""",SUBSTITUTE(SUBSTITUTE(SUBSTITUTE(SUBSTITUTE(INDEX(Hairstyles!$A:$A,MATCH($B700,Hairstyles!$F:$F,0)),"" "",""""),""'"",""""),""("",""""),"")"","""")&amp;""\""&amp;INDEX(SPLIT($A$2,""_""),1)&amp;""\""&amp;INDEX(SPLIT($A$2,""_""),2)&amp;""\""&amp;SUBSTITUTE(SUBST"&amp;"ITUTE(SUBSTITUTE(SUBSTITUTE(SUBSTITUTE(INDEX(Hairstyles!$C:$C,MATCH($B700,Hairstyles!$F:$F,0)),"" "",""""),""'"",""""),""("",""""),"")"",""""),""-"",""_"")&amp;""_""&amp;$A$2)"),"")</f>
        <v/>
      </c>
      <c r="D700" s="12" t="str">
        <f t="shared" si="1"/>
        <v/>
      </c>
    </row>
    <row r="701">
      <c r="C701" s="12" t="str">
        <f>IFERROR(__xludf.DUMMYFUNCTION("IF($B701="""","""",SUBSTITUTE(SUBSTITUTE(SUBSTITUTE(SUBSTITUTE(INDEX(Hairstyles!$A:$A,MATCH($B701,Hairstyles!$F:$F,0)),"" "",""""),""'"",""""),""("",""""),"")"","""")&amp;""\""&amp;INDEX(SPLIT($A$2,""_""),1)&amp;""\""&amp;INDEX(SPLIT($A$2,""_""),2)&amp;""\""&amp;SUBSTITUTE(SUBST"&amp;"ITUTE(SUBSTITUTE(SUBSTITUTE(SUBSTITUTE(INDEX(Hairstyles!$C:$C,MATCH($B701,Hairstyles!$F:$F,0)),"" "",""""),""'"",""""),""("",""""),"")"",""""),""-"",""_"")&amp;""_""&amp;$A$2)"),"")</f>
        <v/>
      </c>
      <c r="D701" s="12" t="str">
        <f t="shared" si="1"/>
        <v/>
      </c>
    </row>
    <row r="702">
      <c r="C702" s="12" t="str">
        <f>IFERROR(__xludf.DUMMYFUNCTION("IF($B702="""","""",SUBSTITUTE(SUBSTITUTE(SUBSTITUTE(SUBSTITUTE(INDEX(Hairstyles!$A:$A,MATCH($B702,Hairstyles!$F:$F,0)),"" "",""""),""'"",""""),""("",""""),"")"","""")&amp;""\""&amp;INDEX(SPLIT($A$2,""_""),1)&amp;""\""&amp;INDEX(SPLIT($A$2,""_""),2)&amp;""\""&amp;SUBSTITUTE(SUBST"&amp;"ITUTE(SUBSTITUTE(SUBSTITUTE(SUBSTITUTE(INDEX(Hairstyles!$C:$C,MATCH($B702,Hairstyles!$F:$F,0)),"" "",""""),""'"",""""),""("",""""),"")"",""""),""-"",""_"")&amp;""_""&amp;$A$2)"),"")</f>
        <v/>
      </c>
      <c r="D702" s="12" t="str">
        <f t="shared" si="1"/>
        <v/>
      </c>
    </row>
    <row r="703">
      <c r="C703" s="12" t="str">
        <f>IFERROR(__xludf.DUMMYFUNCTION("IF($B703="""","""",SUBSTITUTE(SUBSTITUTE(SUBSTITUTE(SUBSTITUTE(INDEX(Hairstyles!$A:$A,MATCH($B703,Hairstyles!$F:$F,0)),"" "",""""),""'"",""""),""("",""""),"")"","""")&amp;""\""&amp;INDEX(SPLIT($A$2,""_""),1)&amp;""\""&amp;INDEX(SPLIT($A$2,""_""),2)&amp;""\""&amp;SUBSTITUTE(SUBST"&amp;"ITUTE(SUBSTITUTE(SUBSTITUTE(SUBSTITUTE(INDEX(Hairstyles!$C:$C,MATCH($B703,Hairstyles!$F:$F,0)),"" "",""""),""'"",""""),""("",""""),"")"",""""),""-"",""_"")&amp;""_""&amp;$A$2)"),"")</f>
        <v/>
      </c>
      <c r="D703" s="12" t="str">
        <f t="shared" si="1"/>
        <v/>
      </c>
    </row>
    <row r="704">
      <c r="C704" s="12" t="str">
        <f>IFERROR(__xludf.DUMMYFUNCTION("IF($B704="""","""",SUBSTITUTE(SUBSTITUTE(SUBSTITUTE(SUBSTITUTE(INDEX(Hairstyles!$A:$A,MATCH($B704,Hairstyles!$F:$F,0)),"" "",""""),""'"",""""),""("",""""),"")"","""")&amp;""\""&amp;INDEX(SPLIT($A$2,""_""),1)&amp;""\""&amp;INDEX(SPLIT($A$2,""_""),2)&amp;""\""&amp;SUBSTITUTE(SUBST"&amp;"ITUTE(SUBSTITUTE(SUBSTITUTE(SUBSTITUTE(INDEX(Hairstyles!$C:$C,MATCH($B704,Hairstyles!$F:$F,0)),"" "",""""),""'"",""""),""("",""""),"")"",""""),""-"",""_"")&amp;""_""&amp;$A$2)"),"")</f>
        <v/>
      </c>
      <c r="D704" s="12" t="str">
        <f t="shared" si="1"/>
        <v/>
      </c>
    </row>
    <row r="705">
      <c r="C705" s="12" t="str">
        <f>IFERROR(__xludf.DUMMYFUNCTION("IF($B705="""","""",SUBSTITUTE(SUBSTITUTE(SUBSTITUTE(SUBSTITUTE(INDEX(Hairstyles!$A:$A,MATCH($B705,Hairstyles!$F:$F,0)),"" "",""""),""'"",""""),""("",""""),"")"","""")&amp;""\""&amp;INDEX(SPLIT($A$2,""_""),1)&amp;""\""&amp;INDEX(SPLIT($A$2,""_""),2)&amp;""\""&amp;SUBSTITUTE(SUBST"&amp;"ITUTE(SUBSTITUTE(SUBSTITUTE(SUBSTITUTE(INDEX(Hairstyles!$C:$C,MATCH($B705,Hairstyles!$F:$F,0)),"" "",""""),""'"",""""),""("",""""),"")"",""""),""-"",""_"")&amp;""_""&amp;$A$2)"),"")</f>
        <v/>
      </c>
      <c r="D705" s="12" t="str">
        <f t="shared" si="1"/>
        <v/>
      </c>
    </row>
    <row r="706">
      <c r="C706" s="12" t="str">
        <f>IFERROR(__xludf.DUMMYFUNCTION("IF($B706="""","""",SUBSTITUTE(SUBSTITUTE(SUBSTITUTE(SUBSTITUTE(INDEX(Hairstyles!$A:$A,MATCH($B706,Hairstyles!$F:$F,0)),"" "",""""),""'"",""""),""("",""""),"")"","""")&amp;""\""&amp;INDEX(SPLIT($A$2,""_""),1)&amp;""\""&amp;INDEX(SPLIT($A$2,""_""),2)&amp;""\""&amp;SUBSTITUTE(SUBST"&amp;"ITUTE(SUBSTITUTE(SUBSTITUTE(SUBSTITUTE(INDEX(Hairstyles!$C:$C,MATCH($B706,Hairstyles!$F:$F,0)),"" "",""""),""'"",""""),""("",""""),"")"",""""),""-"",""_"")&amp;""_""&amp;$A$2)"),"")</f>
        <v/>
      </c>
      <c r="D706" s="12" t="str">
        <f t="shared" si="1"/>
        <v/>
      </c>
    </row>
    <row r="707">
      <c r="C707" s="12" t="str">
        <f>IFERROR(__xludf.DUMMYFUNCTION("IF($B707="""","""",SUBSTITUTE(SUBSTITUTE(SUBSTITUTE(SUBSTITUTE(INDEX(Hairstyles!$A:$A,MATCH($B707,Hairstyles!$F:$F,0)),"" "",""""),""'"",""""),""("",""""),"")"","""")&amp;""\""&amp;INDEX(SPLIT($A$2,""_""),1)&amp;""\""&amp;INDEX(SPLIT($A$2,""_""),2)&amp;""\""&amp;SUBSTITUTE(SUBST"&amp;"ITUTE(SUBSTITUTE(SUBSTITUTE(SUBSTITUTE(INDEX(Hairstyles!$C:$C,MATCH($B707,Hairstyles!$F:$F,0)),"" "",""""),""'"",""""),""("",""""),"")"",""""),""-"",""_"")&amp;""_""&amp;$A$2)"),"")</f>
        <v/>
      </c>
      <c r="D707" s="12" t="str">
        <f t="shared" si="1"/>
        <v/>
      </c>
    </row>
    <row r="708">
      <c r="C708" s="12" t="str">
        <f>IFERROR(__xludf.DUMMYFUNCTION("IF($B708="""","""",SUBSTITUTE(SUBSTITUTE(SUBSTITUTE(SUBSTITUTE(INDEX(Hairstyles!$A:$A,MATCH($B708,Hairstyles!$F:$F,0)),"" "",""""),""'"",""""),""("",""""),"")"","""")&amp;""\""&amp;INDEX(SPLIT($A$2,""_""),1)&amp;""\""&amp;INDEX(SPLIT($A$2,""_""),2)&amp;""\""&amp;SUBSTITUTE(SUBST"&amp;"ITUTE(SUBSTITUTE(SUBSTITUTE(SUBSTITUTE(INDEX(Hairstyles!$C:$C,MATCH($B708,Hairstyles!$F:$F,0)),"" "",""""),""'"",""""),""("",""""),"")"",""""),""-"",""_"")&amp;""_""&amp;$A$2)"),"")</f>
        <v/>
      </c>
      <c r="D708" s="12" t="str">
        <f t="shared" si="1"/>
        <v/>
      </c>
    </row>
    <row r="709">
      <c r="C709" s="12" t="str">
        <f>IFERROR(__xludf.DUMMYFUNCTION("IF($B709="""","""",SUBSTITUTE(SUBSTITUTE(SUBSTITUTE(SUBSTITUTE(INDEX(Hairstyles!$A:$A,MATCH($B709,Hairstyles!$F:$F,0)),"" "",""""),""'"",""""),""("",""""),"")"","""")&amp;""\""&amp;INDEX(SPLIT($A$2,""_""),1)&amp;""\""&amp;INDEX(SPLIT($A$2,""_""),2)&amp;""\""&amp;SUBSTITUTE(SUBST"&amp;"ITUTE(SUBSTITUTE(SUBSTITUTE(SUBSTITUTE(INDEX(Hairstyles!$C:$C,MATCH($B709,Hairstyles!$F:$F,0)),"" "",""""),""'"",""""),""("",""""),"")"",""""),""-"",""_"")&amp;""_""&amp;$A$2)"),"")</f>
        <v/>
      </c>
      <c r="D709" s="12" t="str">
        <f t="shared" si="1"/>
        <v/>
      </c>
    </row>
    <row r="710">
      <c r="C710" s="12" t="str">
        <f>IFERROR(__xludf.DUMMYFUNCTION("IF($B710="""","""",SUBSTITUTE(SUBSTITUTE(SUBSTITUTE(SUBSTITUTE(INDEX(Hairstyles!$A:$A,MATCH($B710,Hairstyles!$F:$F,0)),"" "",""""),""'"",""""),""("",""""),"")"","""")&amp;""\""&amp;INDEX(SPLIT($A$2,""_""),1)&amp;""\""&amp;INDEX(SPLIT($A$2,""_""),2)&amp;""\""&amp;SUBSTITUTE(SUBST"&amp;"ITUTE(SUBSTITUTE(SUBSTITUTE(SUBSTITUTE(INDEX(Hairstyles!$C:$C,MATCH($B710,Hairstyles!$F:$F,0)),"" "",""""),""'"",""""),""("",""""),"")"",""""),""-"",""_"")&amp;""_""&amp;$A$2)"),"")</f>
        <v/>
      </c>
      <c r="D710" s="12" t="str">
        <f t="shared" si="1"/>
        <v/>
      </c>
    </row>
    <row r="711">
      <c r="C711" s="12" t="str">
        <f>IFERROR(__xludf.DUMMYFUNCTION("IF($B711="""","""",SUBSTITUTE(SUBSTITUTE(SUBSTITUTE(SUBSTITUTE(INDEX(Hairstyles!$A:$A,MATCH($B711,Hairstyles!$F:$F,0)),"" "",""""),""'"",""""),""("",""""),"")"","""")&amp;""\""&amp;INDEX(SPLIT($A$2,""_""),1)&amp;""\""&amp;INDEX(SPLIT($A$2,""_""),2)&amp;""\""&amp;SUBSTITUTE(SUBST"&amp;"ITUTE(SUBSTITUTE(SUBSTITUTE(SUBSTITUTE(INDEX(Hairstyles!$C:$C,MATCH($B711,Hairstyles!$F:$F,0)),"" "",""""),""'"",""""),""("",""""),"")"",""""),""-"",""_"")&amp;""_""&amp;$A$2)"),"")</f>
        <v/>
      </c>
      <c r="D711" s="12" t="str">
        <f t="shared" si="1"/>
        <v/>
      </c>
    </row>
    <row r="712">
      <c r="C712" s="12" t="str">
        <f>IFERROR(__xludf.DUMMYFUNCTION("IF($B712="""","""",SUBSTITUTE(SUBSTITUTE(SUBSTITUTE(SUBSTITUTE(INDEX(Hairstyles!$A:$A,MATCH($B712,Hairstyles!$F:$F,0)),"" "",""""),""'"",""""),""("",""""),"")"","""")&amp;""\""&amp;INDEX(SPLIT($A$2,""_""),1)&amp;""\""&amp;INDEX(SPLIT($A$2,""_""),2)&amp;""\""&amp;SUBSTITUTE(SUBST"&amp;"ITUTE(SUBSTITUTE(SUBSTITUTE(SUBSTITUTE(INDEX(Hairstyles!$C:$C,MATCH($B712,Hairstyles!$F:$F,0)),"" "",""""),""'"",""""),""("",""""),"")"",""""),""-"",""_"")&amp;""_""&amp;$A$2)"),"")</f>
        <v/>
      </c>
      <c r="D712" s="12" t="str">
        <f t="shared" si="1"/>
        <v/>
      </c>
    </row>
    <row r="713">
      <c r="C713" s="12" t="str">
        <f>IFERROR(__xludf.DUMMYFUNCTION("IF($B713="""","""",SUBSTITUTE(SUBSTITUTE(SUBSTITUTE(SUBSTITUTE(INDEX(Hairstyles!$A:$A,MATCH($B713,Hairstyles!$F:$F,0)),"" "",""""),""'"",""""),""("",""""),"")"","""")&amp;""\""&amp;INDEX(SPLIT($A$2,""_""),1)&amp;""\""&amp;INDEX(SPLIT($A$2,""_""),2)&amp;""\""&amp;SUBSTITUTE(SUBST"&amp;"ITUTE(SUBSTITUTE(SUBSTITUTE(SUBSTITUTE(INDEX(Hairstyles!$C:$C,MATCH($B713,Hairstyles!$F:$F,0)),"" "",""""),""'"",""""),""("",""""),"")"",""""),""-"",""_"")&amp;""_""&amp;$A$2)"),"")</f>
        <v/>
      </c>
      <c r="D713" s="12" t="str">
        <f t="shared" si="1"/>
        <v/>
      </c>
    </row>
    <row r="714">
      <c r="C714" s="12" t="str">
        <f>IFERROR(__xludf.DUMMYFUNCTION("IF($B714="""","""",SUBSTITUTE(SUBSTITUTE(SUBSTITUTE(SUBSTITUTE(INDEX(Hairstyles!$A:$A,MATCH($B714,Hairstyles!$F:$F,0)),"" "",""""),""'"",""""),""("",""""),"")"","""")&amp;""\""&amp;INDEX(SPLIT($A$2,""_""),1)&amp;""\""&amp;INDEX(SPLIT($A$2,""_""),2)&amp;""\""&amp;SUBSTITUTE(SUBST"&amp;"ITUTE(SUBSTITUTE(SUBSTITUTE(SUBSTITUTE(INDEX(Hairstyles!$C:$C,MATCH($B714,Hairstyles!$F:$F,0)),"" "",""""),""'"",""""),""("",""""),"")"",""""),""-"",""_"")&amp;""_""&amp;$A$2)"),"")</f>
        <v/>
      </c>
      <c r="D714" s="12" t="str">
        <f t="shared" si="1"/>
        <v/>
      </c>
    </row>
    <row r="715">
      <c r="C715" s="12" t="str">
        <f>IFERROR(__xludf.DUMMYFUNCTION("IF($B715="""","""",SUBSTITUTE(SUBSTITUTE(SUBSTITUTE(SUBSTITUTE(INDEX(Hairstyles!$A:$A,MATCH($B715,Hairstyles!$F:$F,0)),"" "",""""),""'"",""""),""("",""""),"")"","""")&amp;""\""&amp;INDEX(SPLIT($A$2,""_""),1)&amp;""\""&amp;INDEX(SPLIT($A$2,""_""),2)&amp;""\""&amp;SUBSTITUTE(SUBST"&amp;"ITUTE(SUBSTITUTE(SUBSTITUTE(SUBSTITUTE(INDEX(Hairstyles!$C:$C,MATCH($B715,Hairstyles!$F:$F,0)),"" "",""""),""'"",""""),""("",""""),"")"",""""),""-"",""_"")&amp;""_""&amp;$A$2)"),"")</f>
        <v/>
      </c>
      <c r="D715" s="12" t="str">
        <f t="shared" si="1"/>
        <v/>
      </c>
    </row>
    <row r="716">
      <c r="C716" s="12" t="str">
        <f>IFERROR(__xludf.DUMMYFUNCTION("IF($B716="""","""",SUBSTITUTE(SUBSTITUTE(SUBSTITUTE(SUBSTITUTE(INDEX(Hairstyles!$A:$A,MATCH($B716,Hairstyles!$F:$F,0)),"" "",""""),""'"",""""),""("",""""),"")"","""")&amp;""\""&amp;INDEX(SPLIT($A$2,""_""),1)&amp;""\""&amp;INDEX(SPLIT($A$2,""_""),2)&amp;""\""&amp;SUBSTITUTE(SUBST"&amp;"ITUTE(SUBSTITUTE(SUBSTITUTE(SUBSTITUTE(INDEX(Hairstyles!$C:$C,MATCH($B716,Hairstyles!$F:$F,0)),"" "",""""),""'"",""""),""("",""""),"")"",""""),""-"",""_"")&amp;""_""&amp;$A$2)"),"")</f>
        <v/>
      </c>
      <c r="D716" s="12" t="str">
        <f t="shared" si="1"/>
        <v/>
      </c>
    </row>
    <row r="717">
      <c r="C717" s="12" t="str">
        <f>IFERROR(__xludf.DUMMYFUNCTION("IF($B717="""","""",SUBSTITUTE(SUBSTITUTE(SUBSTITUTE(SUBSTITUTE(INDEX(Hairstyles!$A:$A,MATCH($B717,Hairstyles!$F:$F,0)),"" "",""""),""'"",""""),""("",""""),"")"","""")&amp;""\""&amp;INDEX(SPLIT($A$2,""_""),1)&amp;""\""&amp;INDEX(SPLIT($A$2,""_""),2)&amp;""\""&amp;SUBSTITUTE(SUBST"&amp;"ITUTE(SUBSTITUTE(SUBSTITUTE(SUBSTITUTE(INDEX(Hairstyles!$C:$C,MATCH($B717,Hairstyles!$F:$F,0)),"" "",""""),""'"",""""),""("",""""),"")"",""""),""-"",""_"")&amp;""_""&amp;$A$2)"),"")</f>
        <v/>
      </c>
      <c r="D717" s="12" t="str">
        <f t="shared" si="1"/>
        <v/>
      </c>
    </row>
    <row r="718">
      <c r="C718" s="12" t="str">
        <f>IFERROR(__xludf.DUMMYFUNCTION("IF($B718="""","""",SUBSTITUTE(SUBSTITUTE(SUBSTITUTE(SUBSTITUTE(INDEX(Hairstyles!$A:$A,MATCH($B718,Hairstyles!$F:$F,0)),"" "",""""),""'"",""""),""("",""""),"")"","""")&amp;""\""&amp;INDEX(SPLIT($A$2,""_""),1)&amp;""\""&amp;INDEX(SPLIT($A$2,""_""),2)&amp;""\""&amp;SUBSTITUTE(SUBST"&amp;"ITUTE(SUBSTITUTE(SUBSTITUTE(SUBSTITUTE(INDEX(Hairstyles!$C:$C,MATCH($B718,Hairstyles!$F:$F,0)),"" "",""""),""'"",""""),""("",""""),"")"",""""),""-"",""_"")&amp;""_""&amp;$A$2)"),"")</f>
        <v/>
      </c>
      <c r="D718" s="12" t="str">
        <f t="shared" si="1"/>
        <v/>
      </c>
    </row>
    <row r="719">
      <c r="C719" s="12" t="str">
        <f>IFERROR(__xludf.DUMMYFUNCTION("IF($B719="""","""",SUBSTITUTE(SUBSTITUTE(SUBSTITUTE(SUBSTITUTE(INDEX(Hairstyles!$A:$A,MATCH($B719,Hairstyles!$F:$F,0)),"" "",""""),""'"",""""),""("",""""),"")"","""")&amp;""\""&amp;INDEX(SPLIT($A$2,""_""),1)&amp;""\""&amp;INDEX(SPLIT($A$2,""_""),2)&amp;""\""&amp;SUBSTITUTE(SUBST"&amp;"ITUTE(SUBSTITUTE(SUBSTITUTE(SUBSTITUTE(INDEX(Hairstyles!$C:$C,MATCH($B719,Hairstyles!$F:$F,0)),"" "",""""),""'"",""""),""("",""""),"")"",""""),""-"",""_"")&amp;""_""&amp;$A$2)"),"")</f>
        <v/>
      </c>
      <c r="D719" s="12" t="str">
        <f t="shared" si="1"/>
        <v/>
      </c>
    </row>
    <row r="720">
      <c r="C720" s="12" t="str">
        <f>IFERROR(__xludf.DUMMYFUNCTION("IF($B720="""","""",SUBSTITUTE(SUBSTITUTE(SUBSTITUTE(SUBSTITUTE(INDEX(Hairstyles!$A:$A,MATCH($B720,Hairstyles!$F:$F,0)),"" "",""""),""'"",""""),""("",""""),"")"","""")&amp;""\""&amp;INDEX(SPLIT($A$2,""_""),1)&amp;""\""&amp;INDEX(SPLIT($A$2,""_""),2)&amp;""\""&amp;SUBSTITUTE(SUBST"&amp;"ITUTE(SUBSTITUTE(SUBSTITUTE(SUBSTITUTE(INDEX(Hairstyles!$C:$C,MATCH($B720,Hairstyles!$F:$F,0)),"" "",""""),""'"",""""),""("",""""),"")"",""""),""-"",""_"")&amp;""_""&amp;$A$2)"),"")</f>
        <v/>
      </c>
      <c r="D720" s="12" t="str">
        <f t="shared" si="1"/>
        <v/>
      </c>
    </row>
    <row r="721">
      <c r="C721" s="12" t="str">
        <f>IFERROR(__xludf.DUMMYFUNCTION("IF($B721="""","""",SUBSTITUTE(SUBSTITUTE(SUBSTITUTE(SUBSTITUTE(INDEX(Hairstyles!$A:$A,MATCH($B721,Hairstyles!$F:$F,0)),"" "",""""),""'"",""""),""("",""""),"")"","""")&amp;""\""&amp;INDEX(SPLIT($A$2,""_""),1)&amp;""\""&amp;INDEX(SPLIT($A$2,""_""),2)&amp;""\""&amp;SUBSTITUTE(SUBST"&amp;"ITUTE(SUBSTITUTE(SUBSTITUTE(SUBSTITUTE(INDEX(Hairstyles!$C:$C,MATCH($B721,Hairstyles!$F:$F,0)),"" "",""""),""'"",""""),""("",""""),"")"",""""),""-"",""_"")&amp;""_""&amp;$A$2)"),"")</f>
        <v/>
      </c>
      <c r="D721" s="12" t="str">
        <f t="shared" si="1"/>
        <v/>
      </c>
    </row>
    <row r="722">
      <c r="C722" s="12" t="str">
        <f>IFERROR(__xludf.DUMMYFUNCTION("IF($B722="""","""",SUBSTITUTE(SUBSTITUTE(SUBSTITUTE(SUBSTITUTE(INDEX(Hairstyles!$A:$A,MATCH($B722,Hairstyles!$F:$F,0)),"" "",""""),""'"",""""),""("",""""),"")"","""")&amp;""\""&amp;INDEX(SPLIT($A$2,""_""),1)&amp;""\""&amp;INDEX(SPLIT($A$2,""_""),2)&amp;""\""&amp;SUBSTITUTE(SUBST"&amp;"ITUTE(SUBSTITUTE(SUBSTITUTE(SUBSTITUTE(INDEX(Hairstyles!$C:$C,MATCH($B722,Hairstyles!$F:$F,0)),"" "",""""),""'"",""""),""("",""""),"")"",""""),""-"",""_"")&amp;""_""&amp;$A$2)"),"")</f>
        <v/>
      </c>
      <c r="D722" s="12" t="str">
        <f t="shared" si="1"/>
        <v/>
      </c>
    </row>
    <row r="723">
      <c r="C723" s="12" t="str">
        <f>IFERROR(__xludf.DUMMYFUNCTION("IF($B723="""","""",SUBSTITUTE(SUBSTITUTE(SUBSTITUTE(SUBSTITUTE(INDEX(Hairstyles!$A:$A,MATCH($B723,Hairstyles!$F:$F,0)),"" "",""""),""'"",""""),""("",""""),"")"","""")&amp;""\""&amp;INDEX(SPLIT($A$2,""_""),1)&amp;""\""&amp;INDEX(SPLIT($A$2,""_""),2)&amp;""\""&amp;SUBSTITUTE(SUBST"&amp;"ITUTE(SUBSTITUTE(SUBSTITUTE(SUBSTITUTE(INDEX(Hairstyles!$C:$C,MATCH($B723,Hairstyles!$F:$F,0)),"" "",""""),""'"",""""),""("",""""),"")"",""""),""-"",""_"")&amp;""_""&amp;$A$2)"),"")</f>
        <v/>
      </c>
      <c r="D723" s="12" t="str">
        <f t="shared" si="1"/>
        <v/>
      </c>
    </row>
    <row r="724">
      <c r="C724" s="12" t="str">
        <f>IFERROR(__xludf.DUMMYFUNCTION("IF($B724="""","""",SUBSTITUTE(SUBSTITUTE(SUBSTITUTE(SUBSTITUTE(INDEX(Hairstyles!$A:$A,MATCH($B724,Hairstyles!$F:$F,0)),"" "",""""),""'"",""""),""("",""""),"")"","""")&amp;""\""&amp;INDEX(SPLIT($A$2,""_""),1)&amp;""\""&amp;INDEX(SPLIT($A$2,""_""),2)&amp;""\""&amp;SUBSTITUTE(SUBST"&amp;"ITUTE(SUBSTITUTE(SUBSTITUTE(SUBSTITUTE(INDEX(Hairstyles!$C:$C,MATCH($B724,Hairstyles!$F:$F,0)),"" "",""""),""'"",""""),""("",""""),"")"",""""),""-"",""_"")&amp;""_""&amp;$A$2)"),"")</f>
        <v/>
      </c>
      <c r="D724" s="12" t="str">
        <f t="shared" si="1"/>
        <v/>
      </c>
    </row>
    <row r="725">
      <c r="C725" s="12" t="str">
        <f>IFERROR(__xludf.DUMMYFUNCTION("IF($B725="""","""",SUBSTITUTE(SUBSTITUTE(SUBSTITUTE(SUBSTITUTE(INDEX(Hairstyles!$A:$A,MATCH($B725,Hairstyles!$F:$F,0)),"" "",""""),""'"",""""),""("",""""),"")"","""")&amp;""\""&amp;INDEX(SPLIT($A$2,""_""),1)&amp;""\""&amp;INDEX(SPLIT($A$2,""_""),2)&amp;""\""&amp;SUBSTITUTE(SUBST"&amp;"ITUTE(SUBSTITUTE(SUBSTITUTE(SUBSTITUTE(INDEX(Hairstyles!$C:$C,MATCH($B725,Hairstyles!$F:$F,0)),"" "",""""),""'"",""""),""("",""""),"")"",""""),""-"",""_"")&amp;""_""&amp;$A$2)"),"")</f>
        <v/>
      </c>
      <c r="D725" s="12" t="str">
        <f t="shared" si="1"/>
        <v/>
      </c>
    </row>
    <row r="726">
      <c r="C726" s="12" t="str">
        <f>IFERROR(__xludf.DUMMYFUNCTION("IF($B726="""","""",SUBSTITUTE(SUBSTITUTE(SUBSTITUTE(SUBSTITUTE(INDEX(Hairstyles!$A:$A,MATCH($B726,Hairstyles!$F:$F,0)),"" "",""""),""'"",""""),""("",""""),"")"","""")&amp;""\""&amp;INDEX(SPLIT($A$2,""_""),1)&amp;""\""&amp;INDEX(SPLIT($A$2,""_""),2)&amp;""\""&amp;SUBSTITUTE(SUBST"&amp;"ITUTE(SUBSTITUTE(SUBSTITUTE(SUBSTITUTE(INDEX(Hairstyles!$C:$C,MATCH($B726,Hairstyles!$F:$F,0)),"" "",""""),""'"",""""),""("",""""),"")"",""""),""-"",""_"")&amp;""_""&amp;$A$2)"),"")</f>
        <v/>
      </c>
      <c r="D726" s="12" t="str">
        <f t="shared" si="1"/>
        <v/>
      </c>
    </row>
    <row r="727">
      <c r="C727" s="12" t="str">
        <f>IFERROR(__xludf.DUMMYFUNCTION("IF($B727="""","""",SUBSTITUTE(SUBSTITUTE(SUBSTITUTE(SUBSTITUTE(INDEX(Hairstyles!$A:$A,MATCH($B727,Hairstyles!$F:$F,0)),"" "",""""),""'"",""""),""("",""""),"")"","""")&amp;""\""&amp;INDEX(SPLIT($A$2,""_""),1)&amp;""\""&amp;INDEX(SPLIT($A$2,""_""),2)&amp;""\""&amp;SUBSTITUTE(SUBST"&amp;"ITUTE(SUBSTITUTE(SUBSTITUTE(SUBSTITUTE(INDEX(Hairstyles!$C:$C,MATCH($B727,Hairstyles!$F:$F,0)),"" "",""""),""'"",""""),""("",""""),"")"",""""),""-"",""_"")&amp;""_""&amp;$A$2)"),"")</f>
        <v/>
      </c>
      <c r="D727" s="12" t="str">
        <f t="shared" si="1"/>
        <v/>
      </c>
    </row>
    <row r="728">
      <c r="C728" s="12" t="str">
        <f>IFERROR(__xludf.DUMMYFUNCTION("IF($B728="""","""",SUBSTITUTE(SUBSTITUTE(SUBSTITUTE(SUBSTITUTE(INDEX(Hairstyles!$A:$A,MATCH($B728,Hairstyles!$F:$F,0)),"" "",""""),""'"",""""),""("",""""),"")"","""")&amp;""\""&amp;INDEX(SPLIT($A$2,""_""),1)&amp;""\""&amp;INDEX(SPLIT($A$2,""_""),2)&amp;""\""&amp;SUBSTITUTE(SUBST"&amp;"ITUTE(SUBSTITUTE(SUBSTITUTE(SUBSTITUTE(INDEX(Hairstyles!$C:$C,MATCH($B728,Hairstyles!$F:$F,0)),"" "",""""),""'"",""""),""("",""""),"")"",""""),""-"",""_"")&amp;""_""&amp;$A$2)"),"")</f>
        <v/>
      </c>
      <c r="D728" s="12" t="str">
        <f t="shared" si="1"/>
        <v/>
      </c>
    </row>
    <row r="729">
      <c r="C729" s="12" t="str">
        <f>IFERROR(__xludf.DUMMYFUNCTION("IF($B729="""","""",SUBSTITUTE(SUBSTITUTE(SUBSTITUTE(SUBSTITUTE(INDEX(Hairstyles!$A:$A,MATCH($B729,Hairstyles!$F:$F,0)),"" "",""""),""'"",""""),""("",""""),"")"","""")&amp;""\""&amp;INDEX(SPLIT($A$2,""_""),1)&amp;""\""&amp;INDEX(SPLIT($A$2,""_""),2)&amp;""\""&amp;SUBSTITUTE(SUBST"&amp;"ITUTE(SUBSTITUTE(SUBSTITUTE(SUBSTITUTE(INDEX(Hairstyles!$C:$C,MATCH($B729,Hairstyles!$F:$F,0)),"" "",""""),""'"",""""),""("",""""),"")"",""""),""-"",""_"")&amp;""_""&amp;$A$2)"),"")</f>
        <v/>
      </c>
      <c r="D729" s="12" t="str">
        <f t="shared" si="1"/>
        <v/>
      </c>
    </row>
    <row r="730">
      <c r="C730" s="12" t="str">
        <f>IFERROR(__xludf.DUMMYFUNCTION("IF($B730="""","""",SUBSTITUTE(SUBSTITUTE(SUBSTITUTE(SUBSTITUTE(INDEX(Hairstyles!$A:$A,MATCH($B730,Hairstyles!$F:$F,0)),"" "",""""),""'"",""""),""("",""""),"")"","""")&amp;""\""&amp;INDEX(SPLIT($A$2,""_""),1)&amp;""\""&amp;INDEX(SPLIT($A$2,""_""),2)&amp;""\""&amp;SUBSTITUTE(SUBST"&amp;"ITUTE(SUBSTITUTE(SUBSTITUTE(SUBSTITUTE(INDEX(Hairstyles!$C:$C,MATCH($B730,Hairstyles!$F:$F,0)),"" "",""""),""'"",""""),""("",""""),"")"",""""),""-"",""_"")&amp;""_""&amp;$A$2)"),"")</f>
        <v/>
      </c>
      <c r="D730" s="12" t="str">
        <f t="shared" si="1"/>
        <v/>
      </c>
    </row>
    <row r="731">
      <c r="C731" s="12" t="str">
        <f>IFERROR(__xludf.DUMMYFUNCTION("IF($B731="""","""",SUBSTITUTE(SUBSTITUTE(SUBSTITUTE(SUBSTITUTE(INDEX(Hairstyles!$A:$A,MATCH($B731,Hairstyles!$F:$F,0)),"" "",""""),""'"",""""),""("",""""),"")"","""")&amp;""\""&amp;INDEX(SPLIT($A$2,""_""),1)&amp;""\""&amp;INDEX(SPLIT($A$2,""_""),2)&amp;""\""&amp;SUBSTITUTE(SUBST"&amp;"ITUTE(SUBSTITUTE(SUBSTITUTE(SUBSTITUTE(INDEX(Hairstyles!$C:$C,MATCH($B731,Hairstyles!$F:$F,0)),"" "",""""),""'"",""""),""("",""""),"")"",""""),""-"",""_"")&amp;""_""&amp;$A$2)"),"")</f>
        <v/>
      </c>
      <c r="D731" s="12" t="str">
        <f t="shared" si="1"/>
        <v/>
      </c>
    </row>
    <row r="732">
      <c r="C732" s="12" t="str">
        <f>IFERROR(__xludf.DUMMYFUNCTION("IF($B732="""","""",SUBSTITUTE(SUBSTITUTE(SUBSTITUTE(SUBSTITUTE(INDEX(Hairstyles!$A:$A,MATCH($B732,Hairstyles!$F:$F,0)),"" "",""""),""'"",""""),""("",""""),"")"","""")&amp;""\""&amp;INDEX(SPLIT($A$2,""_""),1)&amp;""\""&amp;INDEX(SPLIT($A$2,""_""),2)&amp;""\""&amp;SUBSTITUTE(SUBST"&amp;"ITUTE(SUBSTITUTE(SUBSTITUTE(SUBSTITUTE(INDEX(Hairstyles!$C:$C,MATCH($B732,Hairstyles!$F:$F,0)),"" "",""""),""'"",""""),""("",""""),"")"",""""),""-"",""_"")&amp;""_""&amp;$A$2)"),"")</f>
        <v/>
      </c>
      <c r="D732" s="12" t="str">
        <f t="shared" si="1"/>
        <v/>
      </c>
    </row>
    <row r="733">
      <c r="C733" s="12" t="str">
        <f>IFERROR(__xludf.DUMMYFUNCTION("IF($B733="""","""",SUBSTITUTE(SUBSTITUTE(SUBSTITUTE(SUBSTITUTE(INDEX(Hairstyles!$A:$A,MATCH($B733,Hairstyles!$F:$F,0)),"" "",""""),""'"",""""),""("",""""),"")"","""")&amp;""\""&amp;INDEX(SPLIT($A$2,""_""),1)&amp;""\""&amp;INDEX(SPLIT($A$2,""_""),2)&amp;""\""&amp;SUBSTITUTE(SUBST"&amp;"ITUTE(SUBSTITUTE(SUBSTITUTE(SUBSTITUTE(INDEX(Hairstyles!$C:$C,MATCH($B733,Hairstyles!$F:$F,0)),"" "",""""),""'"",""""),""("",""""),"")"",""""),""-"",""_"")&amp;""_""&amp;$A$2)"),"")</f>
        <v/>
      </c>
      <c r="D733" s="12" t="str">
        <f t="shared" si="1"/>
        <v/>
      </c>
    </row>
    <row r="734">
      <c r="C734" s="12" t="str">
        <f>IFERROR(__xludf.DUMMYFUNCTION("IF($B734="""","""",SUBSTITUTE(SUBSTITUTE(SUBSTITUTE(SUBSTITUTE(INDEX(Hairstyles!$A:$A,MATCH($B734,Hairstyles!$F:$F,0)),"" "",""""),""'"",""""),""("",""""),"")"","""")&amp;""\""&amp;INDEX(SPLIT($A$2,""_""),1)&amp;""\""&amp;INDEX(SPLIT($A$2,""_""),2)&amp;""\""&amp;SUBSTITUTE(SUBST"&amp;"ITUTE(SUBSTITUTE(SUBSTITUTE(SUBSTITUTE(INDEX(Hairstyles!$C:$C,MATCH($B734,Hairstyles!$F:$F,0)),"" "",""""),""'"",""""),""("",""""),"")"",""""),""-"",""_"")&amp;""_""&amp;$A$2)"),"")</f>
        <v/>
      </c>
      <c r="D734" s="12" t="str">
        <f t="shared" si="1"/>
        <v/>
      </c>
    </row>
    <row r="735">
      <c r="C735" s="12" t="str">
        <f>IFERROR(__xludf.DUMMYFUNCTION("IF($B735="""","""",SUBSTITUTE(SUBSTITUTE(SUBSTITUTE(SUBSTITUTE(INDEX(Hairstyles!$A:$A,MATCH($B735,Hairstyles!$F:$F,0)),"" "",""""),""'"",""""),""("",""""),"")"","""")&amp;""\""&amp;INDEX(SPLIT($A$2,""_""),1)&amp;""\""&amp;INDEX(SPLIT($A$2,""_""),2)&amp;""\""&amp;SUBSTITUTE(SUBST"&amp;"ITUTE(SUBSTITUTE(SUBSTITUTE(SUBSTITUTE(INDEX(Hairstyles!$C:$C,MATCH($B735,Hairstyles!$F:$F,0)),"" "",""""),""'"",""""),""("",""""),"")"",""""),""-"",""_"")&amp;""_""&amp;$A$2)"),"")</f>
        <v/>
      </c>
      <c r="D735" s="12" t="str">
        <f t="shared" si="1"/>
        <v/>
      </c>
    </row>
    <row r="736">
      <c r="C736" s="12" t="str">
        <f>IFERROR(__xludf.DUMMYFUNCTION("IF($B736="""","""",SUBSTITUTE(SUBSTITUTE(SUBSTITUTE(SUBSTITUTE(INDEX(Hairstyles!$A:$A,MATCH($B736,Hairstyles!$F:$F,0)),"" "",""""),""'"",""""),""("",""""),"")"","""")&amp;""\""&amp;INDEX(SPLIT($A$2,""_""),1)&amp;""\""&amp;INDEX(SPLIT($A$2,""_""),2)&amp;""\""&amp;SUBSTITUTE(SUBST"&amp;"ITUTE(SUBSTITUTE(SUBSTITUTE(SUBSTITUTE(INDEX(Hairstyles!$C:$C,MATCH($B736,Hairstyles!$F:$F,0)),"" "",""""),""'"",""""),""("",""""),"")"",""""),""-"",""_"")&amp;""_""&amp;$A$2)"),"")</f>
        <v/>
      </c>
      <c r="D736" s="12" t="str">
        <f t="shared" si="1"/>
        <v/>
      </c>
    </row>
    <row r="737">
      <c r="C737" s="12" t="str">
        <f>IFERROR(__xludf.DUMMYFUNCTION("IF($B737="""","""",SUBSTITUTE(SUBSTITUTE(SUBSTITUTE(SUBSTITUTE(INDEX(Hairstyles!$A:$A,MATCH($B737,Hairstyles!$F:$F,0)),"" "",""""),""'"",""""),""("",""""),"")"","""")&amp;""\""&amp;INDEX(SPLIT($A$2,""_""),1)&amp;""\""&amp;INDEX(SPLIT($A$2,""_""),2)&amp;""\""&amp;SUBSTITUTE(SUBST"&amp;"ITUTE(SUBSTITUTE(SUBSTITUTE(SUBSTITUTE(INDEX(Hairstyles!$C:$C,MATCH($B737,Hairstyles!$F:$F,0)),"" "",""""),""'"",""""),""("",""""),"")"",""""),""-"",""_"")&amp;""_""&amp;$A$2)"),"")</f>
        <v/>
      </c>
      <c r="D737" s="12" t="str">
        <f t="shared" si="1"/>
        <v/>
      </c>
    </row>
    <row r="738">
      <c r="C738" s="12" t="str">
        <f>IFERROR(__xludf.DUMMYFUNCTION("IF($B738="""","""",SUBSTITUTE(SUBSTITUTE(SUBSTITUTE(SUBSTITUTE(INDEX(Hairstyles!$A:$A,MATCH($B738,Hairstyles!$F:$F,0)),"" "",""""),""'"",""""),""("",""""),"")"","""")&amp;""\""&amp;INDEX(SPLIT($A$2,""_""),1)&amp;""\""&amp;INDEX(SPLIT($A$2,""_""),2)&amp;""\""&amp;SUBSTITUTE(SUBST"&amp;"ITUTE(SUBSTITUTE(SUBSTITUTE(SUBSTITUTE(INDEX(Hairstyles!$C:$C,MATCH($B738,Hairstyles!$F:$F,0)),"" "",""""),""'"",""""),""("",""""),"")"",""""),""-"",""_"")&amp;""_""&amp;$A$2)"),"")</f>
        <v/>
      </c>
      <c r="D738" s="12" t="str">
        <f t="shared" si="1"/>
        <v/>
      </c>
    </row>
    <row r="739">
      <c r="C739" s="12" t="str">
        <f>IFERROR(__xludf.DUMMYFUNCTION("IF($B739="""","""",SUBSTITUTE(SUBSTITUTE(SUBSTITUTE(SUBSTITUTE(INDEX(Hairstyles!$A:$A,MATCH($B739,Hairstyles!$F:$F,0)),"" "",""""),""'"",""""),""("",""""),"")"","""")&amp;""\""&amp;INDEX(SPLIT($A$2,""_""),1)&amp;""\""&amp;INDEX(SPLIT($A$2,""_""),2)&amp;""\""&amp;SUBSTITUTE(SUBST"&amp;"ITUTE(SUBSTITUTE(SUBSTITUTE(SUBSTITUTE(INDEX(Hairstyles!$C:$C,MATCH($B739,Hairstyles!$F:$F,0)),"" "",""""),""'"",""""),""("",""""),"")"",""""),""-"",""_"")&amp;""_""&amp;$A$2)"),"")</f>
        <v/>
      </c>
      <c r="D739" s="12" t="str">
        <f t="shared" si="1"/>
        <v/>
      </c>
    </row>
    <row r="740">
      <c r="C740" s="12" t="str">
        <f>IFERROR(__xludf.DUMMYFUNCTION("IF($B740="""","""",SUBSTITUTE(SUBSTITUTE(SUBSTITUTE(SUBSTITUTE(INDEX(Hairstyles!$A:$A,MATCH($B740,Hairstyles!$F:$F,0)),"" "",""""),""'"",""""),""("",""""),"")"","""")&amp;""\""&amp;INDEX(SPLIT($A$2,""_""),1)&amp;""\""&amp;INDEX(SPLIT($A$2,""_""),2)&amp;""\""&amp;SUBSTITUTE(SUBST"&amp;"ITUTE(SUBSTITUTE(SUBSTITUTE(SUBSTITUTE(INDEX(Hairstyles!$C:$C,MATCH($B740,Hairstyles!$F:$F,0)),"" "",""""),""'"",""""),""("",""""),"")"",""""),""-"",""_"")&amp;""_""&amp;$A$2)"),"")</f>
        <v/>
      </c>
      <c r="D740" s="12" t="str">
        <f t="shared" si="1"/>
        <v/>
      </c>
    </row>
    <row r="741">
      <c r="C741" s="12" t="str">
        <f>IFERROR(__xludf.DUMMYFUNCTION("IF($B741="""","""",SUBSTITUTE(SUBSTITUTE(SUBSTITUTE(SUBSTITUTE(INDEX(Hairstyles!$A:$A,MATCH($B741,Hairstyles!$F:$F,0)),"" "",""""),""'"",""""),""("",""""),"")"","""")&amp;""\""&amp;INDEX(SPLIT($A$2,""_""),1)&amp;""\""&amp;INDEX(SPLIT($A$2,""_""),2)&amp;""\""&amp;SUBSTITUTE(SUBST"&amp;"ITUTE(SUBSTITUTE(SUBSTITUTE(SUBSTITUTE(INDEX(Hairstyles!$C:$C,MATCH($B741,Hairstyles!$F:$F,0)),"" "",""""),""'"",""""),""("",""""),"")"",""""),""-"",""_"")&amp;""_""&amp;$A$2)"),"")</f>
        <v/>
      </c>
      <c r="D741" s="12" t="str">
        <f t="shared" si="1"/>
        <v/>
      </c>
    </row>
    <row r="742">
      <c r="C742" s="12" t="str">
        <f>IFERROR(__xludf.DUMMYFUNCTION("IF($B742="""","""",SUBSTITUTE(SUBSTITUTE(SUBSTITUTE(SUBSTITUTE(INDEX(Hairstyles!$A:$A,MATCH($B742,Hairstyles!$F:$F,0)),"" "",""""),""'"",""""),""("",""""),"")"","""")&amp;""\""&amp;INDEX(SPLIT($A$2,""_""),1)&amp;""\""&amp;INDEX(SPLIT($A$2,""_""),2)&amp;""\""&amp;SUBSTITUTE(SUBST"&amp;"ITUTE(SUBSTITUTE(SUBSTITUTE(SUBSTITUTE(INDEX(Hairstyles!$C:$C,MATCH($B742,Hairstyles!$F:$F,0)),"" "",""""),""'"",""""),""("",""""),"")"",""""),""-"",""_"")&amp;""_""&amp;$A$2)"),"")</f>
        <v/>
      </c>
      <c r="D742" s="12" t="str">
        <f t="shared" si="1"/>
        <v/>
      </c>
    </row>
    <row r="743">
      <c r="C743" s="12" t="str">
        <f>IFERROR(__xludf.DUMMYFUNCTION("IF($B743="""","""",SUBSTITUTE(SUBSTITUTE(SUBSTITUTE(SUBSTITUTE(INDEX(Hairstyles!$A:$A,MATCH($B743,Hairstyles!$F:$F,0)),"" "",""""),""'"",""""),""("",""""),"")"","""")&amp;""\""&amp;INDEX(SPLIT($A$2,""_""),1)&amp;""\""&amp;INDEX(SPLIT($A$2,""_""),2)&amp;""\""&amp;SUBSTITUTE(SUBST"&amp;"ITUTE(SUBSTITUTE(SUBSTITUTE(SUBSTITUTE(INDEX(Hairstyles!$C:$C,MATCH($B743,Hairstyles!$F:$F,0)),"" "",""""),""'"",""""),""("",""""),"")"",""""),""-"",""_"")&amp;""_""&amp;$A$2)"),"")</f>
        <v/>
      </c>
      <c r="D743" s="12" t="str">
        <f t="shared" si="1"/>
        <v/>
      </c>
    </row>
    <row r="744">
      <c r="C744" s="12" t="str">
        <f>IFERROR(__xludf.DUMMYFUNCTION("IF($B744="""","""",SUBSTITUTE(SUBSTITUTE(SUBSTITUTE(SUBSTITUTE(INDEX(Hairstyles!$A:$A,MATCH($B744,Hairstyles!$F:$F,0)),"" "",""""),""'"",""""),""("",""""),"")"","""")&amp;""\""&amp;INDEX(SPLIT($A$2,""_""),1)&amp;""\""&amp;INDEX(SPLIT($A$2,""_""),2)&amp;""\""&amp;SUBSTITUTE(SUBST"&amp;"ITUTE(SUBSTITUTE(SUBSTITUTE(SUBSTITUTE(INDEX(Hairstyles!$C:$C,MATCH($B744,Hairstyles!$F:$F,0)),"" "",""""),""'"",""""),""("",""""),"")"",""""),""-"",""_"")&amp;""_""&amp;$A$2)"),"")</f>
        <v/>
      </c>
      <c r="D744" s="12" t="str">
        <f t="shared" si="1"/>
        <v/>
      </c>
    </row>
    <row r="745">
      <c r="C745" s="12" t="str">
        <f>IFERROR(__xludf.DUMMYFUNCTION("IF($B745="""","""",SUBSTITUTE(SUBSTITUTE(SUBSTITUTE(SUBSTITUTE(INDEX(Hairstyles!$A:$A,MATCH($B745,Hairstyles!$F:$F,0)),"" "",""""),""'"",""""),""("",""""),"")"","""")&amp;""\""&amp;INDEX(SPLIT($A$2,""_""),1)&amp;""\""&amp;INDEX(SPLIT($A$2,""_""),2)&amp;""\""&amp;SUBSTITUTE(SUBST"&amp;"ITUTE(SUBSTITUTE(SUBSTITUTE(SUBSTITUTE(INDEX(Hairstyles!$C:$C,MATCH($B745,Hairstyles!$F:$F,0)),"" "",""""),""'"",""""),""("",""""),"")"",""""),""-"",""_"")&amp;""_""&amp;$A$2)"),"")</f>
        <v/>
      </c>
      <c r="D745" s="12" t="str">
        <f t="shared" si="1"/>
        <v/>
      </c>
    </row>
    <row r="746">
      <c r="C746" s="12" t="str">
        <f>IFERROR(__xludf.DUMMYFUNCTION("IF($B746="""","""",SUBSTITUTE(SUBSTITUTE(SUBSTITUTE(SUBSTITUTE(INDEX(Hairstyles!$A:$A,MATCH($B746,Hairstyles!$F:$F,0)),"" "",""""),""'"",""""),""("",""""),"")"","""")&amp;""\""&amp;INDEX(SPLIT($A$2,""_""),1)&amp;""\""&amp;INDEX(SPLIT($A$2,""_""),2)&amp;""\""&amp;SUBSTITUTE(SUBST"&amp;"ITUTE(SUBSTITUTE(SUBSTITUTE(SUBSTITUTE(INDEX(Hairstyles!$C:$C,MATCH($B746,Hairstyles!$F:$F,0)),"" "",""""),""'"",""""),""("",""""),"")"",""""),""-"",""_"")&amp;""_""&amp;$A$2)"),"")</f>
        <v/>
      </c>
      <c r="D746" s="12" t="str">
        <f t="shared" si="1"/>
        <v/>
      </c>
    </row>
    <row r="747">
      <c r="C747" s="12" t="str">
        <f>IFERROR(__xludf.DUMMYFUNCTION("IF($B747="""","""",SUBSTITUTE(SUBSTITUTE(SUBSTITUTE(SUBSTITUTE(INDEX(Hairstyles!$A:$A,MATCH($B747,Hairstyles!$F:$F,0)),"" "",""""),""'"",""""),""("",""""),"")"","""")&amp;""\""&amp;INDEX(SPLIT($A$2,""_""),1)&amp;""\""&amp;INDEX(SPLIT($A$2,""_""),2)&amp;""\""&amp;SUBSTITUTE(SUBST"&amp;"ITUTE(SUBSTITUTE(SUBSTITUTE(SUBSTITUTE(INDEX(Hairstyles!$C:$C,MATCH($B747,Hairstyles!$F:$F,0)),"" "",""""),""'"",""""),""("",""""),"")"",""""),""-"",""_"")&amp;""_""&amp;$A$2)"),"")</f>
        <v/>
      </c>
      <c r="D747" s="12" t="str">
        <f t="shared" si="1"/>
        <v/>
      </c>
    </row>
    <row r="748">
      <c r="C748" s="12" t="str">
        <f>IFERROR(__xludf.DUMMYFUNCTION("IF($B748="""","""",SUBSTITUTE(SUBSTITUTE(SUBSTITUTE(SUBSTITUTE(INDEX(Hairstyles!$A:$A,MATCH($B748,Hairstyles!$F:$F,0)),"" "",""""),""'"",""""),""("",""""),"")"","""")&amp;""\""&amp;INDEX(SPLIT($A$2,""_""),1)&amp;""\""&amp;INDEX(SPLIT($A$2,""_""),2)&amp;""\""&amp;SUBSTITUTE(SUBST"&amp;"ITUTE(SUBSTITUTE(SUBSTITUTE(SUBSTITUTE(INDEX(Hairstyles!$C:$C,MATCH($B748,Hairstyles!$F:$F,0)),"" "",""""),""'"",""""),""("",""""),"")"",""""),""-"",""_"")&amp;""_""&amp;$A$2)"),"")</f>
        <v/>
      </c>
      <c r="D748" s="12" t="str">
        <f t="shared" si="1"/>
        <v/>
      </c>
    </row>
    <row r="749">
      <c r="C749" s="12" t="str">
        <f>IFERROR(__xludf.DUMMYFUNCTION("IF($B749="""","""",SUBSTITUTE(SUBSTITUTE(SUBSTITUTE(SUBSTITUTE(INDEX(Hairstyles!$A:$A,MATCH($B749,Hairstyles!$F:$F,0)),"" "",""""),""'"",""""),""("",""""),"")"","""")&amp;""\""&amp;INDEX(SPLIT($A$2,""_""),1)&amp;""\""&amp;INDEX(SPLIT($A$2,""_""),2)&amp;""\""&amp;SUBSTITUTE(SUBST"&amp;"ITUTE(SUBSTITUTE(SUBSTITUTE(SUBSTITUTE(INDEX(Hairstyles!$C:$C,MATCH($B749,Hairstyles!$F:$F,0)),"" "",""""),""'"",""""),""("",""""),"")"",""""),""-"",""_"")&amp;""_""&amp;$A$2)"),"")</f>
        <v/>
      </c>
      <c r="D749" s="12" t="str">
        <f t="shared" si="1"/>
        <v/>
      </c>
    </row>
    <row r="750">
      <c r="C750" s="12" t="str">
        <f>IFERROR(__xludf.DUMMYFUNCTION("IF($B750="""","""",SUBSTITUTE(SUBSTITUTE(SUBSTITUTE(SUBSTITUTE(INDEX(Hairstyles!$A:$A,MATCH($B750,Hairstyles!$F:$F,0)),"" "",""""),""'"",""""),""("",""""),"")"","""")&amp;""\""&amp;INDEX(SPLIT($A$2,""_""),1)&amp;""\""&amp;INDEX(SPLIT($A$2,""_""),2)&amp;""\""&amp;SUBSTITUTE(SUBST"&amp;"ITUTE(SUBSTITUTE(SUBSTITUTE(SUBSTITUTE(INDEX(Hairstyles!$C:$C,MATCH($B750,Hairstyles!$F:$F,0)),"" "",""""),""'"",""""),""("",""""),"")"",""""),""-"",""_"")&amp;""_""&amp;$A$2)"),"")</f>
        <v/>
      </c>
      <c r="D750" s="12" t="str">
        <f t="shared" si="1"/>
        <v/>
      </c>
    </row>
    <row r="751">
      <c r="C751" s="12" t="str">
        <f>IFERROR(__xludf.DUMMYFUNCTION("IF($B751="""","""",SUBSTITUTE(SUBSTITUTE(SUBSTITUTE(SUBSTITUTE(INDEX(Hairstyles!$A:$A,MATCH($B751,Hairstyles!$F:$F,0)),"" "",""""),""'"",""""),""("",""""),"")"","""")&amp;""\""&amp;INDEX(SPLIT($A$2,""_""),1)&amp;""\""&amp;INDEX(SPLIT($A$2,""_""),2)&amp;""\""&amp;SUBSTITUTE(SUBST"&amp;"ITUTE(SUBSTITUTE(SUBSTITUTE(SUBSTITUTE(INDEX(Hairstyles!$C:$C,MATCH($B751,Hairstyles!$F:$F,0)),"" "",""""),""'"",""""),""("",""""),"")"",""""),""-"",""_"")&amp;""_""&amp;$A$2)"),"")</f>
        <v/>
      </c>
      <c r="D751" s="12" t="str">
        <f t="shared" si="1"/>
        <v/>
      </c>
    </row>
    <row r="752">
      <c r="C752" s="12" t="str">
        <f>IFERROR(__xludf.DUMMYFUNCTION("IF($B752="""","""",SUBSTITUTE(SUBSTITUTE(SUBSTITUTE(SUBSTITUTE(INDEX(Hairstyles!$A:$A,MATCH($B752,Hairstyles!$F:$F,0)),"" "",""""),""'"",""""),""("",""""),"")"","""")&amp;""\""&amp;INDEX(SPLIT($A$2,""_""),1)&amp;""\""&amp;INDEX(SPLIT($A$2,""_""),2)&amp;""\""&amp;SUBSTITUTE(SUBST"&amp;"ITUTE(SUBSTITUTE(SUBSTITUTE(SUBSTITUTE(INDEX(Hairstyles!$C:$C,MATCH($B752,Hairstyles!$F:$F,0)),"" "",""""),""'"",""""),""("",""""),"")"",""""),""-"",""_"")&amp;""_""&amp;$A$2)"),"")</f>
        <v/>
      </c>
      <c r="D752" s="12" t="str">
        <f t="shared" si="1"/>
        <v/>
      </c>
    </row>
    <row r="753">
      <c r="C753" s="12" t="str">
        <f>IFERROR(__xludf.DUMMYFUNCTION("IF($B753="""","""",SUBSTITUTE(SUBSTITUTE(SUBSTITUTE(SUBSTITUTE(INDEX(Hairstyles!$A:$A,MATCH($B753,Hairstyles!$F:$F,0)),"" "",""""),""'"",""""),""("",""""),"")"","""")&amp;""\""&amp;INDEX(SPLIT($A$2,""_""),1)&amp;""\""&amp;INDEX(SPLIT($A$2,""_""),2)&amp;""\""&amp;SUBSTITUTE(SUBST"&amp;"ITUTE(SUBSTITUTE(SUBSTITUTE(SUBSTITUTE(INDEX(Hairstyles!$C:$C,MATCH($B753,Hairstyles!$F:$F,0)),"" "",""""),""'"",""""),""("",""""),"")"",""""),""-"",""_"")&amp;""_""&amp;$A$2)"),"")</f>
        <v/>
      </c>
      <c r="D753" s="12" t="str">
        <f t="shared" si="1"/>
        <v/>
      </c>
    </row>
    <row r="754">
      <c r="C754" s="12" t="str">
        <f>IFERROR(__xludf.DUMMYFUNCTION("IF($B754="""","""",SUBSTITUTE(SUBSTITUTE(SUBSTITUTE(SUBSTITUTE(INDEX(Hairstyles!$A:$A,MATCH($B754,Hairstyles!$F:$F,0)),"" "",""""),""'"",""""),""("",""""),"")"","""")&amp;""\""&amp;INDEX(SPLIT($A$2,""_""),1)&amp;""\""&amp;INDEX(SPLIT($A$2,""_""),2)&amp;""\""&amp;SUBSTITUTE(SUBST"&amp;"ITUTE(SUBSTITUTE(SUBSTITUTE(SUBSTITUTE(INDEX(Hairstyles!$C:$C,MATCH($B754,Hairstyles!$F:$F,0)),"" "",""""),""'"",""""),""("",""""),"")"",""""),""-"",""_"")&amp;""_""&amp;$A$2)"),"")</f>
        <v/>
      </c>
      <c r="D754" s="12" t="str">
        <f t="shared" si="1"/>
        <v/>
      </c>
    </row>
    <row r="755">
      <c r="C755" s="12" t="str">
        <f>IFERROR(__xludf.DUMMYFUNCTION("IF($B755="""","""",SUBSTITUTE(SUBSTITUTE(SUBSTITUTE(SUBSTITUTE(INDEX(Hairstyles!$A:$A,MATCH($B755,Hairstyles!$F:$F,0)),"" "",""""),""'"",""""),""("",""""),"")"","""")&amp;""\""&amp;INDEX(SPLIT($A$2,""_""),1)&amp;""\""&amp;INDEX(SPLIT($A$2,""_""),2)&amp;""\""&amp;SUBSTITUTE(SUBST"&amp;"ITUTE(SUBSTITUTE(SUBSTITUTE(SUBSTITUTE(INDEX(Hairstyles!$C:$C,MATCH($B755,Hairstyles!$F:$F,0)),"" "",""""),""'"",""""),""("",""""),"")"",""""),""-"",""_"")&amp;""_""&amp;$A$2)"),"")</f>
        <v/>
      </c>
      <c r="D755" s="12" t="str">
        <f t="shared" si="1"/>
        <v/>
      </c>
    </row>
    <row r="756">
      <c r="C756" s="12" t="str">
        <f>IFERROR(__xludf.DUMMYFUNCTION("IF($B756="""","""",SUBSTITUTE(SUBSTITUTE(SUBSTITUTE(SUBSTITUTE(INDEX(Hairstyles!$A:$A,MATCH($B756,Hairstyles!$F:$F,0)),"" "",""""),""'"",""""),""("",""""),"")"","""")&amp;""\""&amp;INDEX(SPLIT($A$2,""_""),1)&amp;""\""&amp;INDEX(SPLIT($A$2,""_""),2)&amp;""\""&amp;SUBSTITUTE(SUBST"&amp;"ITUTE(SUBSTITUTE(SUBSTITUTE(SUBSTITUTE(INDEX(Hairstyles!$C:$C,MATCH($B756,Hairstyles!$F:$F,0)),"" "",""""),""'"",""""),""("",""""),"")"",""""),""-"",""_"")&amp;""_""&amp;$A$2)"),"")</f>
        <v/>
      </c>
      <c r="D756" s="12" t="str">
        <f t="shared" si="1"/>
        <v/>
      </c>
    </row>
    <row r="757">
      <c r="C757" s="12" t="str">
        <f>IFERROR(__xludf.DUMMYFUNCTION("IF($B757="""","""",SUBSTITUTE(SUBSTITUTE(SUBSTITUTE(SUBSTITUTE(INDEX(Hairstyles!$A:$A,MATCH($B757,Hairstyles!$F:$F,0)),"" "",""""),""'"",""""),""("",""""),"")"","""")&amp;""\""&amp;INDEX(SPLIT($A$2,""_""),1)&amp;""\""&amp;INDEX(SPLIT($A$2,""_""),2)&amp;""\""&amp;SUBSTITUTE(SUBST"&amp;"ITUTE(SUBSTITUTE(SUBSTITUTE(SUBSTITUTE(INDEX(Hairstyles!$C:$C,MATCH($B757,Hairstyles!$F:$F,0)),"" "",""""),""'"",""""),""("",""""),"")"",""""),""-"",""_"")&amp;""_""&amp;$A$2)"),"")</f>
        <v/>
      </c>
      <c r="D757" s="12" t="str">
        <f t="shared" si="1"/>
        <v/>
      </c>
    </row>
    <row r="758">
      <c r="C758" s="12" t="str">
        <f>IFERROR(__xludf.DUMMYFUNCTION("IF($B758="""","""",SUBSTITUTE(SUBSTITUTE(SUBSTITUTE(SUBSTITUTE(INDEX(Hairstyles!$A:$A,MATCH($B758,Hairstyles!$F:$F,0)),"" "",""""),""'"",""""),""("",""""),"")"","""")&amp;""\""&amp;INDEX(SPLIT($A$2,""_""),1)&amp;""\""&amp;INDEX(SPLIT($A$2,""_""),2)&amp;""\""&amp;SUBSTITUTE(SUBST"&amp;"ITUTE(SUBSTITUTE(SUBSTITUTE(SUBSTITUTE(INDEX(Hairstyles!$C:$C,MATCH($B758,Hairstyles!$F:$F,0)),"" "",""""),""'"",""""),""("",""""),"")"",""""),""-"",""_"")&amp;""_""&amp;$A$2)"),"")</f>
        <v/>
      </c>
      <c r="D758" s="12" t="str">
        <f t="shared" si="1"/>
        <v/>
      </c>
    </row>
    <row r="759">
      <c r="C759" s="12" t="str">
        <f>IFERROR(__xludf.DUMMYFUNCTION("IF($B759="""","""",SUBSTITUTE(SUBSTITUTE(SUBSTITUTE(SUBSTITUTE(INDEX(Hairstyles!$A:$A,MATCH($B759,Hairstyles!$F:$F,0)),"" "",""""),""'"",""""),""("",""""),"")"","""")&amp;""\""&amp;INDEX(SPLIT($A$2,""_""),1)&amp;""\""&amp;INDEX(SPLIT($A$2,""_""),2)&amp;""\""&amp;SUBSTITUTE(SUBST"&amp;"ITUTE(SUBSTITUTE(SUBSTITUTE(SUBSTITUTE(INDEX(Hairstyles!$C:$C,MATCH($B759,Hairstyles!$F:$F,0)),"" "",""""),""'"",""""),""("",""""),"")"",""""),""-"",""_"")&amp;""_""&amp;$A$2)"),"")</f>
        <v/>
      </c>
      <c r="D759" s="12" t="str">
        <f t="shared" si="1"/>
        <v/>
      </c>
    </row>
    <row r="760">
      <c r="C760" s="12" t="str">
        <f>IFERROR(__xludf.DUMMYFUNCTION("IF($B760="""","""",SUBSTITUTE(SUBSTITUTE(SUBSTITUTE(SUBSTITUTE(INDEX(Hairstyles!$A:$A,MATCH($B760,Hairstyles!$F:$F,0)),"" "",""""),""'"",""""),""("",""""),"")"","""")&amp;""\""&amp;INDEX(SPLIT($A$2,""_""),1)&amp;""\""&amp;INDEX(SPLIT($A$2,""_""),2)&amp;""\""&amp;SUBSTITUTE(SUBST"&amp;"ITUTE(SUBSTITUTE(SUBSTITUTE(SUBSTITUTE(INDEX(Hairstyles!$C:$C,MATCH($B760,Hairstyles!$F:$F,0)),"" "",""""),""'"",""""),""("",""""),"")"",""""),""-"",""_"")&amp;""_""&amp;$A$2)"),"")</f>
        <v/>
      </c>
      <c r="D760" s="12" t="str">
        <f t="shared" si="1"/>
        <v/>
      </c>
    </row>
    <row r="761">
      <c r="C761" s="12" t="str">
        <f>IFERROR(__xludf.DUMMYFUNCTION("IF($B761="""","""",SUBSTITUTE(SUBSTITUTE(SUBSTITUTE(SUBSTITUTE(INDEX(Hairstyles!$A:$A,MATCH($B761,Hairstyles!$F:$F,0)),"" "",""""),""'"",""""),""("",""""),"")"","""")&amp;""\""&amp;INDEX(SPLIT($A$2,""_""),1)&amp;""\""&amp;INDEX(SPLIT($A$2,""_""),2)&amp;""\""&amp;SUBSTITUTE(SUBST"&amp;"ITUTE(SUBSTITUTE(SUBSTITUTE(SUBSTITUTE(INDEX(Hairstyles!$C:$C,MATCH($B761,Hairstyles!$F:$F,0)),"" "",""""),""'"",""""),""("",""""),"")"",""""),""-"",""_"")&amp;""_""&amp;$A$2)"),"")</f>
        <v/>
      </c>
      <c r="D761" s="12" t="str">
        <f t="shared" si="1"/>
        <v/>
      </c>
    </row>
    <row r="762">
      <c r="C762" s="12" t="str">
        <f>IFERROR(__xludf.DUMMYFUNCTION("IF($B762="""","""",SUBSTITUTE(SUBSTITUTE(SUBSTITUTE(SUBSTITUTE(INDEX(Hairstyles!$A:$A,MATCH($B762,Hairstyles!$F:$F,0)),"" "",""""),""'"",""""),""("",""""),"")"","""")&amp;""\""&amp;INDEX(SPLIT($A$2,""_""),1)&amp;""\""&amp;INDEX(SPLIT($A$2,""_""),2)&amp;""\""&amp;SUBSTITUTE(SUBST"&amp;"ITUTE(SUBSTITUTE(SUBSTITUTE(SUBSTITUTE(INDEX(Hairstyles!$C:$C,MATCH($B762,Hairstyles!$F:$F,0)),"" "",""""),""'"",""""),""("",""""),"")"",""""),""-"",""_"")&amp;""_""&amp;$A$2)"),"")</f>
        <v/>
      </c>
      <c r="D762" s="12" t="str">
        <f t="shared" si="1"/>
        <v/>
      </c>
    </row>
    <row r="763">
      <c r="C763" s="12" t="str">
        <f>IFERROR(__xludf.DUMMYFUNCTION("IF($B763="""","""",SUBSTITUTE(SUBSTITUTE(SUBSTITUTE(SUBSTITUTE(INDEX(Hairstyles!$A:$A,MATCH($B763,Hairstyles!$F:$F,0)),"" "",""""),""'"",""""),""("",""""),"")"","""")&amp;""\""&amp;INDEX(SPLIT($A$2,""_""),1)&amp;""\""&amp;INDEX(SPLIT($A$2,""_""),2)&amp;""\""&amp;SUBSTITUTE(SUBST"&amp;"ITUTE(SUBSTITUTE(SUBSTITUTE(SUBSTITUTE(INDEX(Hairstyles!$C:$C,MATCH($B763,Hairstyles!$F:$F,0)),"" "",""""),""'"",""""),""("",""""),"")"",""""),""-"",""_"")&amp;""_""&amp;$A$2)"),"")</f>
        <v/>
      </c>
      <c r="D763" s="12" t="str">
        <f t="shared" si="1"/>
        <v/>
      </c>
    </row>
    <row r="764">
      <c r="C764" s="12" t="str">
        <f>IFERROR(__xludf.DUMMYFUNCTION("IF($B764="""","""",SUBSTITUTE(SUBSTITUTE(SUBSTITUTE(SUBSTITUTE(INDEX(Hairstyles!$A:$A,MATCH($B764,Hairstyles!$F:$F,0)),"" "",""""),""'"",""""),""("",""""),"")"","""")&amp;""\""&amp;INDEX(SPLIT($A$2,""_""),1)&amp;""\""&amp;INDEX(SPLIT($A$2,""_""),2)&amp;""\""&amp;SUBSTITUTE(SUBST"&amp;"ITUTE(SUBSTITUTE(SUBSTITUTE(SUBSTITUTE(INDEX(Hairstyles!$C:$C,MATCH($B764,Hairstyles!$F:$F,0)),"" "",""""),""'"",""""),""("",""""),"")"",""""),""-"",""_"")&amp;""_""&amp;$A$2)"),"")</f>
        <v/>
      </c>
      <c r="D764" s="12" t="str">
        <f t="shared" si="1"/>
        <v/>
      </c>
    </row>
    <row r="765">
      <c r="C765" s="12" t="str">
        <f>IFERROR(__xludf.DUMMYFUNCTION("IF($B765="""","""",SUBSTITUTE(SUBSTITUTE(SUBSTITUTE(SUBSTITUTE(INDEX(Hairstyles!$A:$A,MATCH($B765,Hairstyles!$F:$F,0)),"" "",""""),""'"",""""),""("",""""),"")"","""")&amp;""\""&amp;INDEX(SPLIT($A$2,""_""),1)&amp;""\""&amp;INDEX(SPLIT($A$2,""_""),2)&amp;""\""&amp;SUBSTITUTE(SUBST"&amp;"ITUTE(SUBSTITUTE(SUBSTITUTE(SUBSTITUTE(INDEX(Hairstyles!$C:$C,MATCH($B765,Hairstyles!$F:$F,0)),"" "",""""),""'"",""""),""("",""""),"")"",""""),""-"",""_"")&amp;""_""&amp;$A$2)"),"")</f>
        <v/>
      </c>
      <c r="D765" s="12" t="str">
        <f t="shared" si="1"/>
        <v/>
      </c>
    </row>
    <row r="766">
      <c r="C766" s="12" t="str">
        <f>IFERROR(__xludf.DUMMYFUNCTION("IF($B766="""","""",SUBSTITUTE(SUBSTITUTE(SUBSTITUTE(SUBSTITUTE(INDEX(Hairstyles!$A:$A,MATCH($B766,Hairstyles!$F:$F,0)),"" "",""""),""'"",""""),""("",""""),"")"","""")&amp;""\""&amp;INDEX(SPLIT($A$2,""_""),1)&amp;""\""&amp;INDEX(SPLIT($A$2,""_""),2)&amp;""\""&amp;SUBSTITUTE(SUBST"&amp;"ITUTE(SUBSTITUTE(SUBSTITUTE(SUBSTITUTE(INDEX(Hairstyles!$C:$C,MATCH($B766,Hairstyles!$F:$F,0)),"" "",""""),""'"",""""),""("",""""),"")"",""""),""-"",""_"")&amp;""_""&amp;$A$2)"),"")</f>
        <v/>
      </c>
      <c r="D766" s="12" t="str">
        <f t="shared" si="1"/>
        <v/>
      </c>
    </row>
    <row r="767">
      <c r="C767" s="12" t="str">
        <f>IFERROR(__xludf.DUMMYFUNCTION("IF($B767="""","""",SUBSTITUTE(SUBSTITUTE(SUBSTITUTE(SUBSTITUTE(INDEX(Hairstyles!$A:$A,MATCH($B767,Hairstyles!$F:$F,0)),"" "",""""),""'"",""""),""("",""""),"")"","""")&amp;""\""&amp;INDEX(SPLIT($A$2,""_""),1)&amp;""\""&amp;INDEX(SPLIT($A$2,""_""),2)&amp;""\""&amp;SUBSTITUTE(SUBST"&amp;"ITUTE(SUBSTITUTE(SUBSTITUTE(SUBSTITUTE(INDEX(Hairstyles!$C:$C,MATCH($B767,Hairstyles!$F:$F,0)),"" "",""""),""'"",""""),""("",""""),"")"",""""),""-"",""_"")&amp;""_""&amp;$A$2)"),"")</f>
        <v/>
      </c>
      <c r="D767" s="12" t="str">
        <f t="shared" si="1"/>
        <v/>
      </c>
    </row>
    <row r="768">
      <c r="C768" s="12" t="str">
        <f>IFERROR(__xludf.DUMMYFUNCTION("IF($B768="""","""",SUBSTITUTE(SUBSTITUTE(SUBSTITUTE(SUBSTITUTE(INDEX(Hairstyles!$A:$A,MATCH($B768,Hairstyles!$F:$F,0)),"" "",""""),""'"",""""),""("",""""),"")"","""")&amp;""\""&amp;INDEX(SPLIT($A$2,""_""),1)&amp;""\""&amp;INDEX(SPLIT($A$2,""_""),2)&amp;""\""&amp;SUBSTITUTE(SUBST"&amp;"ITUTE(SUBSTITUTE(SUBSTITUTE(SUBSTITUTE(INDEX(Hairstyles!$C:$C,MATCH($B768,Hairstyles!$F:$F,0)),"" "",""""),""'"",""""),""("",""""),"")"",""""),""-"",""_"")&amp;""_""&amp;$A$2)"),"")</f>
        <v/>
      </c>
      <c r="D768" s="12" t="str">
        <f t="shared" si="1"/>
        <v/>
      </c>
    </row>
    <row r="769">
      <c r="C769" s="12" t="str">
        <f>IFERROR(__xludf.DUMMYFUNCTION("IF($B769="""","""",SUBSTITUTE(SUBSTITUTE(SUBSTITUTE(SUBSTITUTE(INDEX(Hairstyles!$A:$A,MATCH($B769,Hairstyles!$F:$F,0)),"" "",""""),""'"",""""),""("",""""),"")"","""")&amp;""\""&amp;INDEX(SPLIT($A$2,""_""),1)&amp;""\""&amp;INDEX(SPLIT($A$2,""_""),2)&amp;""\""&amp;SUBSTITUTE(SUBST"&amp;"ITUTE(SUBSTITUTE(SUBSTITUTE(SUBSTITUTE(INDEX(Hairstyles!$C:$C,MATCH($B769,Hairstyles!$F:$F,0)),"" "",""""),""'"",""""),""("",""""),"")"",""""),""-"",""_"")&amp;""_""&amp;$A$2)"),"")</f>
        <v/>
      </c>
      <c r="D769" s="12" t="str">
        <f t="shared" si="1"/>
        <v/>
      </c>
    </row>
    <row r="770">
      <c r="C770" s="12" t="str">
        <f>IFERROR(__xludf.DUMMYFUNCTION("IF($B770="""","""",SUBSTITUTE(SUBSTITUTE(SUBSTITUTE(SUBSTITUTE(INDEX(Hairstyles!$A:$A,MATCH($B770,Hairstyles!$F:$F,0)),"" "",""""),""'"",""""),""("",""""),"")"","""")&amp;""\""&amp;INDEX(SPLIT($A$2,""_""),1)&amp;""\""&amp;INDEX(SPLIT($A$2,""_""),2)&amp;""\""&amp;SUBSTITUTE(SUBST"&amp;"ITUTE(SUBSTITUTE(SUBSTITUTE(SUBSTITUTE(INDEX(Hairstyles!$C:$C,MATCH($B770,Hairstyles!$F:$F,0)),"" "",""""),""'"",""""),""("",""""),"")"",""""),""-"",""_"")&amp;""_""&amp;$A$2)"),"")</f>
        <v/>
      </c>
      <c r="D770" s="12" t="str">
        <f t="shared" si="1"/>
        <v/>
      </c>
    </row>
    <row r="771">
      <c r="C771" s="12" t="str">
        <f>IFERROR(__xludf.DUMMYFUNCTION("IF($B771="""","""",SUBSTITUTE(SUBSTITUTE(SUBSTITUTE(SUBSTITUTE(INDEX(Hairstyles!$A:$A,MATCH($B771,Hairstyles!$F:$F,0)),"" "",""""),""'"",""""),""("",""""),"")"","""")&amp;""\""&amp;INDEX(SPLIT($A$2,""_""),1)&amp;""\""&amp;INDEX(SPLIT($A$2,""_""),2)&amp;""\""&amp;SUBSTITUTE(SUBST"&amp;"ITUTE(SUBSTITUTE(SUBSTITUTE(SUBSTITUTE(INDEX(Hairstyles!$C:$C,MATCH($B771,Hairstyles!$F:$F,0)),"" "",""""),""'"",""""),""("",""""),"")"",""""),""-"",""_"")&amp;""_""&amp;$A$2)"),"")</f>
        <v/>
      </c>
      <c r="D771" s="12" t="str">
        <f t="shared" si="1"/>
        <v/>
      </c>
    </row>
    <row r="772">
      <c r="C772" s="12" t="str">
        <f>IFERROR(__xludf.DUMMYFUNCTION("IF($B772="""","""",SUBSTITUTE(SUBSTITUTE(SUBSTITUTE(SUBSTITUTE(INDEX(Hairstyles!$A:$A,MATCH($B772,Hairstyles!$F:$F,0)),"" "",""""),""'"",""""),""("",""""),"")"","""")&amp;""\""&amp;INDEX(SPLIT($A$2,""_""),1)&amp;""\""&amp;INDEX(SPLIT($A$2,""_""),2)&amp;""\""&amp;SUBSTITUTE(SUBST"&amp;"ITUTE(SUBSTITUTE(SUBSTITUTE(SUBSTITUTE(INDEX(Hairstyles!$C:$C,MATCH($B772,Hairstyles!$F:$F,0)),"" "",""""),""'"",""""),""("",""""),"")"",""""),""-"",""_"")&amp;""_""&amp;$A$2)"),"")</f>
        <v/>
      </c>
      <c r="D772" s="12" t="str">
        <f t="shared" si="1"/>
        <v/>
      </c>
    </row>
    <row r="773">
      <c r="C773" s="12" t="str">
        <f>IFERROR(__xludf.DUMMYFUNCTION("IF($B773="""","""",SUBSTITUTE(SUBSTITUTE(SUBSTITUTE(SUBSTITUTE(INDEX(Hairstyles!$A:$A,MATCH($B773,Hairstyles!$F:$F,0)),"" "",""""),""'"",""""),""("",""""),"")"","""")&amp;""\""&amp;INDEX(SPLIT($A$2,""_""),1)&amp;""\""&amp;INDEX(SPLIT($A$2,""_""),2)&amp;""\""&amp;SUBSTITUTE(SUBST"&amp;"ITUTE(SUBSTITUTE(SUBSTITUTE(SUBSTITUTE(INDEX(Hairstyles!$C:$C,MATCH($B773,Hairstyles!$F:$F,0)),"" "",""""),""'"",""""),""("",""""),"")"",""""),""-"",""_"")&amp;""_""&amp;$A$2)"),"")</f>
        <v/>
      </c>
      <c r="D773" s="12" t="str">
        <f t="shared" si="1"/>
        <v/>
      </c>
    </row>
    <row r="774">
      <c r="C774" s="12" t="str">
        <f>IFERROR(__xludf.DUMMYFUNCTION("IF($B774="""","""",SUBSTITUTE(SUBSTITUTE(SUBSTITUTE(SUBSTITUTE(INDEX(Hairstyles!$A:$A,MATCH($B774,Hairstyles!$F:$F,0)),"" "",""""),""'"",""""),""("",""""),"")"","""")&amp;""\""&amp;INDEX(SPLIT($A$2,""_""),1)&amp;""\""&amp;INDEX(SPLIT($A$2,""_""),2)&amp;""\""&amp;SUBSTITUTE(SUBST"&amp;"ITUTE(SUBSTITUTE(SUBSTITUTE(SUBSTITUTE(INDEX(Hairstyles!$C:$C,MATCH($B774,Hairstyles!$F:$F,0)),"" "",""""),""'"",""""),""("",""""),"")"",""""),""-"",""_"")&amp;""_""&amp;$A$2)"),"")</f>
        <v/>
      </c>
      <c r="D774" s="12" t="str">
        <f t="shared" si="1"/>
        <v/>
      </c>
    </row>
    <row r="775">
      <c r="C775" s="12" t="str">
        <f>IFERROR(__xludf.DUMMYFUNCTION("IF($B775="""","""",SUBSTITUTE(SUBSTITUTE(SUBSTITUTE(SUBSTITUTE(INDEX(Hairstyles!$A:$A,MATCH($B775,Hairstyles!$F:$F,0)),"" "",""""),""'"",""""),""("",""""),"")"","""")&amp;""\""&amp;INDEX(SPLIT($A$2,""_""),1)&amp;""\""&amp;INDEX(SPLIT($A$2,""_""),2)&amp;""\""&amp;SUBSTITUTE(SUBST"&amp;"ITUTE(SUBSTITUTE(SUBSTITUTE(SUBSTITUTE(INDEX(Hairstyles!$C:$C,MATCH($B775,Hairstyles!$F:$F,0)),"" "",""""),""'"",""""),""("",""""),"")"",""""),""-"",""_"")&amp;""_""&amp;$A$2)"),"")</f>
        <v/>
      </c>
      <c r="D775" s="12" t="str">
        <f t="shared" si="1"/>
        <v/>
      </c>
    </row>
    <row r="776">
      <c r="C776" s="12" t="str">
        <f>IFERROR(__xludf.DUMMYFUNCTION("IF($B776="""","""",SUBSTITUTE(SUBSTITUTE(SUBSTITUTE(SUBSTITUTE(INDEX(Hairstyles!$A:$A,MATCH($B776,Hairstyles!$F:$F,0)),"" "",""""),""'"",""""),""("",""""),"")"","""")&amp;""\""&amp;INDEX(SPLIT($A$2,""_""),1)&amp;""\""&amp;INDEX(SPLIT($A$2,""_""),2)&amp;""\""&amp;SUBSTITUTE(SUBST"&amp;"ITUTE(SUBSTITUTE(SUBSTITUTE(SUBSTITUTE(INDEX(Hairstyles!$C:$C,MATCH($B776,Hairstyles!$F:$F,0)),"" "",""""),""'"",""""),""("",""""),"")"",""""),""-"",""_"")&amp;""_""&amp;$A$2)"),"")</f>
        <v/>
      </c>
      <c r="D776" s="12" t="str">
        <f t="shared" si="1"/>
        <v/>
      </c>
    </row>
    <row r="777">
      <c r="C777" s="12" t="str">
        <f>IFERROR(__xludf.DUMMYFUNCTION("IF($B777="""","""",SUBSTITUTE(SUBSTITUTE(SUBSTITUTE(SUBSTITUTE(INDEX(Hairstyles!$A:$A,MATCH($B777,Hairstyles!$F:$F,0)),"" "",""""),""'"",""""),""("",""""),"")"","""")&amp;""\""&amp;INDEX(SPLIT($A$2,""_""),1)&amp;""\""&amp;INDEX(SPLIT($A$2,""_""),2)&amp;""\""&amp;SUBSTITUTE(SUBST"&amp;"ITUTE(SUBSTITUTE(SUBSTITUTE(SUBSTITUTE(INDEX(Hairstyles!$C:$C,MATCH($B777,Hairstyles!$F:$F,0)),"" "",""""),""'"",""""),""("",""""),"")"",""""),""-"",""_"")&amp;""_""&amp;$A$2)"),"")</f>
        <v/>
      </c>
      <c r="D777" s="12" t="str">
        <f t="shared" si="1"/>
        <v/>
      </c>
    </row>
    <row r="778">
      <c r="C778" s="12" t="str">
        <f>IFERROR(__xludf.DUMMYFUNCTION("IF($B778="""","""",SUBSTITUTE(SUBSTITUTE(SUBSTITUTE(SUBSTITUTE(INDEX(Hairstyles!$A:$A,MATCH($B778,Hairstyles!$F:$F,0)),"" "",""""),""'"",""""),""("",""""),"")"","""")&amp;""\""&amp;INDEX(SPLIT($A$2,""_""),1)&amp;""\""&amp;INDEX(SPLIT($A$2,""_""),2)&amp;""\""&amp;SUBSTITUTE(SUBST"&amp;"ITUTE(SUBSTITUTE(SUBSTITUTE(SUBSTITUTE(INDEX(Hairstyles!$C:$C,MATCH($B778,Hairstyles!$F:$F,0)),"" "",""""),""'"",""""),""("",""""),"")"",""""),""-"",""_"")&amp;""_""&amp;$A$2)"),"")</f>
        <v/>
      </c>
      <c r="D778" s="12" t="str">
        <f t="shared" si="1"/>
        <v/>
      </c>
    </row>
    <row r="779">
      <c r="C779" s="12" t="str">
        <f>IFERROR(__xludf.DUMMYFUNCTION("IF($B779="""","""",SUBSTITUTE(SUBSTITUTE(SUBSTITUTE(SUBSTITUTE(INDEX(Hairstyles!$A:$A,MATCH($B779,Hairstyles!$F:$F,0)),"" "",""""),""'"",""""),""("",""""),"")"","""")&amp;""\""&amp;INDEX(SPLIT($A$2,""_""),1)&amp;""\""&amp;INDEX(SPLIT($A$2,""_""),2)&amp;""\""&amp;SUBSTITUTE(SUBST"&amp;"ITUTE(SUBSTITUTE(SUBSTITUTE(SUBSTITUTE(INDEX(Hairstyles!$C:$C,MATCH($B779,Hairstyles!$F:$F,0)),"" "",""""),""'"",""""),""("",""""),"")"",""""),""-"",""_"")&amp;""_""&amp;$A$2)"),"")</f>
        <v/>
      </c>
      <c r="D779" s="12" t="str">
        <f t="shared" si="1"/>
        <v/>
      </c>
    </row>
    <row r="780">
      <c r="C780" s="12" t="str">
        <f>IFERROR(__xludf.DUMMYFUNCTION("IF($B780="""","""",SUBSTITUTE(SUBSTITUTE(SUBSTITUTE(SUBSTITUTE(INDEX(Hairstyles!$A:$A,MATCH($B780,Hairstyles!$F:$F,0)),"" "",""""),""'"",""""),""("",""""),"")"","""")&amp;""\""&amp;INDEX(SPLIT($A$2,""_""),1)&amp;""\""&amp;INDEX(SPLIT($A$2,""_""),2)&amp;""\""&amp;SUBSTITUTE(SUBST"&amp;"ITUTE(SUBSTITUTE(SUBSTITUTE(SUBSTITUTE(INDEX(Hairstyles!$C:$C,MATCH($B780,Hairstyles!$F:$F,0)),"" "",""""),""'"",""""),""("",""""),"")"",""""),""-"",""_"")&amp;""_""&amp;$A$2)"),"")</f>
        <v/>
      </c>
      <c r="D780" s="12" t="str">
        <f t="shared" si="1"/>
        <v/>
      </c>
    </row>
    <row r="781">
      <c r="C781" s="12" t="str">
        <f>IFERROR(__xludf.DUMMYFUNCTION("IF($B781="""","""",SUBSTITUTE(SUBSTITUTE(SUBSTITUTE(SUBSTITUTE(INDEX(Hairstyles!$A:$A,MATCH($B781,Hairstyles!$F:$F,0)),"" "",""""),""'"",""""),""("",""""),"")"","""")&amp;""\""&amp;INDEX(SPLIT($A$2,""_""),1)&amp;""\""&amp;INDEX(SPLIT($A$2,""_""),2)&amp;""\""&amp;SUBSTITUTE(SUBST"&amp;"ITUTE(SUBSTITUTE(SUBSTITUTE(SUBSTITUTE(INDEX(Hairstyles!$C:$C,MATCH($B781,Hairstyles!$F:$F,0)),"" "",""""),""'"",""""),""("",""""),"")"",""""),""-"",""_"")&amp;""_""&amp;$A$2)"),"")</f>
        <v/>
      </c>
      <c r="D781" s="12" t="str">
        <f t="shared" si="1"/>
        <v/>
      </c>
    </row>
    <row r="782">
      <c r="C782" s="12" t="str">
        <f>IFERROR(__xludf.DUMMYFUNCTION("IF($B782="""","""",SUBSTITUTE(SUBSTITUTE(SUBSTITUTE(SUBSTITUTE(INDEX(Hairstyles!$A:$A,MATCH($B782,Hairstyles!$F:$F,0)),"" "",""""),""'"",""""),""("",""""),"")"","""")&amp;""\""&amp;INDEX(SPLIT($A$2,""_""),1)&amp;""\""&amp;INDEX(SPLIT($A$2,""_""),2)&amp;""\""&amp;SUBSTITUTE(SUBST"&amp;"ITUTE(SUBSTITUTE(SUBSTITUTE(SUBSTITUTE(INDEX(Hairstyles!$C:$C,MATCH($B782,Hairstyles!$F:$F,0)),"" "",""""),""'"",""""),""("",""""),"")"",""""),""-"",""_"")&amp;""_""&amp;$A$2)"),"")</f>
        <v/>
      </c>
      <c r="D782" s="12" t="str">
        <f t="shared" si="1"/>
        <v/>
      </c>
    </row>
    <row r="783">
      <c r="C783" s="12" t="str">
        <f>IFERROR(__xludf.DUMMYFUNCTION("IF($B783="""","""",SUBSTITUTE(SUBSTITUTE(SUBSTITUTE(SUBSTITUTE(INDEX(Hairstyles!$A:$A,MATCH($B783,Hairstyles!$F:$F,0)),"" "",""""),""'"",""""),""("",""""),"")"","""")&amp;""\""&amp;INDEX(SPLIT($A$2,""_""),1)&amp;""\""&amp;INDEX(SPLIT($A$2,""_""),2)&amp;""\""&amp;SUBSTITUTE(SUBST"&amp;"ITUTE(SUBSTITUTE(SUBSTITUTE(SUBSTITUTE(INDEX(Hairstyles!$C:$C,MATCH($B783,Hairstyles!$F:$F,0)),"" "",""""),""'"",""""),""("",""""),"")"",""""),""-"",""_"")&amp;""_""&amp;$A$2)"),"")</f>
        <v/>
      </c>
      <c r="D783" s="12" t="str">
        <f t="shared" si="1"/>
        <v/>
      </c>
    </row>
    <row r="784">
      <c r="C784" s="12" t="str">
        <f>IFERROR(__xludf.DUMMYFUNCTION("IF($B784="""","""",SUBSTITUTE(SUBSTITUTE(SUBSTITUTE(SUBSTITUTE(INDEX(Hairstyles!$A:$A,MATCH($B784,Hairstyles!$F:$F,0)),"" "",""""),""'"",""""),""("",""""),"")"","""")&amp;""\""&amp;INDEX(SPLIT($A$2,""_""),1)&amp;""\""&amp;INDEX(SPLIT($A$2,""_""),2)&amp;""\""&amp;SUBSTITUTE(SUBST"&amp;"ITUTE(SUBSTITUTE(SUBSTITUTE(SUBSTITUTE(INDEX(Hairstyles!$C:$C,MATCH($B784,Hairstyles!$F:$F,0)),"" "",""""),""'"",""""),""("",""""),"")"",""""),""-"",""_"")&amp;""_""&amp;$A$2)"),"")</f>
        <v/>
      </c>
      <c r="D784" s="12" t="str">
        <f t="shared" si="1"/>
        <v/>
      </c>
    </row>
    <row r="785">
      <c r="C785" s="12" t="str">
        <f>IFERROR(__xludf.DUMMYFUNCTION("IF($B785="""","""",SUBSTITUTE(SUBSTITUTE(SUBSTITUTE(SUBSTITUTE(INDEX(Hairstyles!$A:$A,MATCH($B785,Hairstyles!$F:$F,0)),"" "",""""),""'"",""""),""("",""""),"")"","""")&amp;""\""&amp;INDEX(SPLIT($A$2,""_""),1)&amp;""\""&amp;INDEX(SPLIT($A$2,""_""),2)&amp;""\""&amp;SUBSTITUTE(SUBST"&amp;"ITUTE(SUBSTITUTE(SUBSTITUTE(SUBSTITUTE(INDEX(Hairstyles!$C:$C,MATCH($B785,Hairstyles!$F:$F,0)),"" "",""""),""'"",""""),""("",""""),"")"",""""),""-"",""_"")&amp;""_""&amp;$A$2)"),"")</f>
        <v/>
      </c>
      <c r="D785" s="12" t="str">
        <f t="shared" si="1"/>
        <v/>
      </c>
    </row>
    <row r="786">
      <c r="C786" s="12" t="str">
        <f>IFERROR(__xludf.DUMMYFUNCTION("IF($B786="""","""",SUBSTITUTE(SUBSTITUTE(SUBSTITUTE(SUBSTITUTE(INDEX(Hairstyles!$A:$A,MATCH($B786,Hairstyles!$F:$F,0)),"" "",""""),""'"",""""),""("",""""),"")"","""")&amp;""\""&amp;INDEX(SPLIT($A$2,""_""),1)&amp;""\""&amp;INDEX(SPLIT($A$2,""_""),2)&amp;""\""&amp;SUBSTITUTE(SUBST"&amp;"ITUTE(SUBSTITUTE(SUBSTITUTE(SUBSTITUTE(INDEX(Hairstyles!$C:$C,MATCH($B786,Hairstyles!$F:$F,0)),"" "",""""),""'"",""""),""("",""""),"")"",""""),""-"",""_"")&amp;""_""&amp;$A$2)"),"")</f>
        <v/>
      </c>
      <c r="D786" s="12" t="str">
        <f t="shared" si="1"/>
        <v/>
      </c>
    </row>
    <row r="787">
      <c r="C787" s="12" t="str">
        <f>IFERROR(__xludf.DUMMYFUNCTION("IF($B787="""","""",SUBSTITUTE(SUBSTITUTE(SUBSTITUTE(SUBSTITUTE(INDEX(Hairstyles!$A:$A,MATCH($B787,Hairstyles!$F:$F,0)),"" "",""""),""'"",""""),""("",""""),"")"","""")&amp;""\""&amp;INDEX(SPLIT($A$2,""_""),1)&amp;""\""&amp;INDEX(SPLIT($A$2,""_""),2)&amp;""\""&amp;SUBSTITUTE(SUBST"&amp;"ITUTE(SUBSTITUTE(SUBSTITUTE(SUBSTITUTE(INDEX(Hairstyles!$C:$C,MATCH($B787,Hairstyles!$F:$F,0)),"" "",""""),""'"",""""),""("",""""),"")"",""""),""-"",""_"")&amp;""_""&amp;$A$2)"),"")</f>
        <v/>
      </c>
      <c r="D787" s="12" t="str">
        <f t="shared" si="1"/>
        <v/>
      </c>
    </row>
    <row r="788">
      <c r="C788" s="12" t="str">
        <f>IFERROR(__xludf.DUMMYFUNCTION("IF($B788="""","""",SUBSTITUTE(SUBSTITUTE(SUBSTITUTE(SUBSTITUTE(INDEX(Hairstyles!$A:$A,MATCH($B788,Hairstyles!$F:$F,0)),"" "",""""),""'"",""""),""("",""""),"")"","""")&amp;""\""&amp;INDEX(SPLIT($A$2,""_""),1)&amp;""\""&amp;INDEX(SPLIT($A$2,""_""),2)&amp;""\""&amp;SUBSTITUTE(SUBST"&amp;"ITUTE(SUBSTITUTE(SUBSTITUTE(SUBSTITUTE(INDEX(Hairstyles!$C:$C,MATCH($B788,Hairstyles!$F:$F,0)),"" "",""""),""'"",""""),""("",""""),"")"",""""),""-"",""_"")&amp;""_""&amp;$A$2)"),"")</f>
        <v/>
      </c>
      <c r="D788" s="12" t="str">
        <f t="shared" si="1"/>
        <v/>
      </c>
    </row>
    <row r="789">
      <c r="C789" s="12" t="str">
        <f>IFERROR(__xludf.DUMMYFUNCTION("IF($B789="""","""",SUBSTITUTE(SUBSTITUTE(SUBSTITUTE(SUBSTITUTE(INDEX(Hairstyles!$A:$A,MATCH($B789,Hairstyles!$F:$F,0)),"" "",""""),""'"",""""),""("",""""),"")"","""")&amp;""\""&amp;INDEX(SPLIT($A$2,""_""),1)&amp;""\""&amp;INDEX(SPLIT($A$2,""_""),2)&amp;""\""&amp;SUBSTITUTE(SUBST"&amp;"ITUTE(SUBSTITUTE(SUBSTITUTE(SUBSTITUTE(INDEX(Hairstyles!$C:$C,MATCH($B789,Hairstyles!$F:$F,0)),"" "",""""),""'"",""""),""("",""""),"")"",""""),""-"",""_"")&amp;""_""&amp;$A$2)"),"")</f>
        <v/>
      </c>
      <c r="D789" s="12" t="str">
        <f t="shared" si="1"/>
        <v/>
      </c>
    </row>
    <row r="790">
      <c r="C790" s="12" t="str">
        <f>IFERROR(__xludf.DUMMYFUNCTION("IF($B790="""","""",SUBSTITUTE(SUBSTITUTE(SUBSTITUTE(SUBSTITUTE(INDEX(Hairstyles!$A:$A,MATCH($B790,Hairstyles!$F:$F,0)),"" "",""""),""'"",""""),""("",""""),"")"","""")&amp;""\""&amp;INDEX(SPLIT($A$2,""_""),1)&amp;""\""&amp;INDEX(SPLIT($A$2,""_""),2)&amp;""\""&amp;SUBSTITUTE(SUBST"&amp;"ITUTE(SUBSTITUTE(SUBSTITUTE(SUBSTITUTE(INDEX(Hairstyles!$C:$C,MATCH($B790,Hairstyles!$F:$F,0)),"" "",""""),""'"",""""),""("",""""),"")"",""""),""-"",""_"")&amp;""_""&amp;$A$2)"),"")</f>
        <v/>
      </c>
      <c r="D790" s="12" t="str">
        <f t="shared" si="1"/>
        <v/>
      </c>
    </row>
    <row r="791">
      <c r="C791" s="12" t="str">
        <f>IFERROR(__xludf.DUMMYFUNCTION("IF($B791="""","""",SUBSTITUTE(SUBSTITUTE(SUBSTITUTE(SUBSTITUTE(INDEX(Hairstyles!$A:$A,MATCH($B791,Hairstyles!$F:$F,0)),"" "",""""),""'"",""""),""("",""""),"")"","""")&amp;""\""&amp;INDEX(SPLIT($A$2,""_""),1)&amp;""\""&amp;INDEX(SPLIT($A$2,""_""),2)&amp;""\""&amp;SUBSTITUTE(SUBST"&amp;"ITUTE(SUBSTITUTE(SUBSTITUTE(SUBSTITUTE(INDEX(Hairstyles!$C:$C,MATCH($B791,Hairstyles!$F:$F,0)),"" "",""""),""'"",""""),""("",""""),"")"",""""),""-"",""_"")&amp;""_""&amp;$A$2)"),"")</f>
        <v/>
      </c>
      <c r="D791" s="12" t="str">
        <f t="shared" si="1"/>
        <v/>
      </c>
    </row>
    <row r="792">
      <c r="C792" s="12" t="str">
        <f>IFERROR(__xludf.DUMMYFUNCTION("IF($B792="""","""",SUBSTITUTE(SUBSTITUTE(SUBSTITUTE(SUBSTITUTE(INDEX(Hairstyles!$A:$A,MATCH($B792,Hairstyles!$F:$F,0)),"" "",""""),""'"",""""),""("",""""),"")"","""")&amp;""\""&amp;INDEX(SPLIT($A$2,""_""),1)&amp;""\""&amp;INDEX(SPLIT($A$2,""_""),2)&amp;""\""&amp;SUBSTITUTE(SUBST"&amp;"ITUTE(SUBSTITUTE(SUBSTITUTE(SUBSTITUTE(INDEX(Hairstyles!$C:$C,MATCH($B792,Hairstyles!$F:$F,0)),"" "",""""),""'"",""""),""("",""""),"")"",""""),""-"",""_"")&amp;""_""&amp;$A$2)"),"")</f>
        <v/>
      </c>
      <c r="D792" s="12" t="str">
        <f t="shared" si="1"/>
        <v/>
      </c>
    </row>
    <row r="793">
      <c r="C793" s="12" t="str">
        <f>IFERROR(__xludf.DUMMYFUNCTION("IF($B793="""","""",SUBSTITUTE(SUBSTITUTE(SUBSTITUTE(SUBSTITUTE(INDEX(Hairstyles!$A:$A,MATCH($B793,Hairstyles!$F:$F,0)),"" "",""""),""'"",""""),""("",""""),"")"","""")&amp;""\""&amp;INDEX(SPLIT($A$2,""_""),1)&amp;""\""&amp;INDEX(SPLIT($A$2,""_""),2)&amp;""\""&amp;SUBSTITUTE(SUBST"&amp;"ITUTE(SUBSTITUTE(SUBSTITUTE(SUBSTITUTE(INDEX(Hairstyles!$C:$C,MATCH($B793,Hairstyles!$F:$F,0)),"" "",""""),""'"",""""),""("",""""),"")"",""""),""-"",""_"")&amp;""_""&amp;$A$2)"),"")</f>
        <v/>
      </c>
      <c r="D793" s="12" t="str">
        <f t="shared" si="1"/>
        <v/>
      </c>
    </row>
    <row r="794">
      <c r="C794" s="12" t="str">
        <f>IFERROR(__xludf.DUMMYFUNCTION("IF($B794="""","""",SUBSTITUTE(SUBSTITUTE(SUBSTITUTE(SUBSTITUTE(INDEX(Hairstyles!$A:$A,MATCH($B794,Hairstyles!$F:$F,0)),"" "",""""),""'"",""""),""("",""""),"")"","""")&amp;""\""&amp;INDEX(SPLIT($A$2,""_""),1)&amp;""\""&amp;INDEX(SPLIT($A$2,""_""),2)&amp;""\""&amp;SUBSTITUTE(SUBST"&amp;"ITUTE(SUBSTITUTE(SUBSTITUTE(SUBSTITUTE(INDEX(Hairstyles!$C:$C,MATCH($B794,Hairstyles!$F:$F,0)),"" "",""""),""'"",""""),""("",""""),"")"",""""),""-"",""_"")&amp;""_""&amp;$A$2)"),"")</f>
        <v/>
      </c>
      <c r="D794" s="12" t="str">
        <f t="shared" si="1"/>
        <v/>
      </c>
    </row>
    <row r="795">
      <c r="C795" s="12" t="str">
        <f>IFERROR(__xludf.DUMMYFUNCTION("IF($B795="""","""",SUBSTITUTE(SUBSTITUTE(SUBSTITUTE(SUBSTITUTE(INDEX(Hairstyles!$A:$A,MATCH($B795,Hairstyles!$F:$F,0)),"" "",""""),""'"",""""),""("",""""),"")"","""")&amp;""\""&amp;INDEX(SPLIT($A$2,""_""),1)&amp;""\""&amp;INDEX(SPLIT($A$2,""_""),2)&amp;""\""&amp;SUBSTITUTE(SUBST"&amp;"ITUTE(SUBSTITUTE(SUBSTITUTE(SUBSTITUTE(INDEX(Hairstyles!$C:$C,MATCH($B795,Hairstyles!$F:$F,0)),"" "",""""),""'"",""""),""("",""""),"")"",""""),""-"",""_"")&amp;""_""&amp;$A$2)"),"")</f>
        <v/>
      </c>
      <c r="D795" s="12" t="str">
        <f t="shared" si="1"/>
        <v/>
      </c>
    </row>
    <row r="796">
      <c r="C796" s="12" t="str">
        <f>IFERROR(__xludf.DUMMYFUNCTION("IF($B796="""","""",SUBSTITUTE(SUBSTITUTE(SUBSTITUTE(SUBSTITUTE(INDEX(Hairstyles!$A:$A,MATCH($B796,Hairstyles!$F:$F,0)),"" "",""""),""'"",""""),""("",""""),"")"","""")&amp;""\""&amp;INDEX(SPLIT($A$2,""_""),1)&amp;""\""&amp;INDEX(SPLIT($A$2,""_""),2)&amp;""\""&amp;SUBSTITUTE(SUBST"&amp;"ITUTE(SUBSTITUTE(SUBSTITUTE(SUBSTITUTE(INDEX(Hairstyles!$C:$C,MATCH($B796,Hairstyles!$F:$F,0)),"" "",""""),""'"",""""),""("",""""),"")"",""""),""-"",""_"")&amp;""_""&amp;$A$2)"),"")</f>
        <v/>
      </c>
      <c r="D796" s="12" t="str">
        <f t="shared" si="1"/>
        <v/>
      </c>
    </row>
    <row r="797">
      <c r="C797" s="12" t="str">
        <f>IFERROR(__xludf.DUMMYFUNCTION("IF($B797="""","""",SUBSTITUTE(SUBSTITUTE(SUBSTITUTE(SUBSTITUTE(INDEX(Hairstyles!$A:$A,MATCH($B797,Hairstyles!$F:$F,0)),"" "",""""),""'"",""""),""("",""""),"")"","""")&amp;""\""&amp;INDEX(SPLIT($A$2,""_""),1)&amp;""\""&amp;INDEX(SPLIT($A$2,""_""),2)&amp;""\""&amp;SUBSTITUTE(SUBST"&amp;"ITUTE(SUBSTITUTE(SUBSTITUTE(SUBSTITUTE(INDEX(Hairstyles!$C:$C,MATCH($B797,Hairstyles!$F:$F,0)),"" "",""""),""'"",""""),""("",""""),"")"",""""),""-"",""_"")&amp;""_""&amp;$A$2)"),"")</f>
        <v/>
      </c>
      <c r="D797" s="12" t="str">
        <f t="shared" si="1"/>
        <v/>
      </c>
    </row>
    <row r="798">
      <c r="C798" s="12" t="str">
        <f>IFERROR(__xludf.DUMMYFUNCTION("IF($B798="""","""",SUBSTITUTE(SUBSTITUTE(SUBSTITUTE(SUBSTITUTE(INDEX(Hairstyles!$A:$A,MATCH($B798,Hairstyles!$F:$F,0)),"" "",""""),""'"",""""),""("",""""),"")"","""")&amp;""\""&amp;INDEX(SPLIT($A$2,""_""),1)&amp;""\""&amp;INDEX(SPLIT($A$2,""_""),2)&amp;""\""&amp;SUBSTITUTE(SUBST"&amp;"ITUTE(SUBSTITUTE(SUBSTITUTE(SUBSTITUTE(INDEX(Hairstyles!$C:$C,MATCH($B798,Hairstyles!$F:$F,0)),"" "",""""),""'"",""""),""("",""""),"")"",""""),""-"",""_"")&amp;""_""&amp;$A$2)"),"")</f>
        <v/>
      </c>
      <c r="D798" s="12" t="str">
        <f t="shared" si="1"/>
        <v/>
      </c>
    </row>
    <row r="799">
      <c r="C799" s="12" t="str">
        <f>IFERROR(__xludf.DUMMYFUNCTION("IF($B799="""","""",SUBSTITUTE(SUBSTITUTE(SUBSTITUTE(SUBSTITUTE(INDEX(Hairstyles!$A:$A,MATCH($B799,Hairstyles!$F:$F,0)),"" "",""""),""'"",""""),""("",""""),"")"","""")&amp;""\""&amp;INDEX(SPLIT($A$2,""_""),1)&amp;""\""&amp;INDEX(SPLIT($A$2,""_""),2)&amp;""\""&amp;SUBSTITUTE(SUBST"&amp;"ITUTE(SUBSTITUTE(SUBSTITUTE(SUBSTITUTE(INDEX(Hairstyles!$C:$C,MATCH($B799,Hairstyles!$F:$F,0)),"" "",""""),""'"",""""),""("",""""),"")"",""""),""-"",""_"")&amp;""_""&amp;$A$2)"),"")</f>
        <v/>
      </c>
      <c r="D799" s="12" t="str">
        <f t="shared" si="1"/>
        <v/>
      </c>
    </row>
    <row r="800">
      <c r="C800" s="12" t="str">
        <f>IFERROR(__xludf.DUMMYFUNCTION("IF($B800="""","""",SUBSTITUTE(SUBSTITUTE(SUBSTITUTE(SUBSTITUTE(INDEX(Hairstyles!$A:$A,MATCH($B800,Hairstyles!$F:$F,0)),"" "",""""),""'"",""""),""("",""""),"")"","""")&amp;""\""&amp;INDEX(SPLIT($A$2,""_""),1)&amp;""\""&amp;INDEX(SPLIT($A$2,""_""),2)&amp;""\""&amp;SUBSTITUTE(SUBST"&amp;"ITUTE(SUBSTITUTE(SUBSTITUTE(SUBSTITUTE(INDEX(Hairstyles!$C:$C,MATCH($B800,Hairstyles!$F:$F,0)),"" "",""""),""'"",""""),""("",""""),"")"",""""),""-"",""_"")&amp;""_""&amp;$A$2)"),"")</f>
        <v/>
      </c>
      <c r="D800" s="12" t="str">
        <f t="shared" si="1"/>
        <v/>
      </c>
    </row>
    <row r="801">
      <c r="C801" s="12" t="str">
        <f>IFERROR(__xludf.DUMMYFUNCTION("IF($B801="""","""",SUBSTITUTE(SUBSTITUTE(SUBSTITUTE(SUBSTITUTE(INDEX(Hairstyles!$A:$A,MATCH($B801,Hairstyles!$F:$F,0)),"" "",""""),""'"",""""),""("",""""),"")"","""")&amp;""\""&amp;INDEX(SPLIT($A$2,""_""),1)&amp;""\""&amp;INDEX(SPLIT($A$2,""_""),2)&amp;""\""&amp;SUBSTITUTE(SUBST"&amp;"ITUTE(SUBSTITUTE(SUBSTITUTE(SUBSTITUTE(INDEX(Hairstyles!$C:$C,MATCH($B801,Hairstyles!$F:$F,0)),"" "",""""),""'"",""""),""("",""""),"")"",""""),""-"",""_"")&amp;""_""&amp;$A$2)"),"")</f>
        <v/>
      </c>
      <c r="D801" s="12" t="str">
        <f t="shared" si="1"/>
        <v/>
      </c>
    </row>
    <row r="802">
      <c r="C802" s="12" t="str">
        <f>IFERROR(__xludf.DUMMYFUNCTION("IF($B802="""","""",SUBSTITUTE(SUBSTITUTE(SUBSTITUTE(SUBSTITUTE(INDEX(Hairstyles!$A:$A,MATCH($B802,Hairstyles!$F:$F,0)),"" "",""""),""'"",""""),""("",""""),"")"","""")&amp;""\""&amp;INDEX(SPLIT($A$2,""_""),1)&amp;""\""&amp;INDEX(SPLIT($A$2,""_""),2)&amp;""\""&amp;SUBSTITUTE(SUBST"&amp;"ITUTE(SUBSTITUTE(SUBSTITUTE(SUBSTITUTE(INDEX(Hairstyles!$C:$C,MATCH($B802,Hairstyles!$F:$F,0)),"" "",""""),""'"",""""),""("",""""),"")"",""""),""-"",""_"")&amp;""_""&amp;$A$2)"),"")</f>
        <v/>
      </c>
      <c r="D802" s="12" t="str">
        <f t="shared" si="1"/>
        <v/>
      </c>
    </row>
    <row r="803">
      <c r="C803" s="12" t="str">
        <f>IFERROR(__xludf.DUMMYFUNCTION("IF($B803="""","""",SUBSTITUTE(SUBSTITUTE(SUBSTITUTE(SUBSTITUTE(INDEX(Hairstyles!$A:$A,MATCH($B803,Hairstyles!$F:$F,0)),"" "",""""),""'"",""""),""("",""""),"")"","""")&amp;""\""&amp;INDEX(SPLIT($A$2,""_""),1)&amp;""\""&amp;INDEX(SPLIT($A$2,""_""),2)&amp;""\""&amp;SUBSTITUTE(SUBST"&amp;"ITUTE(SUBSTITUTE(SUBSTITUTE(SUBSTITUTE(INDEX(Hairstyles!$C:$C,MATCH($B803,Hairstyles!$F:$F,0)),"" "",""""),""'"",""""),""("",""""),"")"",""""),""-"",""_"")&amp;""_""&amp;$A$2)"),"")</f>
        <v/>
      </c>
      <c r="D803" s="12" t="str">
        <f t="shared" si="1"/>
        <v/>
      </c>
    </row>
    <row r="804">
      <c r="C804" s="12" t="str">
        <f>IFERROR(__xludf.DUMMYFUNCTION("IF($B804="""","""",SUBSTITUTE(SUBSTITUTE(SUBSTITUTE(SUBSTITUTE(INDEX(Hairstyles!$A:$A,MATCH($B804,Hairstyles!$F:$F,0)),"" "",""""),""'"",""""),""("",""""),"")"","""")&amp;""\""&amp;INDEX(SPLIT($A$2,""_""),1)&amp;""\""&amp;INDEX(SPLIT($A$2,""_""),2)&amp;""\""&amp;SUBSTITUTE(SUBST"&amp;"ITUTE(SUBSTITUTE(SUBSTITUTE(SUBSTITUTE(INDEX(Hairstyles!$C:$C,MATCH($B804,Hairstyles!$F:$F,0)),"" "",""""),""'"",""""),""("",""""),"")"",""""),""-"",""_"")&amp;""_""&amp;$A$2)"),"")</f>
        <v/>
      </c>
      <c r="D804" s="12" t="str">
        <f t="shared" si="1"/>
        <v/>
      </c>
    </row>
    <row r="805">
      <c r="C805" s="12" t="str">
        <f>IFERROR(__xludf.DUMMYFUNCTION("IF($B805="""","""",SUBSTITUTE(SUBSTITUTE(SUBSTITUTE(SUBSTITUTE(INDEX(Hairstyles!$A:$A,MATCH($B805,Hairstyles!$F:$F,0)),"" "",""""),""'"",""""),""("",""""),"")"","""")&amp;""\""&amp;INDEX(SPLIT($A$2,""_""),1)&amp;""\""&amp;INDEX(SPLIT($A$2,""_""),2)&amp;""\""&amp;SUBSTITUTE(SUBST"&amp;"ITUTE(SUBSTITUTE(SUBSTITUTE(SUBSTITUTE(INDEX(Hairstyles!$C:$C,MATCH($B805,Hairstyles!$F:$F,0)),"" "",""""),""'"",""""),""("",""""),"")"",""""),""-"",""_"")&amp;""_""&amp;$A$2)"),"")</f>
        <v/>
      </c>
      <c r="D805" s="12" t="str">
        <f t="shared" si="1"/>
        <v/>
      </c>
    </row>
    <row r="806">
      <c r="C806" s="12" t="str">
        <f>IFERROR(__xludf.DUMMYFUNCTION("IF($B806="""","""",SUBSTITUTE(SUBSTITUTE(SUBSTITUTE(SUBSTITUTE(INDEX(Hairstyles!$A:$A,MATCH($B806,Hairstyles!$F:$F,0)),"" "",""""),""'"",""""),""("",""""),"")"","""")&amp;""\""&amp;INDEX(SPLIT($A$2,""_""),1)&amp;""\""&amp;INDEX(SPLIT($A$2,""_""),2)&amp;""\""&amp;SUBSTITUTE(SUBST"&amp;"ITUTE(SUBSTITUTE(SUBSTITUTE(SUBSTITUTE(INDEX(Hairstyles!$C:$C,MATCH($B806,Hairstyles!$F:$F,0)),"" "",""""),""'"",""""),""("",""""),"")"",""""),""-"",""_"")&amp;""_""&amp;$A$2)"),"")</f>
        <v/>
      </c>
      <c r="D806" s="12" t="str">
        <f t="shared" si="1"/>
        <v/>
      </c>
    </row>
    <row r="807">
      <c r="C807" s="12" t="str">
        <f>IFERROR(__xludf.DUMMYFUNCTION("IF($B807="""","""",SUBSTITUTE(SUBSTITUTE(SUBSTITUTE(SUBSTITUTE(INDEX(Hairstyles!$A:$A,MATCH($B807,Hairstyles!$F:$F,0)),"" "",""""),""'"",""""),""("",""""),"")"","""")&amp;""\""&amp;INDEX(SPLIT($A$2,""_""),1)&amp;""\""&amp;INDEX(SPLIT($A$2,""_""),2)&amp;""\""&amp;SUBSTITUTE(SUBST"&amp;"ITUTE(SUBSTITUTE(SUBSTITUTE(SUBSTITUTE(INDEX(Hairstyles!$C:$C,MATCH($B807,Hairstyles!$F:$F,0)),"" "",""""),""'"",""""),""("",""""),"")"",""""),""-"",""_"")&amp;""_""&amp;$A$2)"),"")</f>
        <v/>
      </c>
      <c r="D807" s="12" t="str">
        <f t="shared" si="1"/>
        <v/>
      </c>
    </row>
    <row r="808">
      <c r="C808" s="12" t="str">
        <f>IFERROR(__xludf.DUMMYFUNCTION("IF($B808="""","""",SUBSTITUTE(SUBSTITUTE(SUBSTITUTE(SUBSTITUTE(INDEX(Hairstyles!$A:$A,MATCH($B808,Hairstyles!$F:$F,0)),"" "",""""),""'"",""""),""("",""""),"")"","""")&amp;""\""&amp;INDEX(SPLIT($A$2,""_""),1)&amp;""\""&amp;INDEX(SPLIT($A$2,""_""),2)&amp;""\""&amp;SUBSTITUTE(SUBST"&amp;"ITUTE(SUBSTITUTE(SUBSTITUTE(SUBSTITUTE(INDEX(Hairstyles!$C:$C,MATCH($B808,Hairstyles!$F:$F,0)),"" "",""""),""'"",""""),""("",""""),"")"",""""),""-"",""_"")&amp;""_""&amp;$A$2)"),"")</f>
        <v/>
      </c>
      <c r="D808" s="12" t="str">
        <f t="shared" si="1"/>
        <v/>
      </c>
    </row>
    <row r="809">
      <c r="C809" s="12" t="str">
        <f>IFERROR(__xludf.DUMMYFUNCTION("IF($B809="""","""",SUBSTITUTE(SUBSTITUTE(SUBSTITUTE(SUBSTITUTE(INDEX(Hairstyles!$A:$A,MATCH($B809,Hairstyles!$F:$F,0)),"" "",""""),""'"",""""),""("",""""),"")"","""")&amp;""\""&amp;INDEX(SPLIT($A$2,""_""),1)&amp;""\""&amp;INDEX(SPLIT($A$2,""_""),2)&amp;""\""&amp;SUBSTITUTE(SUBST"&amp;"ITUTE(SUBSTITUTE(SUBSTITUTE(SUBSTITUTE(INDEX(Hairstyles!$C:$C,MATCH($B809,Hairstyles!$F:$F,0)),"" "",""""),""'"",""""),""("",""""),"")"",""""),""-"",""_"")&amp;""_""&amp;$A$2)"),"")</f>
        <v/>
      </c>
      <c r="D809" s="12" t="str">
        <f t="shared" si="1"/>
        <v/>
      </c>
    </row>
    <row r="810">
      <c r="C810" s="12" t="str">
        <f>IFERROR(__xludf.DUMMYFUNCTION("IF($B810="""","""",SUBSTITUTE(SUBSTITUTE(SUBSTITUTE(SUBSTITUTE(INDEX(Hairstyles!$A:$A,MATCH($B810,Hairstyles!$F:$F,0)),"" "",""""),""'"",""""),""("",""""),"")"","""")&amp;""\""&amp;INDEX(SPLIT($A$2,""_""),1)&amp;""\""&amp;INDEX(SPLIT($A$2,""_""),2)&amp;""\""&amp;SUBSTITUTE(SUBST"&amp;"ITUTE(SUBSTITUTE(SUBSTITUTE(SUBSTITUTE(INDEX(Hairstyles!$C:$C,MATCH($B810,Hairstyles!$F:$F,0)),"" "",""""),""'"",""""),""("",""""),"")"",""""),""-"",""_"")&amp;""_""&amp;$A$2)"),"")</f>
        <v/>
      </c>
      <c r="D810" s="12" t="str">
        <f t="shared" si="1"/>
        <v/>
      </c>
    </row>
    <row r="811">
      <c r="C811" s="12" t="str">
        <f>IFERROR(__xludf.DUMMYFUNCTION("IF($B811="""","""",SUBSTITUTE(SUBSTITUTE(SUBSTITUTE(SUBSTITUTE(INDEX(Hairstyles!$A:$A,MATCH($B811,Hairstyles!$F:$F,0)),"" "",""""),""'"",""""),""("",""""),"")"","""")&amp;""\""&amp;INDEX(SPLIT($A$2,""_""),1)&amp;""\""&amp;INDEX(SPLIT($A$2,""_""),2)&amp;""\""&amp;SUBSTITUTE(SUBST"&amp;"ITUTE(SUBSTITUTE(SUBSTITUTE(SUBSTITUTE(INDEX(Hairstyles!$C:$C,MATCH($B811,Hairstyles!$F:$F,0)),"" "",""""),""'"",""""),""("",""""),"")"",""""),""-"",""_"")&amp;""_""&amp;$A$2)"),"")</f>
        <v/>
      </c>
      <c r="D811" s="12" t="str">
        <f t="shared" si="1"/>
        <v/>
      </c>
    </row>
    <row r="812">
      <c r="C812" s="12" t="str">
        <f>IFERROR(__xludf.DUMMYFUNCTION("IF($B812="""","""",SUBSTITUTE(SUBSTITUTE(SUBSTITUTE(SUBSTITUTE(INDEX(Hairstyles!$A:$A,MATCH($B812,Hairstyles!$F:$F,0)),"" "",""""),""'"",""""),""("",""""),"")"","""")&amp;""\""&amp;INDEX(SPLIT($A$2,""_""),1)&amp;""\""&amp;INDEX(SPLIT($A$2,""_""),2)&amp;""\""&amp;SUBSTITUTE(SUBST"&amp;"ITUTE(SUBSTITUTE(SUBSTITUTE(SUBSTITUTE(INDEX(Hairstyles!$C:$C,MATCH($B812,Hairstyles!$F:$F,0)),"" "",""""),""'"",""""),""("",""""),"")"",""""),""-"",""_"")&amp;""_""&amp;$A$2)"),"")</f>
        <v/>
      </c>
      <c r="D812" s="12" t="str">
        <f t="shared" si="1"/>
        <v/>
      </c>
    </row>
    <row r="813">
      <c r="C813" s="12" t="str">
        <f>IFERROR(__xludf.DUMMYFUNCTION("IF($B813="""","""",SUBSTITUTE(SUBSTITUTE(SUBSTITUTE(SUBSTITUTE(INDEX(Hairstyles!$A:$A,MATCH($B813,Hairstyles!$F:$F,0)),"" "",""""),""'"",""""),""("",""""),"")"","""")&amp;""\""&amp;INDEX(SPLIT($A$2,""_""),1)&amp;""\""&amp;INDEX(SPLIT($A$2,""_""),2)&amp;""\""&amp;SUBSTITUTE(SUBST"&amp;"ITUTE(SUBSTITUTE(SUBSTITUTE(SUBSTITUTE(INDEX(Hairstyles!$C:$C,MATCH($B813,Hairstyles!$F:$F,0)),"" "",""""),""'"",""""),""("",""""),"")"",""""),""-"",""_"")&amp;""_""&amp;$A$2)"),"")</f>
        <v/>
      </c>
      <c r="D813" s="12" t="str">
        <f t="shared" si="1"/>
        <v/>
      </c>
    </row>
    <row r="814">
      <c r="C814" s="12" t="str">
        <f>IFERROR(__xludf.DUMMYFUNCTION("IF($B814="""","""",SUBSTITUTE(SUBSTITUTE(SUBSTITUTE(SUBSTITUTE(INDEX(Hairstyles!$A:$A,MATCH($B814,Hairstyles!$F:$F,0)),"" "",""""),""'"",""""),""("",""""),"")"","""")&amp;""\""&amp;INDEX(SPLIT($A$2,""_""),1)&amp;""\""&amp;INDEX(SPLIT($A$2,""_""),2)&amp;""\""&amp;SUBSTITUTE(SUBST"&amp;"ITUTE(SUBSTITUTE(SUBSTITUTE(SUBSTITUTE(INDEX(Hairstyles!$C:$C,MATCH($B814,Hairstyles!$F:$F,0)),"" "",""""),""'"",""""),""("",""""),"")"",""""),""-"",""_"")&amp;""_""&amp;$A$2)"),"")</f>
        <v/>
      </c>
      <c r="D814" s="12" t="str">
        <f t="shared" si="1"/>
        <v/>
      </c>
    </row>
    <row r="815">
      <c r="C815" s="12" t="str">
        <f>IFERROR(__xludf.DUMMYFUNCTION("IF($B815="""","""",SUBSTITUTE(SUBSTITUTE(SUBSTITUTE(SUBSTITUTE(INDEX(Hairstyles!$A:$A,MATCH($B815,Hairstyles!$F:$F,0)),"" "",""""),""'"",""""),""("",""""),"")"","""")&amp;""\""&amp;INDEX(SPLIT($A$2,""_""),1)&amp;""\""&amp;INDEX(SPLIT($A$2,""_""),2)&amp;""\""&amp;SUBSTITUTE(SUBST"&amp;"ITUTE(SUBSTITUTE(SUBSTITUTE(SUBSTITUTE(INDEX(Hairstyles!$C:$C,MATCH($B815,Hairstyles!$F:$F,0)),"" "",""""),""'"",""""),""("",""""),"")"",""""),""-"",""_"")&amp;""_""&amp;$A$2)"),"")</f>
        <v/>
      </c>
      <c r="D815" s="12" t="str">
        <f t="shared" si="1"/>
        <v/>
      </c>
    </row>
    <row r="816">
      <c r="C816" s="12" t="str">
        <f>IFERROR(__xludf.DUMMYFUNCTION("IF($B816="""","""",SUBSTITUTE(SUBSTITUTE(SUBSTITUTE(SUBSTITUTE(INDEX(Hairstyles!$A:$A,MATCH($B816,Hairstyles!$F:$F,0)),"" "",""""),""'"",""""),""("",""""),"")"","""")&amp;""\""&amp;INDEX(SPLIT($A$2,""_""),1)&amp;""\""&amp;INDEX(SPLIT($A$2,""_""),2)&amp;""\""&amp;SUBSTITUTE(SUBST"&amp;"ITUTE(SUBSTITUTE(SUBSTITUTE(SUBSTITUTE(INDEX(Hairstyles!$C:$C,MATCH($B816,Hairstyles!$F:$F,0)),"" "",""""),""'"",""""),""("",""""),"")"",""""),""-"",""_"")&amp;""_""&amp;$A$2)"),"")</f>
        <v/>
      </c>
      <c r="D816" s="12" t="str">
        <f t="shared" si="1"/>
        <v/>
      </c>
    </row>
    <row r="817">
      <c r="C817" s="12" t="str">
        <f>IFERROR(__xludf.DUMMYFUNCTION("IF($B817="""","""",SUBSTITUTE(SUBSTITUTE(SUBSTITUTE(SUBSTITUTE(INDEX(Hairstyles!$A:$A,MATCH($B817,Hairstyles!$F:$F,0)),"" "",""""),""'"",""""),""("",""""),"")"","""")&amp;""\""&amp;INDEX(SPLIT($A$2,""_""),1)&amp;""\""&amp;INDEX(SPLIT($A$2,""_""),2)&amp;""\""&amp;SUBSTITUTE(SUBST"&amp;"ITUTE(SUBSTITUTE(SUBSTITUTE(SUBSTITUTE(INDEX(Hairstyles!$C:$C,MATCH($B817,Hairstyles!$F:$F,0)),"" "",""""),""'"",""""),""("",""""),"")"",""""),""-"",""_"")&amp;""_""&amp;$A$2)"),"")</f>
        <v/>
      </c>
      <c r="D817" s="12" t="str">
        <f t="shared" si="1"/>
        <v/>
      </c>
    </row>
    <row r="818">
      <c r="C818" s="12" t="str">
        <f>IFERROR(__xludf.DUMMYFUNCTION("IF($B818="""","""",SUBSTITUTE(SUBSTITUTE(SUBSTITUTE(SUBSTITUTE(INDEX(Hairstyles!$A:$A,MATCH($B818,Hairstyles!$F:$F,0)),"" "",""""),""'"",""""),""("",""""),"")"","""")&amp;""\""&amp;INDEX(SPLIT($A$2,""_""),1)&amp;""\""&amp;INDEX(SPLIT($A$2,""_""),2)&amp;""\""&amp;SUBSTITUTE(SUBST"&amp;"ITUTE(SUBSTITUTE(SUBSTITUTE(SUBSTITUTE(INDEX(Hairstyles!$C:$C,MATCH($B818,Hairstyles!$F:$F,0)),"" "",""""),""'"",""""),""("",""""),"")"",""""),""-"",""_"")&amp;""_""&amp;$A$2)"),"")</f>
        <v/>
      </c>
      <c r="D818" s="12" t="str">
        <f t="shared" si="1"/>
        <v/>
      </c>
    </row>
    <row r="819">
      <c r="C819" s="12" t="str">
        <f>IFERROR(__xludf.DUMMYFUNCTION("IF($B819="""","""",SUBSTITUTE(SUBSTITUTE(SUBSTITUTE(SUBSTITUTE(INDEX(Hairstyles!$A:$A,MATCH($B819,Hairstyles!$F:$F,0)),"" "",""""),""'"",""""),""("",""""),"")"","""")&amp;""\""&amp;INDEX(SPLIT($A$2,""_""),1)&amp;""\""&amp;INDEX(SPLIT($A$2,""_""),2)&amp;""\""&amp;SUBSTITUTE(SUBST"&amp;"ITUTE(SUBSTITUTE(SUBSTITUTE(SUBSTITUTE(INDEX(Hairstyles!$C:$C,MATCH($B819,Hairstyles!$F:$F,0)),"" "",""""),""'"",""""),""("",""""),"")"",""""),""-"",""_"")&amp;""_""&amp;$A$2)"),"")</f>
        <v/>
      </c>
      <c r="D819" s="12" t="str">
        <f t="shared" si="1"/>
        <v/>
      </c>
    </row>
    <row r="820">
      <c r="C820" s="12" t="str">
        <f>IFERROR(__xludf.DUMMYFUNCTION("IF($B820="""","""",SUBSTITUTE(SUBSTITUTE(SUBSTITUTE(SUBSTITUTE(INDEX(Hairstyles!$A:$A,MATCH($B820,Hairstyles!$F:$F,0)),"" "",""""),""'"",""""),""("",""""),"")"","""")&amp;""\""&amp;INDEX(SPLIT($A$2,""_""),1)&amp;""\""&amp;INDEX(SPLIT($A$2,""_""),2)&amp;""\""&amp;SUBSTITUTE(SUBST"&amp;"ITUTE(SUBSTITUTE(SUBSTITUTE(SUBSTITUTE(INDEX(Hairstyles!$C:$C,MATCH($B820,Hairstyles!$F:$F,0)),"" "",""""),""'"",""""),""("",""""),"")"",""""),""-"",""_"")&amp;""_""&amp;$A$2)"),"")</f>
        <v/>
      </c>
      <c r="D820" s="12" t="str">
        <f t="shared" si="1"/>
        <v/>
      </c>
    </row>
    <row r="821">
      <c r="C821" s="12" t="str">
        <f>IFERROR(__xludf.DUMMYFUNCTION("IF($B821="""","""",SUBSTITUTE(SUBSTITUTE(SUBSTITUTE(SUBSTITUTE(INDEX(Hairstyles!$A:$A,MATCH($B821,Hairstyles!$F:$F,0)),"" "",""""),""'"",""""),""("",""""),"")"","""")&amp;""\""&amp;INDEX(SPLIT($A$2,""_""),1)&amp;""\""&amp;INDEX(SPLIT($A$2,""_""),2)&amp;""\""&amp;SUBSTITUTE(SUBST"&amp;"ITUTE(SUBSTITUTE(SUBSTITUTE(SUBSTITUTE(INDEX(Hairstyles!$C:$C,MATCH($B821,Hairstyles!$F:$F,0)),"" "",""""),""'"",""""),""("",""""),"")"",""""),""-"",""_"")&amp;""_""&amp;$A$2)"),"")</f>
        <v/>
      </c>
      <c r="D821" s="12" t="str">
        <f t="shared" si="1"/>
        <v/>
      </c>
    </row>
    <row r="822">
      <c r="C822" s="12" t="str">
        <f>IFERROR(__xludf.DUMMYFUNCTION("IF($B822="""","""",SUBSTITUTE(SUBSTITUTE(SUBSTITUTE(SUBSTITUTE(INDEX(Hairstyles!$A:$A,MATCH($B822,Hairstyles!$F:$F,0)),"" "",""""),""'"",""""),""("",""""),"")"","""")&amp;""\""&amp;INDEX(SPLIT($A$2,""_""),1)&amp;""\""&amp;INDEX(SPLIT($A$2,""_""),2)&amp;""\""&amp;SUBSTITUTE(SUBST"&amp;"ITUTE(SUBSTITUTE(SUBSTITUTE(SUBSTITUTE(INDEX(Hairstyles!$C:$C,MATCH($B822,Hairstyles!$F:$F,0)),"" "",""""),""'"",""""),""("",""""),"")"",""""),""-"",""_"")&amp;""_""&amp;$A$2)"),"")</f>
        <v/>
      </c>
      <c r="D822" s="12" t="str">
        <f t="shared" si="1"/>
        <v/>
      </c>
    </row>
    <row r="823">
      <c r="C823" s="12" t="str">
        <f>IFERROR(__xludf.DUMMYFUNCTION("IF($B823="""","""",SUBSTITUTE(SUBSTITUTE(SUBSTITUTE(SUBSTITUTE(INDEX(Hairstyles!$A:$A,MATCH($B823,Hairstyles!$F:$F,0)),"" "",""""),""'"",""""),""("",""""),"")"","""")&amp;""\""&amp;INDEX(SPLIT($A$2,""_""),1)&amp;""\""&amp;INDEX(SPLIT($A$2,""_""),2)&amp;""\""&amp;SUBSTITUTE(SUBST"&amp;"ITUTE(SUBSTITUTE(SUBSTITUTE(SUBSTITUTE(INDEX(Hairstyles!$C:$C,MATCH($B823,Hairstyles!$F:$F,0)),"" "",""""),""'"",""""),""("",""""),"")"",""""),""-"",""_"")&amp;""_""&amp;$A$2)"),"")</f>
        <v/>
      </c>
      <c r="D823" s="12" t="str">
        <f t="shared" si="1"/>
        <v/>
      </c>
    </row>
    <row r="824">
      <c r="C824" s="12" t="str">
        <f>IFERROR(__xludf.DUMMYFUNCTION("IF($B824="""","""",SUBSTITUTE(SUBSTITUTE(SUBSTITUTE(SUBSTITUTE(INDEX(Hairstyles!$A:$A,MATCH($B824,Hairstyles!$F:$F,0)),"" "",""""),""'"",""""),""("",""""),"")"","""")&amp;""\""&amp;INDEX(SPLIT($A$2,""_""),1)&amp;""\""&amp;INDEX(SPLIT($A$2,""_""),2)&amp;""\""&amp;SUBSTITUTE(SUBST"&amp;"ITUTE(SUBSTITUTE(SUBSTITUTE(SUBSTITUTE(INDEX(Hairstyles!$C:$C,MATCH($B824,Hairstyles!$F:$F,0)),"" "",""""),""'"",""""),""("",""""),"")"",""""),""-"",""_"")&amp;""_""&amp;$A$2)"),"")</f>
        <v/>
      </c>
      <c r="D824" s="12" t="str">
        <f t="shared" si="1"/>
        <v/>
      </c>
    </row>
    <row r="825">
      <c r="C825" s="12" t="str">
        <f>IFERROR(__xludf.DUMMYFUNCTION("IF($B825="""","""",SUBSTITUTE(SUBSTITUTE(SUBSTITUTE(SUBSTITUTE(INDEX(Hairstyles!$A:$A,MATCH($B825,Hairstyles!$F:$F,0)),"" "",""""),""'"",""""),""("",""""),"")"","""")&amp;""\""&amp;INDEX(SPLIT($A$2,""_""),1)&amp;""\""&amp;INDEX(SPLIT($A$2,""_""),2)&amp;""\""&amp;SUBSTITUTE(SUBST"&amp;"ITUTE(SUBSTITUTE(SUBSTITUTE(SUBSTITUTE(INDEX(Hairstyles!$C:$C,MATCH($B825,Hairstyles!$F:$F,0)),"" "",""""),""'"",""""),""("",""""),"")"",""""),""-"",""_"")&amp;""_""&amp;$A$2)"),"")</f>
        <v/>
      </c>
      <c r="D825" s="12" t="str">
        <f t="shared" si="1"/>
        <v/>
      </c>
    </row>
    <row r="826">
      <c r="C826" s="12" t="str">
        <f>IFERROR(__xludf.DUMMYFUNCTION("IF($B826="""","""",SUBSTITUTE(SUBSTITUTE(SUBSTITUTE(SUBSTITUTE(INDEX(Hairstyles!$A:$A,MATCH($B826,Hairstyles!$F:$F,0)),"" "",""""),""'"",""""),""("",""""),"")"","""")&amp;""\""&amp;INDEX(SPLIT($A$2,""_""),1)&amp;""\""&amp;INDEX(SPLIT($A$2,""_""),2)&amp;""\""&amp;SUBSTITUTE(SUBST"&amp;"ITUTE(SUBSTITUTE(SUBSTITUTE(SUBSTITUTE(INDEX(Hairstyles!$C:$C,MATCH($B826,Hairstyles!$F:$F,0)),"" "",""""),""'"",""""),""("",""""),"")"",""""),""-"",""_"")&amp;""_""&amp;$A$2)"),"")</f>
        <v/>
      </c>
      <c r="D826" s="12" t="str">
        <f t="shared" si="1"/>
        <v/>
      </c>
    </row>
    <row r="827">
      <c r="C827" s="12" t="str">
        <f>IFERROR(__xludf.DUMMYFUNCTION("IF($B827="""","""",SUBSTITUTE(SUBSTITUTE(SUBSTITUTE(SUBSTITUTE(INDEX(Hairstyles!$A:$A,MATCH($B827,Hairstyles!$F:$F,0)),"" "",""""),""'"",""""),""("",""""),"")"","""")&amp;""\""&amp;INDEX(SPLIT($A$2,""_""),1)&amp;""\""&amp;INDEX(SPLIT($A$2,""_""),2)&amp;""\""&amp;SUBSTITUTE(SUBST"&amp;"ITUTE(SUBSTITUTE(SUBSTITUTE(SUBSTITUTE(INDEX(Hairstyles!$C:$C,MATCH($B827,Hairstyles!$F:$F,0)),"" "",""""),""'"",""""),""("",""""),"")"",""""),""-"",""_"")&amp;""_""&amp;$A$2)"),"")</f>
        <v/>
      </c>
      <c r="D827" s="12" t="str">
        <f t="shared" si="1"/>
        <v/>
      </c>
    </row>
    <row r="828">
      <c r="C828" s="12" t="str">
        <f>IFERROR(__xludf.DUMMYFUNCTION("IF($B828="""","""",SUBSTITUTE(SUBSTITUTE(SUBSTITUTE(SUBSTITUTE(INDEX(Hairstyles!$A:$A,MATCH($B828,Hairstyles!$F:$F,0)),"" "",""""),""'"",""""),""("",""""),"")"","""")&amp;""\""&amp;INDEX(SPLIT($A$2,""_""),1)&amp;""\""&amp;INDEX(SPLIT($A$2,""_""),2)&amp;""\""&amp;SUBSTITUTE(SUBST"&amp;"ITUTE(SUBSTITUTE(SUBSTITUTE(SUBSTITUTE(INDEX(Hairstyles!$C:$C,MATCH($B828,Hairstyles!$F:$F,0)),"" "",""""),""'"",""""),""("",""""),"")"",""""),""-"",""_"")&amp;""_""&amp;$A$2)"),"")</f>
        <v/>
      </c>
      <c r="D828" s="12" t="str">
        <f t="shared" si="1"/>
        <v/>
      </c>
    </row>
    <row r="829">
      <c r="C829" s="12" t="str">
        <f>IFERROR(__xludf.DUMMYFUNCTION("IF($B829="""","""",SUBSTITUTE(SUBSTITUTE(SUBSTITUTE(SUBSTITUTE(INDEX(Hairstyles!$A:$A,MATCH($B829,Hairstyles!$F:$F,0)),"" "",""""),""'"",""""),""("",""""),"")"","""")&amp;""\""&amp;INDEX(SPLIT($A$2,""_""),1)&amp;""\""&amp;INDEX(SPLIT($A$2,""_""),2)&amp;""\""&amp;SUBSTITUTE(SUBST"&amp;"ITUTE(SUBSTITUTE(SUBSTITUTE(SUBSTITUTE(INDEX(Hairstyles!$C:$C,MATCH($B829,Hairstyles!$F:$F,0)),"" "",""""),""'"",""""),""("",""""),"")"",""""),""-"",""_"")&amp;""_""&amp;$A$2)"),"")</f>
        <v/>
      </c>
      <c r="D829" s="12" t="str">
        <f t="shared" si="1"/>
        <v/>
      </c>
    </row>
    <row r="830">
      <c r="C830" s="12" t="str">
        <f>IFERROR(__xludf.DUMMYFUNCTION("IF($B830="""","""",SUBSTITUTE(SUBSTITUTE(SUBSTITUTE(SUBSTITUTE(INDEX(Hairstyles!$A:$A,MATCH($B830,Hairstyles!$F:$F,0)),"" "",""""),""'"",""""),""("",""""),"")"","""")&amp;""\""&amp;INDEX(SPLIT($A$2,""_""),1)&amp;""\""&amp;INDEX(SPLIT($A$2,""_""),2)&amp;""\""&amp;SUBSTITUTE(SUBST"&amp;"ITUTE(SUBSTITUTE(SUBSTITUTE(SUBSTITUTE(INDEX(Hairstyles!$C:$C,MATCH($B830,Hairstyles!$F:$F,0)),"" "",""""),""'"",""""),""("",""""),"")"",""""),""-"",""_"")&amp;""_""&amp;$A$2)"),"")</f>
        <v/>
      </c>
      <c r="D830" s="12" t="str">
        <f t="shared" si="1"/>
        <v/>
      </c>
    </row>
    <row r="831">
      <c r="C831" s="12" t="str">
        <f>IFERROR(__xludf.DUMMYFUNCTION("IF($B831="""","""",SUBSTITUTE(SUBSTITUTE(SUBSTITUTE(SUBSTITUTE(INDEX(Hairstyles!$A:$A,MATCH($B831,Hairstyles!$F:$F,0)),"" "",""""),""'"",""""),""("",""""),"")"","""")&amp;""\""&amp;INDEX(SPLIT($A$2,""_""),1)&amp;""\""&amp;INDEX(SPLIT($A$2,""_""),2)&amp;""\""&amp;SUBSTITUTE(SUBST"&amp;"ITUTE(SUBSTITUTE(SUBSTITUTE(SUBSTITUTE(INDEX(Hairstyles!$C:$C,MATCH($B831,Hairstyles!$F:$F,0)),"" "",""""),""'"",""""),""("",""""),"")"",""""),""-"",""_"")&amp;""_""&amp;$A$2)"),"")</f>
        <v/>
      </c>
      <c r="D831" s="12" t="str">
        <f t="shared" si="1"/>
        <v/>
      </c>
    </row>
    <row r="832">
      <c r="C832" s="12" t="str">
        <f>IFERROR(__xludf.DUMMYFUNCTION("IF($B832="""","""",SUBSTITUTE(SUBSTITUTE(SUBSTITUTE(SUBSTITUTE(INDEX(Hairstyles!$A:$A,MATCH($B832,Hairstyles!$F:$F,0)),"" "",""""),""'"",""""),""("",""""),"")"","""")&amp;""\""&amp;INDEX(SPLIT($A$2,""_""),1)&amp;""\""&amp;INDEX(SPLIT($A$2,""_""),2)&amp;""\""&amp;SUBSTITUTE(SUBST"&amp;"ITUTE(SUBSTITUTE(SUBSTITUTE(SUBSTITUTE(INDEX(Hairstyles!$C:$C,MATCH($B832,Hairstyles!$F:$F,0)),"" "",""""),""'"",""""),""("",""""),"")"",""""),""-"",""_"")&amp;""_""&amp;$A$2)"),"")</f>
        <v/>
      </c>
      <c r="D832" s="12" t="str">
        <f t="shared" si="1"/>
        <v/>
      </c>
    </row>
    <row r="833">
      <c r="C833" s="12" t="str">
        <f>IFERROR(__xludf.DUMMYFUNCTION("IF($B833="""","""",SUBSTITUTE(SUBSTITUTE(SUBSTITUTE(SUBSTITUTE(INDEX(Hairstyles!$A:$A,MATCH($B833,Hairstyles!$F:$F,0)),"" "",""""),""'"",""""),""("",""""),"")"","""")&amp;""\""&amp;INDEX(SPLIT($A$2,""_""),1)&amp;""\""&amp;INDEX(SPLIT($A$2,""_""),2)&amp;""\""&amp;SUBSTITUTE(SUBST"&amp;"ITUTE(SUBSTITUTE(SUBSTITUTE(SUBSTITUTE(INDEX(Hairstyles!$C:$C,MATCH($B833,Hairstyles!$F:$F,0)),"" "",""""),""'"",""""),""("",""""),"")"",""""),""-"",""_"")&amp;""_""&amp;$A$2)"),"")</f>
        <v/>
      </c>
      <c r="D833" s="12" t="str">
        <f t="shared" si="1"/>
        <v/>
      </c>
    </row>
    <row r="834">
      <c r="C834" s="12" t="str">
        <f>IFERROR(__xludf.DUMMYFUNCTION("IF($B834="""","""",SUBSTITUTE(SUBSTITUTE(SUBSTITUTE(SUBSTITUTE(INDEX(Hairstyles!$A:$A,MATCH($B834,Hairstyles!$F:$F,0)),"" "",""""),""'"",""""),""("",""""),"")"","""")&amp;""\""&amp;INDEX(SPLIT($A$2,""_""),1)&amp;""\""&amp;INDEX(SPLIT($A$2,""_""),2)&amp;""\""&amp;SUBSTITUTE(SUBST"&amp;"ITUTE(SUBSTITUTE(SUBSTITUTE(SUBSTITUTE(INDEX(Hairstyles!$C:$C,MATCH($B834,Hairstyles!$F:$F,0)),"" "",""""),""'"",""""),""("",""""),"")"",""""),""-"",""_"")&amp;""_""&amp;$A$2)"),"")</f>
        <v/>
      </c>
      <c r="D834" s="12" t="str">
        <f t="shared" si="1"/>
        <v/>
      </c>
    </row>
    <row r="835">
      <c r="C835" s="12" t="str">
        <f>IFERROR(__xludf.DUMMYFUNCTION("IF($B835="""","""",SUBSTITUTE(SUBSTITUTE(SUBSTITUTE(SUBSTITUTE(INDEX(Hairstyles!$A:$A,MATCH($B835,Hairstyles!$F:$F,0)),"" "",""""),""'"",""""),""("",""""),"")"","""")&amp;""\""&amp;INDEX(SPLIT($A$2,""_""),1)&amp;""\""&amp;INDEX(SPLIT($A$2,""_""),2)&amp;""\""&amp;SUBSTITUTE(SUBST"&amp;"ITUTE(SUBSTITUTE(SUBSTITUTE(SUBSTITUTE(INDEX(Hairstyles!$C:$C,MATCH($B835,Hairstyles!$F:$F,0)),"" "",""""),""'"",""""),""("",""""),"")"",""""),""-"",""_"")&amp;""_""&amp;$A$2)"),"")</f>
        <v/>
      </c>
      <c r="D835" s="12" t="str">
        <f t="shared" si="1"/>
        <v/>
      </c>
    </row>
    <row r="836">
      <c r="C836" s="12" t="str">
        <f>IFERROR(__xludf.DUMMYFUNCTION("IF($B836="""","""",SUBSTITUTE(SUBSTITUTE(SUBSTITUTE(SUBSTITUTE(INDEX(Hairstyles!$A:$A,MATCH($B836,Hairstyles!$F:$F,0)),"" "",""""),""'"",""""),""("",""""),"")"","""")&amp;""\""&amp;INDEX(SPLIT($A$2,""_""),1)&amp;""\""&amp;INDEX(SPLIT($A$2,""_""),2)&amp;""\""&amp;SUBSTITUTE(SUBST"&amp;"ITUTE(SUBSTITUTE(SUBSTITUTE(SUBSTITUTE(INDEX(Hairstyles!$C:$C,MATCH($B836,Hairstyles!$F:$F,0)),"" "",""""),""'"",""""),""("",""""),"")"",""""),""-"",""_"")&amp;""_""&amp;$A$2)"),"")</f>
        <v/>
      </c>
      <c r="D836" s="12" t="str">
        <f t="shared" si="1"/>
        <v/>
      </c>
    </row>
    <row r="837">
      <c r="C837" s="12" t="str">
        <f>IFERROR(__xludf.DUMMYFUNCTION("IF($B837="""","""",SUBSTITUTE(SUBSTITUTE(SUBSTITUTE(SUBSTITUTE(INDEX(Hairstyles!$A:$A,MATCH($B837,Hairstyles!$F:$F,0)),"" "",""""),""'"",""""),""("",""""),"")"","""")&amp;""\""&amp;INDEX(SPLIT($A$2,""_""),1)&amp;""\""&amp;INDEX(SPLIT($A$2,""_""),2)&amp;""\""&amp;SUBSTITUTE(SUBST"&amp;"ITUTE(SUBSTITUTE(SUBSTITUTE(SUBSTITUTE(INDEX(Hairstyles!$C:$C,MATCH($B837,Hairstyles!$F:$F,0)),"" "",""""),""'"",""""),""("",""""),"")"",""""),""-"",""_"")&amp;""_""&amp;$A$2)"),"")</f>
        <v/>
      </c>
      <c r="D837" s="12" t="str">
        <f t="shared" si="1"/>
        <v/>
      </c>
    </row>
    <row r="838">
      <c r="C838" s="12" t="str">
        <f>IFERROR(__xludf.DUMMYFUNCTION("IF($B838="""","""",SUBSTITUTE(SUBSTITUTE(SUBSTITUTE(SUBSTITUTE(INDEX(Hairstyles!$A:$A,MATCH($B838,Hairstyles!$F:$F,0)),"" "",""""),""'"",""""),""("",""""),"")"","""")&amp;""\""&amp;INDEX(SPLIT($A$2,""_""),1)&amp;""\""&amp;INDEX(SPLIT($A$2,""_""),2)&amp;""\""&amp;SUBSTITUTE(SUBST"&amp;"ITUTE(SUBSTITUTE(SUBSTITUTE(SUBSTITUTE(INDEX(Hairstyles!$C:$C,MATCH($B838,Hairstyles!$F:$F,0)),"" "",""""),""'"",""""),""("",""""),"")"",""""),""-"",""_"")&amp;""_""&amp;$A$2)"),"")</f>
        <v/>
      </c>
      <c r="D838" s="12" t="str">
        <f t="shared" si="1"/>
        <v/>
      </c>
    </row>
    <row r="839">
      <c r="C839" s="12" t="str">
        <f>IFERROR(__xludf.DUMMYFUNCTION("IF($B839="""","""",SUBSTITUTE(SUBSTITUTE(SUBSTITUTE(SUBSTITUTE(INDEX(Hairstyles!$A:$A,MATCH($B839,Hairstyles!$F:$F,0)),"" "",""""),""'"",""""),""("",""""),"")"","""")&amp;""\""&amp;INDEX(SPLIT($A$2,""_""),1)&amp;""\""&amp;INDEX(SPLIT($A$2,""_""),2)&amp;""\""&amp;SUBSTITUTE(SUBST"&amp;"ITUTE(SUBSTITUTE(SUBSTITUTE(SUBSTITUTE(INDEX(Hairstyles!$C:$C,MATCH($B839,Hairstyles!$F:$F,0)),"" "",""""),""'"",""""),""("",""""),"")"",""""),""-"",""_"")&amp;""_""&amp;$A$2)"),"")</f>
        <v/>
      </c>
      <c r="D839" s="12" t="str">
        <f t="shared" si="1"/>
        <v/>
      </c>
    </row>
    <row r="840">
      <c r="C840" s="12" t="str">
        <f>IFERROR(__xludf.DUMMYFUNCTION("IF($B840="""","""",SUBSTITUTE(SUBSTITUTE(SUBSTITUTE(SUBSTITUTE(INDEX(Hairstyles!$A:$A,MATCH($B840,Hairstyles!$F:$F,0)),"" "",""""),""'"",""""),""("",""""),"")"","""")&amp;""\""&amp;INDEX(SPLIT($A$2,""_""),1)&amp;""\""&amp;INDEX(SPLIT($A$2,""_""),2)&amp;""\""&amp;SUBSTITUTE(SUBST"&amp;"ITUTE(SUBSTITUTE(SUBSTITUTE(SUBSTITUTE(INDEX(Hairstyles!$C:$C,MATCH($B840,Hairstyles!$F:$F,0)),"" "",""""),""'"",""""),""("",""""),"")"",""""),""-"",""_"")&amp;""_""&amp;$A$2)"),"")</f>
        <v/>
      </c>
      <c r="D840" s="12" t="str">
        <f t="shared" si="1"/>
        <v/>
      </c>
    </row>
    <row r="841">
      <c r="C841" s="12" t="str">
        <f>IFERROR(__xludf.DUMMYFUNCTION("IF($B841="""","""",SUBSTITUTE(SUBSTITUTE(SUBSTITUTE(SUBSTITUTE(INDEX(Hairstyles!$A:$A,MATCH($B841,Hairstyles!$F:$F,0)),"" "",""""),""'"",""""),""("",""""),"")"","""")&amp;""\""&amp;INDEX(SPLIT($A$2,""_""),1)&amp;""\""&amp;INDEX(SPLIT($A$2,""_""),2)&amp;""\""&amp;SUBSTITUTE(SUBST"&amp;"ITUTE(SUBSTITUTE(SUBSTITUTE(SUBSTITUTE(INDEX(Hairstyles!$C:$C,MATCH($B841,Hairstyles!$F:$F,0)),"" "",""""),""'"",""""),""("",""""),"")"",""""),""-"",""_"")&amp;""_""&amp;$A$2)"),"")</f>
        <v/>
      </c>
      <c r="D841" s="12" t="str">
        <f t="shared" si="1"/>
        <v/>
      </c>
    </row>
    <row r="842">
      <c r="C842" s="12" t="str">
        <f>IFERROR(__xludf.DUMMYFUNCTION("IF($B842="""","""",SUBSTITUTE(SUBSTITUTE(SUBSTITUTE(SUBSTITUTE(INDEX(Hairstyles!$A:$A,MATCH($B842,Hairstyles!$F:$F,0)),"" "",""""),""'"",""""),""("",""""),"")"","""")&amp;""\""&amp;INDEX(SPLIT($A$2,""_""),1)&amp;""\""&amp;INDEX(SPLIT($A$2,""_""),2)&amp;""\""&amp;SUBSTITUTE(SUBST"&amp;"ITUTE(SUBSTITUTE(SUBSTITUTE(SUBSTITUTE(INDEX(Hairstyles!$C:$C,MATCH($B842,Hairstyles!$F:$F,0)),"" "",""""),""'"",""""),""("",""""),"")"",""""),""-"",""_"")&amp;""_""&amp;$A$2)"),"")</f>
        <v/>
      </c>
      <c r="D842" s="12" t="str">
        <f t="shared" si="1"/>
        <v/>
      </c>
    </row>
    <row r="843">
      <c r="C843" s="12" t="str">
        <f>IFERROR(__xludf.DUMMYFUNCTION("IF($B843="""","""",SUBSTITUTE(SUBSTITUTE(SUBSTITUTE(SUBSTITUTE(INDEX(Hairstyles!$A:$A,MATCH($B843,Hairstyles!$F:$F,0)),"" "",""""),""'"",""""),""("",""""),"")"","""")&amp;""\""&amp;INDEX(SPLIT($A$2,""_""),1)&amp;""\""&amp;INDEX(SPLIT($A$2,""_""),2)&amp;""\""&amp;SUBSTITUTE(SUBST"&amp;"ITUTE(SUBSTITUTE(SUBSTITUTE(SUBSTITUTE(INDEX(Hairstyles!$C:$C,MATCH($B843,Hairstyles!$F:$F,0)),"" "",""""),""'"",""""),""("",""""),"")"",""""),""-"",""_"")&amp;""_""&amp;$A$2)"),"")</f>
        <v/>
      </c>
      <c r="D843" s="12" t="str">
        <f t="shared" si="1"/>
        <v/>
      </c>
    </row>
    <row r="844">
      <c r="C844" s="12" t="str">
        <f>IFERROR(__xludf.DUMMYFUNCTION("IF($B844="""","""",SUBSTITUTE(SUBSTITUTE(SUBSTITUTE(SUBSTITUTE(INDEX(Hairstyles!$A:$A,MATCH($B844,Hairstyles!$F:$F,0)),"" "",""""),""'"",""""),""("",""""),"")"","""")&amp;""\""&amp;INDEX(SPLIT($A$2,""_""),1)&amp;""\""&amp;INDEX(SPLIT($A$2,""_""),2)&amp;""\""&amp;SUBSTITUTE(SUBST"&amp;"ITUTE(SUBSTITUTE(SUBSTITUTE(SUBSTITUTE(INDEX(Hairstyles!$C:$C,MATCH($B844,Hairstyles!$F:$F,0)),"" "",""""),""'"",""""),""("",""""),"")"",""""),""-"",""_"")&amp;""_""&amp;$A$2)"),"")</f>
        <v/>
      </c>
      <c r="D844" s="12" t="str">
        <f t="shared" si="1"/>
        <v/>
      </c>
    </row>
    <row r="845">
      <c r="C845" s="12" t="str">
        <f>IFERROR(__xludf.DUMMYFUNCTION("IF($B845="""","""",SUBSTITUTE(SUBSTITUTE(SUBSTITUTE(SUBSTITUTE(INDEX(Hairstyles!$A:$A,MATCH($B845,Hairstyles!$F:$F,0)),"" "",""""),""'"",""""),""("",""""),"")"","""")&amp;""\""&amp;INDEX(SPLIT($A$2,""_""),1)&amp;""\""&amp;INDEX(SPLIT($A$2,""_""),2)&amp;""\""&amp;SUBSTITUTE(SUBST"&amp;"ITUTE(SUBSTITUTE(SUBSTITUTE(SUBSTITUTE(INDEX(Hairstyles!$C:$C,MATCH($B845,Hairstyles!$F:$F,0)),"" "",""""),""'"",""""),""("",""""),"")"",""""),""-"",""_"")&amp;""_""&amp;$A$2)"),"")</f>
        <v/>
      </c>
      <c r="D845" s="12" t="str">
        <f t="shared" si="1"/>
        <v/>
      </c>
    </row>
    <row r="846">
      <c r="C846" s="12" t="str">
        <f>IFERROR(__xludf.DUMMYFUNCTION("IF($B846="""","""",SUBSTITUTE(SUBSTITUTE(SUBSTITUTE(SUBSTITUTE(INDEX(Hairstyles!$A:$A,MATCH($B846,Hairstyles!$F:$F,0)),"" "",""""),""'"",""""),""("",""""),"")"","""")&amp;""\""&amp;INDEX(SPLIT($A$2,""_""),1)&amp;""\""&amp;INDEX(SPLIT($A$2,""_""),2)&amp;""\""&amp;SUBSTITUTE(SUBST"&amp;"ITUTE(SUBSTITUTE(SUBSTITUTE(SUBSTITUTE(INDEX(Hairstyles!$C:$C,MATCH($B846,Hairstyles!$F:$F,0)),"" "",""""),""'"",""""),""("",""""),"")"",""""),""-"",""_"")&amp;""_""&amp;$A$2)"),"")</f>
        <v/>
      </c>
      <c r="D846" s="12" t="str">
        <f t="shared" si="1"/>
        <v/>
      </c>
    </row>
    <row r="847">
      <c r="C847" s="12" t="str">
        <f>IFERROR(__xludf.DUMMYFUNCTION("IF($B847="""","""",SUBSTITUTE(SUBSTITUTE(SUBSTITUTE(SUBSTITUTE(INDEX(Hairstyles!$A:$A,MATCH($B847,Hairstyles!$F:$F,0)),"" "",""""),""'"",""""),""("",""""),"")"","""")&amp;""\""&amp;INDEX(SPLIT($A$2,""_""),1)&amp;""\""&amp;INDEX(SPLIT($A$2,""_""),2)&amp;""\""&amp;SUBSTITUTE(SUBST"&amp;"ITUTE(SUBSTITUTE(SUBSTITUTE(SUBSTITUTE(INDEX(Hairstyles!$C:$C,MATCH($B847,Hairstyles!$F:$F,0)),"" "",""""),""'"",""""),""("",""""),"")"",""""),""-"",""_"")&amp;""_""&amp;$A$2)"),"")</f>
        <v/>
      </c>
      <c r="D847" s="12" t="str">
        <f t="shared" si="1"/>
        <v/>
      </c>
    </row>
    <row r="848">
      <c r="C848" s="12" t="str">
        <f>IFERROR(__xludf.DUMMYFUNCTION("IF($B848="""","""",SUBSTITUTE(SUBSTITUTE(SUBSTITUTE(SUBSTITUTE(INDEX(Hairstyles!$A:$A,MATCH($B848,Hairstyles!$F:$F,0)),"" "",""""),""'"",""""),""("",""""),"")"","""")&amp;""\""&amp;INDEX(SPLIT($A$2,""_""),1)&amp;""\""&amp;INDEX(SPLIT($A$2,""_""),2)&amp;""\""&amp;SUBSTITUTE(SUBST"&amp;"ITUTE(SUBSTITUTE(SUBSTITUTE(SUBSTITUTE(INDEX(Hairstyles!$C:$C,MATCH($B848,Hairstyles!$F:$F,0)),"" "",""""),""'"",""""),""("",""""),"")"",""""),""-"",""_"")&amp;""_""&amp;$A$2)"),"")</f>
        <v/>
      </c>
      <c r="D848" s="12" t="str">
        <f t="shared" si="1"/>
        <v/>
      </c>
    </row>
    <row r="849">
      <c r="C849" s="12" t="str">
        <f>IFERROR(__xludf.DUMMYFUNCTION("IF($B849="""","""",SUBSTITUTE(SUBSTITUTE(SUBSTITUTE(SUBSTITUTE(INDEX(Hairstyles!$A:$A,MATCH($B849,Hairstyles!$F:$F,0)),"" "",""""),""'"",""""),""("",""""),"")"","""")&amp;""\""&amp;INDEX(SPLIT($A$2,""_""),1)&amp;""\""&amp;INDEX(SPLIT($A$2,""_""),2)&amp;""\""&amp;SUBSTITUTE(SUBST"&amp;"ITUTE(SUBSTITUTE(SUBSTITUTE(SUBSTITUTE(INDEX(Hairstyles!$C:$C,MATCH($B849,Hairstyles!$F:$F,0)),"" "",""""),""'"",""""),""("",""""),"")"",""""),""-"",""_"")&amp;""_""&amp;$A$2)"),"")</f>
        <v/>
      </c>
      <c r="D849" s="12" t="str">
        <f t="shared" si="1"/>
        <v/>
      </c>
    </row>
    <row r="850">
      <c r="C850" s="12" t="str">
        <f>IFERROR(__xludf.DUMMYFUNCTION("IF($B850="""","""",SUBSTITUTE(SUBSTITUTE(SUBSTITUTE(SUBSTITUTE(INDEX(Hairstyles!$A:$A,MATCH($B850,Hairstyles!$F:$F,0)),"" "",""""),""'"",""""),""("",""""),"")"","""")&amp;""\""&amp;INDEX(SPLIT($A$2,""_""),1)&amp;""\""&amp;INDEX(SPLIT($A$2,""_""),2)&amp;""\""&amp;SUBSTITUTE(SUBST"&amp;"ITUTE(SUBSTITUTE(SUBSTITUTE(SUBSTITUTE(INDEX(Hairstyles!$C:$C,MATCH($B850,Hairstyles!$F:$F,0)),"" "",""""),""'"",""""),""("",""""),"")"",""""),""-"",""_"")&amp;""_""&amp;$A$2)"),"")</f>
        <v/>
      </c>
      <c r="D850" s="12" t="str">
        <f t="shared" si="1"/>
        <v/>
      </c>
    </row>
    <row r="851">
      <c r="C851" s="12" t="str">
        <f>IFERROR(__xludf.DUMMYFUNCTION("IF($B851="""","""",SUBSTITUTE(SUBSTITUTE(SUBSTITUTE(SUBSTITUTE(INDEX(Hairstyles!$A:$A,MATCH($B851,Hairstyles!$F:$F,0)),"" "",""""),""'"",""""),""("",""""),"")"","""")&amp;""\""&amp;INDEX(SPLIT($A$2,""_""),1)&amp;""\""&amp;INDEX(SPLIT($A$2,""_""),2)&amp;""\""&amp;SUBSTITUTE(SUBST"&amp;"ITUTE(SUBSTITUTE(SUBSTITUTE(SUBSTITUTE(INDEX(Hairstyles!$C:$C,MATCH($B851,Hairstyles!$F:$F,0)),"" "",""""),""'"",""""),""("",""""),"")"",""""),""-"",""_"")&amp;""_""&amp;$A$2)"),"")</f>
        <v/>
      </c>
      <c r="D851" s="12" t="str">
        <f t="shared" si="1"/>
        <v/>
      </c>
    </row>
    <row r="852">
      <c r="C852" s="12" t="str">
        <f>IFERROR(__xludf.DUMMYFUNCTION("IF($B852="""","""",SUBSTITUTE(SUBSTITUTE(SUBSTITUTE(SUBSTITUTE(INDEX(Hairstyles!$A:$A,MATCH($B852,Hairstyles!$F:$F,0)),"" "",""""),""'"",""""),""("",""""),"")"","""")&amp;""\""&amp;INDEX(SPLIT($A$2,""_""),1)&amp;""\""&amp;INDEX(SPLIT($A$2,""_""),2)&amp;""\""&amp;SUBSTITUTE(SUBST"&amp;"ITUTE(SUBSTITUTE(SUBSTITUTE(SUBSTITUTE(INDEX(Hairstyles!$C:$C,MATCH($B852,Hairstyles!$F:$F,0)),"" "",""""),""'"",""""),""("",""""),"")"",""""),""-"",""_"")&amp;""_""&amp;$A$2)"),"")</f>
        <v/>
      </c>
      <c r="D852" s="12" t="str">
        <f t="shared" si="1"/>
        <v/>
      </c>
    </row>
    <row r="853">
      <c r="C853" s="12" t="str">
        <f>IFERROR(__xludf.DUMMYFUNCTION("IF($B853="""","""",SUBSTITUTE(SUBSTITUTE(SUBSTITUTE(SUBSTITUTE(INDEX(Hairstyles!$A:$A,MATCH($B853,Hairstyles!$F:$F,0)),"" "",""""),""'"",""""),""("",""""),"")"","""")&amp;""\""&amp;INDEX(SPLIT($A$2,""_""),1)&amp;""\""&amp;INDEX(SPLIT($A$2,""_""),2)&amp;""\""&amp;SUBSTITUTE(SUBST"&amp;"ITUTE(SUBSTITUTE(SUBSTITUTE(SUBSTITUTE(INDEX(Hairstyles!$C:$C,MATCH($B853,Hairstyles!$F:$F,0)),"" "",""""),""'"",""""),""("",""""),"")"",""""),""-"",""_"")&amp;""_""&amp;$A$2)"),"")</f>
        <v/>
      </c>
      <c r="D853" s="12" t="str">
        <f t="shared" si="1"/>
        <v/>
      </c>
    </row>
    <row r="854">
      <c r="C854" s="12" t="str">
        <f>IFERROR(__xludf.DUMMYFUNCTION("IF($B854="""","""",SUBSTITUTE(SUBSTITUTE(SUBSTITUTE(SUBSTITUTE(INDEX(Hairstyles!$A:$A,MATCH($B854,Hairstyles!$F:$F,0)),"" "",""""),""'"",""""),""("",""""),"")"","""")&amp;""\""&amp;INDEX(SPLIT($A$2,""_""),1)&amp;""\""&amp;INDEX(SPLIT($A$2,""_""),2)&amp;""\""&amp;SUBSTITUTE(SUBST"&amp;"ITUTE(SUBSTITUTE(SUBSTITUTE(SUBSTITUTE(INDEX(Hairstyles!$C:$C,MATCH($B854,Hairstyles!$F:$F,0)),"" "",""""),""'"",""""),""("",""""),"")"",""""),""-"",""_"")&amp;""_""&amp;$A$2)"),"")</f>
        <v/>
      </c>
      <c r="D854" s="12" t="str">
        <f t="shared" si="1"/>
        <v/>
      </c>
    </row>
    <row r="855">
      <c r="C855" s="12" t="str">
        <f>IFERROR(__xludf.DUMMYFUNCTION("IF($B855="""","""",SUBSTITUTE(SUBSTITUTE(SUBSTITUTE(SUBSTITUTE(INDEX(Hairstyles!$A:$A,MATCH($B855,Hairstyles!$F:$F,0)),"" "",""""),""'"",""""),""("",""""),"")"","""")&amp;""\""&amp;INDEX(SPLIT($A$2,""_""),1)&amp;""\""&amp;INDEX(SPLIT($A$2,""_""),2)&amp;""\""&amp;SUBSTITUTE(SUBST"&amp;"ITUTE(SUBSTITUTE(SUBSTITUTE(SUBSTITUTE(INDEX(Hairstyles!$C:$C,MATCH($B855,Hairstyles!$F:$F,0)),"" "",""""),""'"",""""),""("",""""),"")"",""""),""-"",""_"")&amp;""_""&amp;$A$2)"),"")</f>
        <v/>
      </c>
      <c r="D855" s="12" t="str">
        <f t="shared" si="1"/>
        <v/>
      </c>
    </row>
    <row r="856">
      <c r="C856" s="12" t="str">
        <f>IFERROR(__xludf.DUMMYFUNCTION("IF($B856="""","""",SUBSTITUTE(SUBSTITUTE(SUBSTITUTE(SUBSTITUTE(INDEX(Hairstyles!$A:$A,MATCH($B856,Hairstyles!$F:$F,0)),"" "",""""),""'"",""""),""("",""""),"")"","""")&amp;""\""&amp;INDEX(SPLIT($A$2,""_""),1)&amp;""\""&amp;INDEX(SPLIT($A$2,""_""),2)&amp;""\""&amp;SUBSTITUTE(SUBST"&amp;"ITUTE(SUBSTITUTE(SUBSTITUTE(SUBSTITUTE(INDEX(Hairstyles!$C:$C,MATCH($B856,Hairstyles!$F:$F,0)),"" "",""""),""'"",""""),""("",""""),"")"",""""),""-"",""_"")&amp;""_""&amp;$A$2)"),"")</f>
        <v/>
      </c>
      <c r="D856" s="12" t="str">
        <f t="shared" si="1"/>
        <v/>
      </c>
    </row>
    <row r="857">
      <c r="C857" s="12" t="str">
        <f>IFERROR(__xludf.DUMMYFUNCTION("IF($B857="""","""",SUBSTITUTE(SUBSTITUTE(SUBSTITUTE(SUBSTITUTE(INDEX(Hairstyles!$A:$A,MATCH($B857,Hairstyles!$F:$F,0)),"" "",""""),""'"",""""),""("",""""),"")"","""")&amp;""\""&amp;INDEX(SPLIT($A$2,""_""),1)&amp;""\""&amp;INDEX(SPLIT($A$2,""_""),2)&amp;""\""&amp;SUBSTITUTE(SUBST"&amp;"ITUTE(SUBSTITUTE(SUBSTITUTE(SUBSTITUTE(INDEX(Hairstyles!$C:$C,MATCH($B857,Hairstyles!$F:$F,0)),"" "",""""),""'"",""""),""("",""""),"")"",""""),""-"",""_"")&amp;""_""&amp;$A$2)"),"")</f>
        <v/>
      </c>
      <c r="D857" s="12" t="str">
        <f t="shared" si="1"/>
        <v/>
      </c>
    </row>
    <row r="858">
      <c r="C858" s="12" t="str">
        <f>IFERROR(__xludf.DUMMYFUNCTION("IF($B858="""","""",SUBSTITUTE(SUBSTITUTE(SUBSTITUTE(SUBSTITUTE(INDEX(Hairstyles!$A:$A,MATCH($B858,Hairstyles!$F:$F,0)),"" "",""""),""'"",""""),""("",""""),"")"","""")&amp;""\""&amp;INDEX(SPLIT($A$2,""_""),1)&amp;""\""&amp;INDEX(SPLIT($A$2,""_""),2)&amp;""\""&amp;SUBSTITUTE(SUBST"&amp;"ITUTE(SUBSTITUTE(SUBSTITUTE(SUBSTITUTE(INDEX(Hairstyles!$C:$C,MATCH($B858,Hairstyles!$F:$F,0)),"" "",""""),""'"",""""),""("",""""),"")"",""""),""-"",""_"")&amp;""_""&amp;$A$2)"),"")</f>
        <v/>
      </c>
      <c r="D858" s="12" t="str">
        <f t="shared" si="1"/>
        <v/>
      </c>
    </row>
    <row r="859">
      <c r="C859" s="12" t="str">
        <f>IFERROR(__xludf.DUMMYFUNCTION("IF($B859="""","""",SUBSTITUTE(SUBSTITUTE(SUBSTITUTE(SUBSTITUTE(INDEX(Hairstyles!$A:$A,MATCH($B859,Hairstyles!$F:$F,0)),"" "",""""),""'"",""""),""("",""""),"")"","""")&amp;""\""&amp;INDEX(SPLIT($A$2,""_""),1)&amp;""\""&amp;INDEX(SPLIT($A$2,""_""),2)&amp;""\""&amp;SUBSTITUTE(SUBST"&amp;"ITUTE(SUBSTITUTE(SUBSTITUTE(SUBSTITUTE(INDEX(Hairstyles!$C:$C,MATCH($B859,Hairstyles!$F:$F,0)),"" "",""""),""'"",""""),""("",""""),"")"",""""),""-"",""_"")&amp;""_""&amp;$A$2)"),"")</f>
        <v/>
      </c>
      <c r="D859" s="12" t="str">
        <f t="shared" si="1"/>
        <v/>
      </c>
    </row>
    <row r="860">
      <c r="C860" s="12" t="str">
        <f>IFERROR(__xludf.DUMMYFUNCTION("IF($B860="""","""",SUBSTITUTE(SUBSTITUTE(SUBSTITUTE(SUBSTITUTE(INDEX(Hairstyles!$A:$A,MATCH($B860,Hairstyles!$F:$F,0)),"" "",""""),""'"",""""),""("",""""),"")"","""")&amp;""\""&amp;INDEX(SPLIT($A$2,""_""),1)&amp;""\""&amp;INDEX(SPLIT($A$2,""_""),2)&amp;""\""&amp;SUBSTITUTE(SUBST"&amp;"ITUTE(SUBSTITUTE(SUBSTITUTE(SUBSTITUTE(INDEX(Hairstyles!$C:$C,MATCH($B860,Hairstyles!$F:$F,0)),"" "",""""),""'"",""""),""("",""""),"")"",""""),""-"",""_"")&amp;""_""&amp;$A$2)"),"")</f>
        <v/>
      </c>
      <c r="D860" s="12" t="str">
        <f t="shared" si="1"/>
        <v/>
      </c>
    </row>
    <row r="861">
      <c r="C861" s="12" t="str">
        <f>IFERROR(__xludf.DUMMYFUNCTION("IF($B861="""","""",SUBSTITUTE(SUBSTITUTE(SUBSTITUTE(SUBSTITUTE(INDEX(Hairstyles!$A:$A,MATCH($B861,Hairstyles!$F:$F,0)),"" "",""""),""'"",""""),""("",""""),"")"","""")&amp;""\""&amp;INDEX(SPLIT($A$2,""_""),1)&amp;""\""&amp;INDEX(SPLIT($A$2,""_""),2)&amp;""\""&amp;SUBSTITUTE(SUBST"&amp;"ITUTE(SUBSTITUTE(SUBSTITUTE(SUBSTITUTE(INDEX(Hairstyles!$C:$C,MATCH($B861,Hairstyles!$F:$F,0)),"" "",""""),""'"",""""),""("",""""),"")"",""""),""-"",""_"")&amp;""_""&amp;$A$2)"),"")</f>
        <v/>
      </c>
      <c r="D861" s="12" t="str">
        <f t="shared" si="1"/>
        <v/>
      </c>
    </row>
    <row r="862">
      <c r="C862" s="12" t="str">
        <f>IFERROR(__xludf.DUMMYFUNCTION("IF($B862="""","""",SUBSTITUTE(SUBSTITUTE(SUBSTITUTE(SUBSTITUTE(INDEX(Hairstyles!$A:$A,MATCH($B862,Hairstyles!$F:$F,0)),"" "",""""),""'"",""""),""("",""""),"")"","""")&amp;""\""&amp;INDEX(SPLIT($A$2,""_""),1)&amp;""\""&amp;INDEX(SPLIT($A$2,""_""),2)&amp;""\""&amp;SUBSTITUTE(SUBST"&amp;"ITUTE(SUBSTITUTE(SUBSTITUTE(SUBSTITUTE(INDEX(Hairstyles!$C:$C,MATCH($B862,Hairstyles!$F:$F,0)),"" "",""""),""'"",""""),""("",""""),"")"",""""),""-"",""_"")&amp;""_""&amp;$A$2)"),"")</f>
        <v/>
      </c>
      <c r="D862" s="12" t="str">
        <f t="shared" si="1"/>
        <v/>
      </c>
    </row>
    <row r="863">
      <c r="C863" s="12" t="str">
        <f>IFERROR(__xludf.DUMMYFUNCTION("IF($B863="""","""",SUBSTITUTE(SUBSTITUTE(SUBSTITUTE(SUBSTITUTE(INDEX(Hairstyles!$A:$A,MATCH($B863,Hairstyles!$F:$F,0)),"" "",""""),""'"",""""),""("",""""),"")"","""")&amp;""\""&amp;INDEX(SPLIT($A$2,""_""),1)&amp;""\""&amp;INDEX(SPLIT($A$2,""_""),2)&amp;""\""&amp;SUBSTITUTE(SUBST"&amp;"ITUTE(SUBSTITUTE(SUBSTITUTE(SUBSTITUTE(INDEX(Hairstyles!$C:$C,MATCH($B863,Hairstyles!$F:$F,0)),"" "",""""),""'"",""""),""("",""""),"")"",""""),""-"",""_"")&amp;""_""&amp;$A$2)"),"")</f>
        <v/>
      </c>
      <c r="D863" s="12" t="str">
        <f t="shared" si="1"/>
        <v/>
      </c>
    </row>
    <row r="864">
      <c r="C864" s="12" t="str">
        <f>IFERROR(__xludf.DUMMYFUNCTION("IF($B864="""","""",SUBSTITUTE(SUBSTITUTE(SUBSTITUTE(SUBSTITUTE(INDEX(Hairstyles!$A:$A,MATCH($B864,Hairstyles!$F:$F,0)),"" "",""""),""'"",""""),""("",""""),"")"","""")&amp;""\""&amp;INDEX(SPLIT($A$2,""_""),1)&amp;""\""&amp;INDEX(SPLIT($A$2,""_""),2)&amp;""\""&amp;SUBSTITUTE(SUBST"&amp;"ITUTE(SUBSTITUTE(SUBSTITUTE(SUBSTITUTE(INDEX(Hairstyles!$C:$C,MATCH($B864,Hairstyles!$F:$F,0)),"" "",""""),""'"",""""),""("",""""),"")"",""""),""-"",""_"")&amp;""_""&amp;$A$2)"),"")</f>
        <v/>
      </c>
      <c r="D864" s="12" t="str">
        <f t="shared" si="1"/>
        <v/>
      </c>
    </row>
    <row r="865">
      <c r="C865" s="12" t="str">
        <f>IFERROR(__xludf.DUMMYFUNCTION("IF($B865="""","""",SUBSTITUTE(SUBSTITUTE(SUBSTITUTE(SUBSTITUTE(INDEX(Hairstyles!$A:$A,MATCH($B865,Hairstyles!$F:$F,0)),"" "",""""),""'"",""""),""("",""""),"")"","""")&amp;""\""&amp;INDEX(SPLIT($A$2,""_""),1)&amp;""\""&amp;INDEX(SPLIT($A$2,""_""),2)&amp;""\""&amp;SUBSTITUTE(SUBST"&amp;"ITUTE(SUBSTITUTE(SUBSTITUTE(SUBSTITUTE(INDEX(Hairstyles!$C:$C,MATCH($B865,Hairstyles!$F:$F,0)),"" "",""""),""'"",""""),""("",""""),"")"",""""),""-"",""_"")&amp;""_""&amp;$A$2)"),"")</f>
        <v/>
      </c>
      <c r="D865" s="12" t="str">
        <f t="shared" si="1"/>
        <v/>
      </c>
    </row>
    <row r="866">
      <c r="C866" s="12" t="str">
        <f>IFERROR(__xludf.DUMMYFUNCTION("IF($B866="""","""",SUBSTITUTE(SUBSTITUTE(SUBSTITUTE(SUBSTITUTE(INDEX(Hairstyles!$A:$A,MATCH($B866,Hairstyles!$F:$F,0)),"" "",""""),""'"",""""),""("",""""),"")"","""")&amp;""\""&amp;INDEX(SPLIT($A$2,""_""),1)&amp;""\""&amp;INDEX(SPLIT($A$2,""_""),2)&amp;""\""&amp;SUBSTITUTE(SUBST"&amp;"ITUTE(SUBSTITUTE(SUBSTITUTE(SUBSTITUTE(INDEX(Hairstyles!$C:$C,MATCH($B866,Hairstyles!$F:$F,0)),"" "",""""),""'"",""""),""("",""""),"")"",""""),""-"",""_"")&amp;""_""&amp;$A$2)"),"")</f>
        <v/>
      </c>
      <c r="D866" s="12" t="str">
        <f t="shared" si="1"/>
        <v/>
      </c>
    </row>
    <row r="867">
      <c r="C867" s="12" t="str">
        <f>IFERROR(__xludf.DUMMYFUNCTION("IF($B867="""","""",SUBSTITUTE(SUBSTITUTE(SUBSTITUTE(SUBSTITUTE(INDEX(Hairstyles!$A:$A,MATCH($B867,Hairstyles!$F:$F,0)),"" "",""""),""'"",""""),""("",""""),"")"","""")&amp;""\""&amp;INDEX(SPLIT($A$2,""_""),1)&amp;""\""&amp;INDEX(SPLIT($A$2,""_""),2)&amp;""\""&amp;SUBSTITUTE(SUBST"&amp;"ITUTE(SUBSTITUTE(SUBSTITUTE(SUBSTITUTE(INDEX(Hairstyles!$C:$C,MATCH($B867,Hairstyles!$F:$F,0)),"" "",""""),""'"",""""),""("",""""),"")"",""""),""-"",""_"")&amp;""_""&amp;$A$2)"),"")</f>
        <v/>
      </c>
      <c r="D867" s="12" t="str">
        <f t="shared" si="1"/>
        <v/>
      </c>
    </row>
    <row r="868">
      <c r="C868" s="12" t="str">
        <f>IFERROR(__xludf.DUMMYFUNCTION("IF($B868="""","""",SUBSTITUTE(SUBSTITUTE(SUBSTITUTE(SUBSTITUTE(INDEX(Hairstyles!$A:$A,MATCH($B868,Hairstyles!$F:$F,0)),"" "",""""),""'"",""""),""("",""""),"")"","""")&amp;""\""&amp;INDEX(SPLIT($A$2,""_""),1)&amp;""\""&amp;INDEX(SPLIT($A$2,""_""),2)&amp;""\""&amp;SUBSTITUTE(SUBST"&amp;"ITUTE(SUBSTITUTE(SUBSTITUTE(SUBSTITUTE(INDEX(Hairstyles!$C:$C,MATCH($B868,Hairstyles!$F:$F,0)),"" "",""""),""'"",""""),""("",""""),"")"",""""),""-"",""_"")&amp;""_""&amp;$A$2)"),"")</f>
        <v/>
      </c>
      <c r="D868" s="12" t="str">
        <f t="shared" si="1"/>
        <v/>
      </c>
    </row>
    <row r="869">
      <c r="C869" s="12" t="str">
        <f>IFERROR(__xludf.DUMMYFUNCTION("IF($B869="""","""",SUBSTITUTE(SUBSTITUTE(SUBSTITUTE(SUBSTITUTE(INDEX(Hairstyles!$A:$A,MATCH($B869,Hairstyles!$F:$F,0)),"" "",""""),""'"",""""),""("",""""),"")"","""")&amp;""\""&amp;INDEX(SPLIT($A$2,""_""),1)&amp;""\""&amp;INDEX(SPLIT($A$2,""_""),2)&amp;""\""&amp;SUBSTITUTE(SUBST"&amp;"ITUTE(SUBSTITUTE(SUBSTITUTE(SUBSTITUTE(INDEX(Hairstyles!$C:$C,MATCH($B869,Hairstyles!$F:$F,0)),"" "",""""),""'"",""""),""("",""""),"")"",""""),""-"",""_"")&amp;""_""&amp;$A$2)"),"")</f>
        <v/>
      </c>
      <c r="D869" s="12" t="str">
        <f t="shared" si="1"/>
        <v/>
      </c>
    </row>
    <row r="870">
      <c r="C870" s="12" t="str">
        <f>IFERROR(__xludf.DUMMYFUNCTION("IF($B870="""","""",SUBSTITUTE(SUBSTITUTE(SUBSTITUTE(SUBSTITUTE(INDEX(Hairstyles!$A:$A,MATCH($B870,Hairstyles!$F:$F,0)),"" "",""""),""'"",""""),""("",""""),"")"","""")&amp;""\""&amp;INDEX(SPLIT($A$2,""_""),1)&amp;""\""&amp;INDEX(SPLIT($A$2,""_""),2)&amp;""\""&amp;SUBSTITUTE(SUBST"&amp;"ITUTE(SUBSTITUTE(SUBSTITUTE(SUBSTITUTE(INDEX(Hairstyles!$C:$C,MATCH($B870,Hairstyles!$F:$F,0)),"" "",""""),""'"",""""),""("",""""),"")"",""""),""-"",""_"")&amp;""_""&amp;$A$2)"),"")</f>
        <v/>
      </c>
      <c r="D870" s="12" t="str">
        <f t="shared" si="1"/>
        <v/>
      </c>
    </row>
    <row r="871">
      <c r="C871" s="12" t="str">
        <f>IFERROR(__xludf.DUMMYFUNCTION("IF($B871="""","""",SUBSTITUTE(SUBSTITUTE(SUBSTITUTE(SUBSTITUTE(INDEX(Hairstyles!$A:$A,MATCH($B871,Hairstyles!$F:$F,0)),"" "",""""),""'"",""""),""("",""""),"")"","""")&amp;""\""&amp;INDEX(SPLIT($A$2,""_""),1)&amp;""\""&amp;INDEX(SPLIT($A$2,""_""),2)&amp;""\""&amp;SUBSTITUTE(SUBST"&amp;"ITUTE(SUBSTITUTE(SUBSTITUTE(SUBSTITUTE(INDEX(Hairstyles!$C:$C,MATCH($B871,Hairstyles!$F:$F,0)),"" "",""""),""'"",""""),""("",""""),"")"",""""),""-"",""_"")&amp;""_""&amp;$A$2)"),"")</f>
        <v/>
      </c>
      <c r="D871" s="12" t="str">
        <f t="shared" si="1"/>
        <v/>
      </c>
    </row>
    <row r="872">
      <c r="C872" s="12" t="str">
        <f>IFERROR(__xludf.DUMMYFUNCTION("IF($B872="""","""",SUBSTITUTE(SUBSTITUTE(SUBSTITUTE(SUBSTITUTE(INDEX(Hairstyles!$A:$A,MATCH($B872,Hairstyles!$F:$F,0)),"" "",""""),""'"",""""),""("",""""),"")"","""")&amp;""\""&amp;INDEX(SPLIT($A$2,""_""),1)&amp;""\""&amp;INDEX(SPLIT($A$2,""_""),2)&amp;""\""&amp;SUBSTITUTE(SUBST"&amp;"ITUTE(SUBSTITUTE(SUBSTITUTE(SUBSTITUTE(INDEX(Hairstyles!$C:$C,MATCH($B872,Hairstyles!$F:$F,0)),"" "",""""),""'"",""""),""("",""""),"")"",""""),""-"",""_"")&amp;""_""&amp;$A$2)"),"")</f>
        <v/>
      </c>
      <c r="D872" s="12" t="str">
        <f t="shared" si="1"/>
        <v/>
      </c>
    </row>
    <row r="873">
      <c r="C873" s="12" t="str">
        <f>IFERROR(__xludf.DUMMYFUNCTION("IF($B873="""","""",SUBSTITUTE(SUBSTITUTE(SUBSTITUTE(SUBSTITUTE(INDEX(Hairstyles!$A:$A,MATCH($B873,Hairstyles!$F:$F,0)),"" "",""""),""'"",""""),""("",""""),"")"","""")&amp;""\""&amp;INDEX(SPLIT($A$2,""_""),1)&amp;""\""&amp;INDEX(SPLIT($A$2,""_""),2)&amp;""\""&amp;SUBSTITUTE(SUBST"&amp;"ITUTE(SUBSTITUTE(SUBSTITUTE(SUBSTITUTE(INDEX(Hairstyles!$C:$C,MATCH($B873,Hairstyles!$F:$F,0)),"" "",""""),""'"",""""),""("",""""),"")"",""""),""-"",""_"")&amp;""_""&amp;$A$2)"),"")</f>
        <v/>
      </c>
      <c r="D873" s="12" t="str">
        <f t="shared" si="1"/>
        <v/>
      </c>
    </row>
    <row r="874">
      <c r="C874" s="12" t="str">
        <f>IFERROR(__xludf.DUMMYFUNCTION("IF($B874="""","""",SUBSTITUTE(SUBSTITUTE(SUBSTITUTE(SUBSTITUTE(INDEX(Hairstyles!$A:$A,MATCH($B874,Hairstyles!$F:$F,0)),"" "",""""),""'"",""""),""("",""""),"")"","""")&amp;""\""&amp;INDEX(SPLIT($A$2,""_""),1)&amp;""\""&amp;INDEX(SPLIT($A$2,""_""),2)&amp;""\""&amp;SUBSTITUTE(SUBST"&amp;"ITUTE(SUBSTITUTE(SUBSTITUTE(SUBSTITUTE(INDEX(Hairstyles!$C:$C,MATCH($B874,Hairstyles!$F:$F,0)),"" "",""""),""'"",""""),""("",""""),"")"",""""),""-"",""_"")&amp;""_""&amp;$A$2)"),"")</f>
        <v/>
      </c>
      <c r="D874" s="12" t="str">
        <f t="shared" si="1"/>
        <v/>
      </c>
    </row>
    <row r="875">
      <c r="C875" s="12" t="str">
        <f>IFERROR(__xludf.DUMMYFUNCTION("IF($B875="""","""",SUBSTITUTE(SUBSTITUTE(SUBSTITUTE(SUBSTITUTE(INDEX(Hairstyles!$A:$A,MATCH($B875,Hairstyles!$F:$F,0)),"" "",""""),""'"",""""),""("",""""),"")"","""")&amp;""\""&amp;INDEX(SPLIT($A$2,""_""),1)&amp;""\""&amp;INDEX(SPLIT($A$2,""_""),2)&amp;""\""&amp;SUBSTITUTE(SUBST"&amp;"ITUTE(SUBSTITUTE(SUBSTITUTE(SUBSTITUTE(INDEX(Hairstyles!$C:$C,MATCH($B875,Hairstyles!$F:$F,0)),"" "",""""),""'"",""""),""("",""""),"")"",""""),""-"",""_"")&amp;""_""&amp;$A$2)"),"")</f>
        <v/>
      </c>
      <c r="D875" s="12" t="str">
        <f t="shared" si="1"/>
        <v/>
      </c>
    </row>
    <row r="876">
      <c r="C876" s="12" t="str">
        <f>IFERROR(__xludf.DUMMYFUNCTION("IF($B876="""","""",SUBSTITUTE(SUBSTITUTE(SUBSTITUTE(SUBSTITUTE(INDEX(Hairstyles!$A:$A,MATCH($B876,Hairstyles!$F:$F,0)),"" "",""""),""'"",""""),""("",""""),"")"","""")&amp;""\""&amp;INDEX(SPLIT($A$2,""_""),1)&amp;""\""&amp;INDEX(SPLIT($A$2,""_""),2)&amp;""\""&amp;SUBSTITUTE(SUBST"&amp;"ITUTE(SUBSTITUTE(SUBSTITUTE(SUBSTITUTE(INDEX(Hairstyles!$C:$C,MATCH($B876,Hairstyles!$F:$F,0)),"" "",""""),""'"",""""),""("",""""),"")"",""""),""-"",""_"")&amp;""_""&amp;$A$2)"),"")</f>
        <v/>
      </c>
      <c r="D876" s="12" t="str">
        <f t="shared" si="1"/>
        <v/>
      </c>
    </row>
    <row r="877">
      <c r="C877" s="12" t="str">
        <f>IFERROR(__xludf.DUMMYFUNCTION("IF($B877="""","""",SUBSTITUTE(SUBSTITUTE(SUBSTITUTE(SUBSTITUTE(INDEX(Hairstyles!$A:$A,MATCH($B877,Hairstyles!$F:$F,0)),"" "",""""),""'"",""""),""("",""""),"")"","""")&amp;""\""&amp;INDEX(SPLIT($A$2,""_""),1)&amp;""\""&amp;INDEX(SPLIT($A$2,""_""),2)&amp;""\""&amp;SUBSTITUTE(SUBST"&amp;"ITUTE(SUBSTITUTE(SUBSTITUTE(SUBSTITUTE(INDEX(Hairstyles!$C:$C,MATCH($B877,Hairstyles!$F:$F,0)),"" "",""""),""'"",""""),""("",""""),"")"",""""),""-"",""_"")&amp;""_""&amp;$A$2)"),"")</f>
        <v/>
      </c>
      <c r="D877" s="12" t="str">
        <f t="shared" si="1"/>
        <v/>
      </c>
    </row>
    <row r="878">
      <c r="C878" s="12" t="str">
        <f>IFERROR(__xludf.DUMMYFUNCTION("IF($B878="""","""",SUBSTITUTE(SUBSTITUTE(SUBSTITUTE(SUBSTITUTE(INDEX(Hairstyles!$A:$A,MATCH($B878,Hairstyles!$F:$F,0)),"" "",""""),""'"",""""),""("",""""),"")"","""")&amp;""\""&amp;INDEX(SPLIT($A$2,""_""),1)&amp;""\""&amp;INDEX(SPLIT($A$2,""_""),2)&amp;""\""&amp;SUBSTITUTE(SUBST"&amp;"ITUTE(SUBSTITUTE(SUBSTITUTE(SUBSTITUTE(INDEX(Hairstyles!$C:$C,MATCH($B878,Hairstyles!$F:$F,0)),"" "",""""),""'"",""""),""("",""""),"")"",""""),""-"",""_"")&amp;""_""&amp;$A$2)"),"")</f>
        <v/>
      </c>
      <c r="D878" s="12" t="str">
        <f t="shared" si="1"/>
        <v/>
      </c>
    </row>
    <row r="879">
      <c r="C879" s="12" t="str">
        <f>IFERROR(__xludf.DUMMYFUNCTION("IF($B879="""","""",SUBSTITUTE(SUBSTITUTE(SUBSTITUTE(SUBSTITUTE(INDEX(Hairstyles!$A:$A,MATCH($B879,Hairstyles!$F:$F,0)),"" "",""""),""'"",""""),""("",""""),"")"","""")&amp;""\""&amp;INDEX(SPLIT($A$2,""_""),1)&amp;""\""&amp;INDEX(SPLIT($A$2,""_""),2)&amp;""\""&amp;SUBSTITUTE(SUBST"&amp;"ITUTE(SUBSTITUTE(SUBSTITUTE(SUBSTITUTE(INDEX(Hairstyles!$C:$C,MATCH($B879,Hairstyles!$F:$F,0)),"" "",""""),""'"",""""),""("",""""),"")"",""""),""-"",""_"")&amp;""_""&amp;$A$2)"),"")</f>
        <v/>
      </c>
      <c r="D879" s="12" t="str">
        <f t="shared" si="1"/>
        <v/>
      </c>
    </row>
    <row r="880">
      <c r="C880" s="12" t="str">
        <f>IFERROR(__xludf.DUMMYFUNCTION("IF($B880="""","""",SUBSTITUTE(SUBSTITUTE(SUBSTITUTE(SUBSTITUTE(INDEX(Hairstyles!$A:$A,MATCH($B880,Hairstyles!$F:$F,0)),"" "",""""),""'"",""""),""("",""""),"")"","""")&amp;""\""&amp;INDEX(SPLIT($A$2,""_""),1)&amp;""\""&amp;INDEX(SPLIT($A$2,""_""),2)&amp;""\""&amp;SUBSTITUTE(SUBST"&amp;"ITUTE(SUBSTITUTE(SUBSTITUTE(SUBSTITUTE(INDEX(Hairstyles!$C:$C,MATCH($B880,Hairstyles!$F:$F,0)),"" "",""""),""'"",""""),""("",""""),"")"",""""),""-"",""_"")&amp;""_""&amp;$A$2)"),"")</f>
        <v/>
      </c>
      <c r="D880" s="12" t="str">
        <f t="shared" si="1"/>
        <v/>
      </c>
    </row>
    <row r="881">
      <c r="C881" s="12" t="str">
        <f>IFERROR(__xludf.DUMMYFUNCTION("IF($B881="""","""",SUBSTITUTE(SUBSTITUTE(SUBSTITUTE(SUBSTITUTE(INDEX(Hairstyles!$A:$A,MATCH($B881,Hairstyles!$F:$F,0)),"" "",""""),""'"",""""),""("",""""),"")"","""")&amp;""\""&amp;INDEX(SPLIT($A$2,""_""),1)&amp;""\""&amp;INDEX(SPLIT($A$2,""_""),2)&amp;""\""&amp;SUBSTITUTE(SUBST"&amp;"ITUTE(SUBSTITUTE(SUBSTITUTE(SUBSTITUTE(INDEX(Hairstyles!$C:$C,MATCH($B881,Hairstyles!$F:$F,0)),"" "",""""),""'"",""""),""("",""""),"")"",""""),""-"",""_"")&amp;""_""&amp;$A$2)"),"")</f>
        <v/>
      </c>
      <c r="D881" s="12" t="str">
        <f t="shared" si="1"/>
        <v/>
      </c>
    </row>
    <row r="882">
      <c r="C882" s="12" t="str">
        <f>IFERROR(__xludf.DUMMYFUNCTION("IF($B882="""","""",SUBSTITUTE(SUBSTITUTE(SUBSTITUTE(SUBSTITUTE(INDEX(Hairstyles!$A:$A,MATCH($B882,Hairstyles!$F:$F,0)),"" "",""""),""'"",""""),""("",""""),"")"","""")&amp;""\""&amp;INDEX(SPLIT($A$2,""_""),1)&amp;""\""&amp;INDEX(SPLIT($A$2,""_""),2)&amp;""\""&amp;SUBSTITUTE(SUBST"&amp;"ITUTE(SUBSTITUTE(SUBSTITUTE(SUBSTITUTE(INDEX(Hairstyles!$C:$C,MATCH($B882,Hairstyles!$F:$F,0)),"" "",""""),""'"",""""),""("",""""),"")"",""""),""-"",""_"")&amp;""_""&amp;$A$2)"),"")</f>
        <v/>
      </c>
      <c r="D882" s="12" t="str">
        <f t="shared" si="1"/>
        <v/>
      </c>
    </row>
    <row r="883">
      <c r="C883" s="12" t="str">
        <f>IFERROR(__xludf.DUMMYFUNCTION("IF($B883="""","""",SUBSTITUTE(SUBSTITUTE(SUBSTITUTE(SUBSTITUTE(INDEX(Hairstyles!$A:$A,MATCH($B883,Hairstyles!$F:$F,0)),"" "",""""),""'"",""""),""("",""""),"")"","""")&amp;""\""&amp;INDEX(SPLIT($A$2,""_""),1)&amp;""\""&amp;INDEX(SPLIT($A$2,""_""),2)&amp;""\""&amp;SUBSTITUTE(SUBST"&amp;"ITUTE(SUBSTITUTE(SUBSTITUTE(SUBSTITUTE(INDEX(Hairstyles!$C:$C,MATCH($B883,Hairstyles!$F:$F,0)),"" "",""""),""'"",""""),""("",""""),"")"",""""),""-"",""_"")&amp;""_""&amp;$A$2)"),"")</f>
        <v/>
      </c>
      <c r="D883" s="12" t="str">
        <f t="shared" si="1"/>
        <v/>
      </c>
    </row>
    <row r="884">
      <c r="C884" s="12" t="str">
        <f>IFERROR(__xludf.DUMMYFUNCTION("IF($B884="""","""",SUBSTITUTE(SUBSTITUTE(SUBSTITUTE(SUBSTITUTE(INDEX(Hairstyles!$A:$A,MATCH($B884,Hairstyles!$F:$F,0)),"" "",""""),""'"",""""),""("",""""),"")"","""")&amp;""\""&amp;INDEX(SPLIT($A$2,""_""),1)&amp;""\""&amp;INDEX(SPLIT($A$2,""_""),2)&amp;""\""&amp;SUBSTITUTE(SUBST"&amp;"ITUTE(SUBSTITUTE(SUBSTITUTE(SUBSTITUTE(INDEX(Hairstyles!$C:$C,MATCH($B884,Hairstyles!$F:$F,0)),"" "",""""),""'"",""""),""("",""""),"")"",""""),""-"",""_"")&amp;""_""&amp;$A$2)"),"")</f>
        <v/>
      </c>
      <c r="D884" s="12" t="str">
        <f t="shared" si="1"/>
        <v/>
      </c>
    </row>
    <row r="885">
      <c r="C885" s="12" t="str">
        <f>IFERROR(__xludf.DUMMYFUNCTION("IF($B885="""","""",SUBSTITUTE(SUBSTITUTE(SUBSTITUTE(SUBSTITUTE(INDEX(Hairstyles!$A:$A,MATCH($B885,Hairstyles!$F:$F,0)),"" "",""""),""'"",""""),""("",""""),"")"","""")&amp;""\""&amp;INDEX(SPLIT($A$2,""_""),1)&amp;""\""&amp;INDEX(SPLIT($A$2,""_""),2)&amp;""\""&amp;SUBSTITUTE(SUBST"&amp;"ITUTE(SUBSTITUTE(SUBSTITUTE(SUBSTITUTE(INDEX(Hairstyles!$C:$C,MATCH($B885,Hairstyles!$F:$F,0)),"" "",""""),""'"",""""),""("",""""),"")"",""""),""-"",""_"")&amp;""_""&amp;$A$2)"),"")</f>
        <v/>
      </c>
      <c r="D885" s="12" t="str">
        <f t="shared" si="1"/>
        <v/>
      </c>
    </row>
    <row r="886">
      <c r="C886" s="12" t="str">
        <f>IFERROR(__xludf.DUMMYFUNCTION("IF($B886="""","""",SUBSTITUTE(SUBSTITUTE(SUBSTITUTE(SUBSTITUTE(INDEX(Hairstyles!$A:$A,MATCH($B886,Hairstyles!$F:$F,0)),"" "",""""),""'"",""""),""("",""""),"")"","""")&amp;""\""&amp;INDEX(SPLIT($A$2,""_""),1)&amp;""\""&amp;INDEX(SPLIT($A$2,""_""),2)&amp;""\""&amp;SUBSTITUTE(SUBST"&amp;"ITUTE(SUBSTITUTE(SUBSTITUTE(SUBSTITUTE(INDEX(Hairstyles!$C:$C,MATCH($B886,Hairstyles!$F:$F,0)),"" "",""""),""'"",""""),""("",""""),"")"",""""),""-"",""_"")&amp;""_""&amp;$A$2)"),"")</f>
        <v/>
      </c>
      <c r="D886" s="12" t="str">
        <f t="shared" si="1"/>
        <v/>
      </c>
    </row>
    <row r="887">
      <c r="C887" s="12" t="str">
        <f>IFERROR(__xludf.DUMMYFUNCTION("IF($B887="""","""",SUBSTITUTE(SUBSTITUTE(SUBSTITUTE(SUBSTITUTE(INDEX(Hairstyles!$A:$A,MATCH($B887,Hairstyles!$F:$F,0)),"" "",""""),""'"",""""),""("",""""),"")"","""")&amp;""\""&amp;INDEX(SPLIT($A$2,""_""),1)&amp;""\""&amp;INDEX(SPLIT($A$2,""_""),2)&amp;""\""&amp;SUBSTITUTE(SUBST"&amp;"ITUTE(SUBSTITUTE(SUBSTITUTE(SUBSTITUTE(INDEX(Hairstyles!$C:$C,MATCH($B887,Hairstyles!$F:$F,0)),"" "",""""),""'"",""""),""("",""""),"")"",""""),""-"",""_"")&amp;""_""&amp;$A$2)"),"")</f>
        <v/>
      </c>
      <c r="D887" s="12" t="str">
        <f t="shared" si="1"/>
        <v/>
      </c>
    </row>
    <row r="888">
      <c r="C888" s="12" t="str">
        <f>IFERROR(__xludf.DUMMYFUNCTION("IF($B888="""","""",SUBSTITUTE(SUBSTITUTE(SUBSTITUTE(SUBSTITUTE(INDEX(Hairstyles!$A:$A,MATCH($B888,Hairstyles!$F:$F,0)),"" "",""""),""'"",""""),""("",""""),"")"","""")&amp;""\""&amp;INDEX(SPLIT($A$2,""_""),1)&amp;""\""&amp;INDEX(SPLIT($A$2,""_""),2)&amp;""\""&amp;SUBSTITUTE(SUBST"&amp;"ITUTE(SUBSTITUTE(SUBSTITUTE(SUBSTITUTE(INDEX(Hairstyles!$C:$C,MATCH($B888,Hairstyles!$F:$F,0)),"" "",""""),""'"",""""),""("",""""),"")"",""""),""-"",""_"")&amp;""_""&amp;$A$2)"),"")</f>
        <v/>
      </c>
      <c r="D888" s="12" t="str">
        <f t="shared" si="1"/>
        <v/>
      </c>
    </row>
    <row r="889">
      <c r="C889" s="12" t="str">
        <f>IFERROR(__xludf.DUMMYFUNCTION("IF($B889="""","""",SUBSTITUTE(SUBSTITUTE(SUBSTITUTE(SUBSTITUTE(INDEX(Hairstyles!$A:$A,MATCH($B889,Hairstyles!$F:$F,0)),"" "",""""),""'"",""""),""("",""""),"")"","""")&amp;""\""&amp;INDEX(SPLIT($A$2,""_""),1)&amp;""\""&amp;INDEX(SPLIT($A$2,""_""),2)&amp;""\""&amp;SUBSTITUTE(SUBST"&amp;"ITUTE(SUBSTITUTE(SUBSTITUTE(SUBSTITUTE(INDEX(Hairstyles!$C:$C,MATCH($B889,Hairstyles!$F:$F,0)),"" "",""""),""'"",""""),""("",""""),"")"",""""),""-"",""_"")&amp;""_""&amp;$A$2)"),"")</f>
        <v/>
      </c>
      <c r="D889" s="12" t="str">
        <f t="shared" si="1"/>
        <v/>
      </c>
    </row>
    <row r="890">
      <c r="C890" s="12" t="str">
        <f>IFERROR(__xludf.DUMMYFUNCTION("IF($B890="""","""",SUBSTITUTE(SUBSTITUTE(SUBSTITUTE(SUBSTITUTE(INDEX(Hairstyles!$A:$A,MATCH($B890,Hairstyles!$F:$F,0)),"" "",""""),""'"",""""),""("",""""),"")"","""")&amp;""\""&amp;INDEX(SPLIT($A$2,""_""),1)&amp;""\""&amp;INDEX(SPLIT($A$2,""_""),2)&amp;""\""&amp;SUBSTITUTE(SUBST"&amp;"ITUTE(SUBSTITUTE(SUBSTITUTE(SUBSTITUTE(INDEX(Hairstyles!$C:$C,MATCH($B890,Hairstyles!$F:$F,0)),"" "",""""),""'"",""""),""("",""""),"")"",""""),""-"",""_"")&amp;""_""&amp;$A$2)"),"")</f>
        <v/>
      </c>
      <c r="D890" s="12" t="str">
        <f t="shared" si="1"/>
        <v/>
      </c>
    </row>
    <row r="891">
      <c r="C891" s="12" t="str">
        <f>IFERROR(__xludf.DUMMYFUNCTION("IF($B891="""","""",SUBSTITUTE(SUBSTITUTE(SUBSTITUTE(SUBSTITUTE(INDEX(Hairstyles!$A:$A,MATCH($B891,Hairstyles!$F:$F,0)),"" "",""""),""'"",""""),""("",""""),"")"","""")&amp;""\""&amp;INDEX(SPLIT($A$2,""_""),1)&amp;""\""&amp;INDEX(SPLIT($A$2,""_""),2)&amp;""\""&amp;SUBSTITUTE(SUBST"&amp;"ITUTE(SUBSTITUTE(SUBSTITUTE(SUBSTITUTE(INDEX(Hairstyles!$C:$C,MATCH($B891,Hairstyles!$F:$F,0)),"" "",""""),""'"",""""),""("",""""),"")"",""""),""-"",""_"")&amp;""_""&amp;$A$2)"),"")</f>
        <v/>
      </c>
      <c r="D891" s="12" t="str">
        <f t="shared" si="1"/>
        <v/>
      </c>
    </row>
    <row r="892">
      <c r="C892" s="12" t="str">
        <f>IFERROR(__xludf.DUMMYFUNCTION("IF($B892="""","""",SUBSTITUTE(SUBSTITUTE(SUBSTITUTE(SUBSTITUTE(INDEX(Hairstyles!$A:$A,MATCH($B892,Hairstyles!$F:$F,0)),"" "",""""),""'"",""""),""("",""""),"")"","""")&amp;""\""&amp;INDEX(SPLIT($A$2,""_""),1)&amp;""\""&amp;INDEX(SPLIT($A$2,""_""),2)&amp;""\""&amp;SUBSTITUTE(SUBST"&amp;"ITUTE(SUBSTITUTE(SUBSTITUTE(SUBSTITUTE(INDEX(Hairstyles!$C:$C,MATCH($B892,Hairstyles!$F:$F,0)),"" "",""""),""'"",""""),""("",""""),"")"",""""),""-"",""_"")&amp;""_""&amp;$A$2)"),"")</f>
        <v/>
      </c>
      <c r="D892" s="12" t="str">
        <f t="shared" si="1"/>
        <v/>
      </c>
    </row>
    <row r="893">
      <c r="C893" s="12" t="str">
        <f>IFERROR(__xludf.DUMMYFUNCTION("IF($B893="""","""",SUBSTITUTE(SUBSTITUTE(SUBSTITUTE(SUBSTITUTE(INDEX(Hairstyles!$A:$A,MATCH($B893,Hairstyles!$F:$F,0)),"" "",""""),""'"",""""),""("",""""),"")"","""")&amp;""\""&amp;INDEX(SPLIT($A$2,""_""),1)&amp;""\""&amp;INDEX(SPLIT($A$2,""_""),2)&amp;""\""&amp;SUBSTITUTE(SUBST"&amp;"ITUTE(SUBSTITUTE(SUBSTITUTE(SUBSTITUTE(INDEX(Hairstyles!$C:$C,MATCH($B893,Hairstyles!$F:$F,0)),"" "",""""),""'"",""""),""("",""""),"")"",""""),""-"",""_"")&amp;""_""&amp;$A$2)"),"")</f>
        <v/>
      </c>
      <c r="D893" s="12" t="str">
        <f t="shared" si="1"/>
        <v/>
      </c>
    </row>
    <row r="894">
      <c r="C894" s="12" t="str">
        <f>IFERROR(__xludf.DUMMYFUNCTION("IF($B894="""","""",SUBSTITUTE(SUBSTITUTE(SUBSTITUTE(SUBSTITUTE(INDEX(Hairstyles!$A:$A,MATCH($B894,Hairstyles!$F:$F,0)),"" "",""""),""'"",""""),""("",""""),"")"","""")&amp;""\""&amp;INDEX(SPLIT($A$2,""_""),1)&amp;""\""&amp;INDEX(SPLIT($A$2,""_""),2)&amp;""\""&amp;SUBSTITUTE(SUBST"&amp;"ITUTE(SUBSTITUTE(SUBSTITUTE(SUBSTITUTE(INDEX(Hairstyles!$C:$C,MATCH($B894,Hairstyles!$F:$F,0)),"" "",""""),""'"",""""),""("",""""),"")"",""""),""-"",""_"")&amp;""_""&amp;$A$2)"),"")</f>
        <v/>
      </c>
      <c r="D894" s="12" t="str">
        <f t="shared" si="1"/>
        <v/>
      </c>
    </row>
    <row r="895">
      <c r="C895" s="12" t="str">
        <f>IFERROR(__xludf.DUMMYFUNCTION("IF($B895="""","""",SUBSTITUTE(SUBSTITUTE(SUBSTITUTE(SUBSTITUTE(INDEX(Hairstyles!$A:$A,MATCH($B895,Hairstyles!$F:$F,0)),"" "",""""),""'"",""""),""("",""""),"")"","""")&amp;""\""&amp;INDEX(SPLIT($A$2,""_""),1)&amp;""\""&amp;INDEX(SPLIT($A$2,""_""),2)&amp;""\""&amp;SUBSTITUTE(SUBST"&amp;"ITUTE(SUBSTITUTE(SUBSTITUTE(SUBSTITUTE(INDEX(Hairstyles!$C:$C,MATCH($B895,Hairstyles!$F:$F,0)),"" "",""""),""'"",""""),""("",""""),"")"",""""),""-"",""_"")&amp;""_""&amp;$A$2)"),"")</f>
        <v/>
      </c>
      <c r="D895" s="12" t="str">
        <f t="shared" si="1"/>
        <v/>
      </c>
    </row>
    <row r="896">
      <c r="C896" s="12" t="str">
        <f>IFERROR(__xludf.DUMMYFUNCTION("IF($B896="""","""",SUBSTITUTE(SUBSTITUTE(SUBSTITUTE(SUBSTITUTE(INDEX(Hairstyles!$A:$A,MATCH($B896,Hairstyles!$F:$F,0)),"" "",""""),""'"",""""),""("",""""),"")"","""")&amp;""\""&amp;INDEX(SPLIT($A$2,""_""),1)&amp;""\""&amp;INDEX(SPLIT($A$2,""_""),2)&amp;""\""&amp;SUBSTITUTE(SUBST"&amp;"ITUTE(SUBSTITUTE(SUBSTITUTE(SUBSTITUTE(INDEX(Hairstyles!$C:$C,MATCH($B896,Hairstyles!$F:$F,0)),"" "",""""),""'"",""""),""("",""""),"")"",""""),""-"",""_"")&amp;""_""&amp;$A$2)"),"")</f>
        <v/>
      </c>
      <c r="D896" s="12" t="str">
        <f t="shared" si="1"/>
        <v/>
      </c>
    </row>
    <row r="897">
      <c r="C897" s="12" t="str">
        <f>IFERROR(__xludf.DUMMYFUNCTION("IF($B897="""","""",SUBSTITUTE(SUBSTITUTE(SUBSTITUTE(SUBSTITUTE(INDEX(Hairstyles!$A:$A,MATCH($B897,Hairstyles!$F:$F,0)),"" "",""""),""'"",""""),""("",""""),"")"","""")&amp;""\""&amp;INDEX(SPLIT($A$2,""_""),1)&amp;""\""&amp;INDEX(SPLIT($A$2,""_""),2)&amp;""\""&amp;SUBSTITUTE(SUBST"&amp;"ITUTE(SUBSTITUTE(SUBSTITUTE(SUBSTITUTE(INDEX(Hairstyles!$C:$C,MATCH($B897,Hairstyles!$F:$F,0)),"" "",""""),""'"",""""),""("",""""),"")"",""""),""-"",""_"")&amp;""_""&amp;$A$2)"),"")</f>
        <v/>
      </c>
      <c r="D897" s="12" t="str">
        <f t="shared" si="1"/>
        <v/>
      </c>
    </row>
    <row r="898">
      <c r="C898" s="12" t="str">
        <f>IFERROR(__xludf.DUMMYFUNCTION("IF($B898="""","""",SUBSTITUTE(SUBSTITUTE(SUBSTITUTE(SUBSTITUTE(INDEX(Hairstyles!$A:$A,MATCH($B898,Hairstyles!$F:$F,0)),"" "",""""),""'"",""""),""("",""""),"")"","""")&amp;""\""&amp;INDEX(SPLIT($A$2,""_""),1)&amp;""\""&amp;INDEX(SPLIT($A$2,""_""),2)&amp;""\""&amp;SUBSTITUTE(SUBST"&amp;"ITUTE(SUBSTITUTE(SUBSTITUTE(SUBSTITUTE(INDEX(Hairstyles!$C:$C,MATCH($B898,Hairstyles!$F:$F,0)),"" "",""""),""'"",""""),""("",""""),"")"",""""),""-"",""_"")&amp;""_""&amp;$A$2)"),"")</f>
        <v/>
      </c>
      <c r="D898" s="12" t="str">
        <f t="shared" si="1"/>
        <v/>
      </c>
    </row>
    <row r="899">
      <c r="C899" s="12" t="str">
        <f>IFERROR(__xludf.DUMMYFUNCTION("IF($B899="""","""",SUBSTITUTE(SUBSTITUTE(SUBSTITUTE(SUBSTITUTE(INDEX(Hairstyles!$A:$A,MATCH($B899,Hairstyles!$F:$F,0)),"" "",""""),""'"",""""),""("",""""),"")"","""")&amp;""\""&amp;INDEX(SPLIT($A$2,""_""),1)&amp;""\""&amp;INDEX(SPLIT($A$2,""_""),2)&amp;""\""&amp;SUBSTITUTE(SUBST"&amp;"ITUTE(SUBSTITUTE(SUBSTITUTE(SUBSTITUTE(INDEX(Hairstyles!$C:$C,MATCH($B899,Hairstyles!$F:$F,0)),"" "",""""),""'"",""""),""("",""""),"")"",""""),""-"",""_"")&amp;""_""&amp;$A$2)"),"")</f>
        <v/>
      </c>
      <c r="D899" s="12" t="str">
        <f t="shared" si="1"/>
        <v/>
      </c>
    </row>
    <row r="900">
      <c r="C900" s="12" t="str">
        <f>IFERROR(__xludf.DUMMYFUNCTION("IF($B900="""","""",SUBSTITUTE(SUBSTITUTE(SUBSTITUTE(SUBSTITUTE(INDEX(Hairstyles!$A:$A,MATCH($B900,Hairstyles!$F:$F,0)),"" "",""""),""'"",""""),""("",""""),"")"","""")&amp;""\""&amp;INDEX(SPLIT($A$2,""_""),1)&amp;""\""&amp;INDEX(SPLIT($A$2,""_""),2)&amp;""\""&amp;SUBSTITUTE(SUBST"&amp;"ITUTE(SUBSTITUTE(SUBSTITUTE(SUBSTITUTE(INDEX(Hairstyles!$C:$C,MATCH($B900,Hairstyles!$F:$F,0)),"" "",""""),""'"",""""),""("",""""),"")"",""""),""-"",""_"")&amp;""_""&amp;$A$2)"),"")</f>
        <v/>
      </c>
      <c r="D900" s="12" t="str">
        <f t="shared" si="1"/>
        <v/>
      </c>
    </row>
    <row r="901">
      <c r="C901" s="12" t="str">
        <f>IFERROR(__xludf.DUMMYFUNCTION("IF($B901="""","""",SUBSTITUTE(SUBSTITUTE(SUBSTITUTE(SUBSTITUTE(INDEX(Hairstyles!$A:$A,MATCH($B901,Hairstyles!$F:$F,0)),"" "",""""),""'"",""""),""("",""""),"")"","""")&amp;""\""&amp;INDEX(SPLIT($A$2,""_""),1)&amp;""\""&amp;INDEX(SPLIT($A$2,""_""),2)&amp;""\""&amp;SUBSTITUTE(SUBST"&amp;"ITUTE(SUBSTITUTE(SUBSTITUTE(SUBSTITUTE(INDEX(Hairstyles!$C:$C,MATCH($B901,Hairstyles!$F:$F,0)),"" "",""""),""'"",""""),""("",""""),"")"",""""),""-"",""_"")&amp;""_""&amp;$A$2)"),"")</f>
        <v/>
      </c>
      <c r="D901" s="12" t="str">
        <f t="shared" si="1"/>
        <v/>
      </c>
    </row>
    <row r="902">
      <c r="C902" s="12" t="str">
        <f>IFERROR(__xludf.DUMMYFUNCTION("IF($B902="""","""",SUBSTITUTE(SUBSTITUTE(SUBSTITUTE(SUBSTITUTE(INDEX(Hairstyles!$A:$A,MATCH($B902,Hairstyles!$F:$F,0)),"" "",""""),""'"",""""),""("",""""),"")"","""")&amp;""\""&amp;INDEX(SPLIT($A$2,""_""),1)&amp;""\""&amp;INDEX(SPLIT($A$2,""_""),2)&amp;""\""&amp;SUBSTITUTE(SUBST"&amp;"ITUTE(SUBSTITUTE(SUBSTITUTE(SUBSTITUTE(INDEX(Hairstyles!$C:$C,MATCH($B902,Hairstyles!$F:$F,0)),"" "",""""),""'"",""""),""("",""""),"")"",""""),""-"",""_"")&amp;""_""&amp;$A$2)"),"")</f>
        <v/>
      </c>
      <c r="D902" s="12" t="str">
        <f t="shared" si="1"/>
        <v/>
      </c>
    </row>
    <row r="903">
      <c r="C903" s="12" t="str">
        <f>IFERROR(__xludf.DUMMYFUNCTION("IF($B903="""","""",SUBSTITUTE(SUBSTITUTE(SUBSTITUTE(SUBSTITUTE(INDEX(Hairstyles!$A:$A,MATCH($B903,Hairstyles!$F:$F,0)),"" "",""""),""'"",""""),""("",""""),"")"","""")&amp;""\""&amp;INDEX(SPLIT($A$2,""_""),1)&amp;""\""&amp;INDEX(SPLIT($A$2,""_""),2)&amp;""\""&amp;SUBSTITUTE(SUBST"&amp;"ITUTE(SUBSTITUTE(SUBSTITUTE(SUBSTITUTE(INDEX(Hairstyles!$C:$C,MATCH($B903,Hairstyles!$F:$F,0)),"" "",""""),""'"",""""),""("",""""),"")"",""""),""-"",""_"")&amp;""_""&amp;$A$2)"),"")</f>
        <v/>
      </c>
      <c r="D903" s="12" t="str">
        <f t="shared" si="1"/>
        <v/>
      </c>
    </row>
    <row r="904">
      <c r="C904" s="12" t="str">
        <f>IFERROR(__xludf.DUMMYFUNCTION("IF($B904="""","""",SUBSTITUTE(SUBSTITUTE(SUBSTITUTE(SUBSTITUTE(INDEX(Hairstyles!$A:$A,MATCH($B904,Hairstyles!$F:$F,0)),"" "",""""),""'"",""""),""("",""""),"")"","""")&amp;""\""&amp;INDEX(SPLIT($A$2,""_""),1)&amp;""\""&amp;INDEX(SPLIT($A$2,""_""),2)&amp;""\""&amp;SUBSTITUTE(SUBST"&amp;"ITUTE(SUBSTITUTE(SUBSTITUTE(SUBSTITUTE(INDEX(Hairstyles!$C:$C,MATCH($B904,Hairstyles!$F:$F,0)),"" "",""""),""'"",""""),""("",""""),"")"",""""),""-"",""_"")&amp;""_""&amp;$A$2)"),"")</f>
        <v/>
      </c>
      <c r="D904" s="12" t="str">
        <f t="shared" si="1"/>
        <v/>
      </c>
    </row>
    <row r="905">
      <c r="C905" s="12" t="str">
        <f>IFERROR(__xludf.DUMMYFUNCTION("IF($B905="""","""",SUBSTITUTE(SUBSTITUTE(SUBSTITUTE(SUBSTITUTE(INDEX(Hairstyles!$A:$A,MATCH($B905,Hairstyles!$F:$F,0)),"" "",""""),""'"",""""),""("",""""),"")"","""")&amp;""\""&amp;INDEX(SPLIT($A$2,""_""),1)&amp;""\""&amp;INDEX(SPLIT($A$2,""_""),2)&amp;""\""&amp;SUBSTITUTE(SUBST"&amp;"ITUTE(SUBSTITUTE(SUBSTITUTE(SUBSTITUTE(INDEX(Hairstyles!$C:$C,MATCH($B905,Hairstyles!$F:$F,0)),"" "",""""),""'"",""""),""("",""""),"")"",""""),""-"",""_"")&amp;""_""&amp;$A$2)"),"")</f>
        <v/>
      </c>
      <c r="D905" s="12" t="str">
        <f t="shared" si="1"/>
        <v/>
      </c>
    </row>
    <row r="906">
      <c r="C906" s="12" t="str">
        <f>IFERROR(__xludf.DUMMYFUNCTION("IF($B906="""","""",SUBSTITUTE(SUBSTITUTE(SUBSTITUTE(SUBSTITUTE(INDEX(Hairstyles!$A:$A,MATCH($B906,Hairstyles!$F:$F,0)),"" "",""""),""'"",""""),""("",""""),"")"","""")&amp;""\""&amp;INDEX(SPLIT($A$2,""_""),1)&amp;""\""&amp;INDEX(SPLIT($A$2,""_""),2)&amp;""\""&amp;SUBSTITUTE(SUBST"&amp;"ITUTE(SUBSTITUTE(SUBSTITUTE(SUBSTITUTE(INDEX(Hairstyles!$C:$C,MATCH($B906,Hairstyles!$F:$F,0)),"" "",""""),""'"",""""),""("",""""),"")"",""""),""-"",""_"")&amp;""_""&amp;$A$2)"),"")</f>
        <v/>
      </c>
      <c r="D906" s="12" t="str">
        <f t="shared" si="1"/>
        <v/>
      </c>
    </row>
    <row r="907">
      <c r="C907" s="12" t="str">
        <f>IFERROR(__xludf.DUMMYFUNCTION("IF($B907="""","""",SUBSTITUTE(SUBSTITUTE(SUBSTITUTE(SUBSTITUTE(INDEX(Hairstyles!$A:$A,MATCH($B907,Hairstyles!$F:$F,0)),"" "",""""),""'"",""""),""("",""""),"")"","""")&amp;""\""&amp;INDEX(SPLIT($A$2,""_""),1)&amp;""\""&amp;INDEX(SPLIT($A$2,""_""),2)&amp;""\""&amp;SUBSTITUTE(SUBST"&amp;"ITUTE(SUBSTITUTE(SUBSTITUTE(SUBSTITUTE(INDEX(Hairstyles!$C:$C,MATCH($B907,Hairstyles!$F:$F,0)),"" "",""""),""'"",""""),""("",""""),"")"",""""),""-"",""_"")&amp;""_""&amp;$A$2)"),"")</f>
        <v/>
      </c>
      <c r="D907" s="12" t="str">
        <f t="shared" si="1"/>
        <v/>
      </c>
    </row>
    <row r="908">
      <c r="C908" s="12" t="str">
        <f>IFERROR(__xludf.DUMMYFUNCTION("IF($B908="""","""",SUBSTITUTE(SUBSTITUTE(SUBSTITUTE(SUBSTITUTE(INDEX(Hairstyles!$A:$A,MATCH($B908,Hairstyles!$F:$F,0)),"" "",""""),""'"",""""),""("",""""),"")"","""")&amp;""\""&amp;INDEX(SPLIT($A$2,""_""),1)&amp;""\""&amp;INDEX(SPLIT($A$2,""_""),2)&amp;""\""&amp;SUBSTITUTE(SUBST"&amp;"ITUTE(SUBSTITUTE(SUBSTITUTE(SUBSTITUTE(INDEX(Hairstyles!$C:$C,MATCH($B908,Hairstyles!$F:$F,0)),"" "",""""),""'"",""""),""("",""""),"")"",""""),""-"",""_"")&amp;""_""&amp;$A$2)"),"")</f>
        <v/>
      </c>
      <c r="D908" s="12" t="str">
        <f t="shared" si="1"/>
        <v/>
      </c>
    </row>
    <row r="909">
      <c r="C909" s="12" t="str">
        <f>IFERROR(__xludf.DUMMYFUNCTION("IF($B909="""","""",SUBSTITUTE(SUBSTITUTE(SUBSTITUTE(SUBSTITUTE(INDEX(Hairstyles!$A:$A,MATCH($B909,Hairstyles!$F:$F,0)),"" "",""""),""'"",""""),""("",""""),"")"","""")&amp;""\""&amp;INDEX(SPLIT($A$2,""_""),1)&amp;""\""&amp;INDEX(SPLIT($A$2,""_""),2)&amp;""\""&amp;SUBSTITUTE(SUBST"&amp;"ITUTE(SUBSTITUTE(SUBSTITUTE(SUBSTITUTE(INDEX(Hairstyles!$C:$C,MATCH($B909,Hairstyles!$F:$F,0)),"" "",""""),""'"",""""),""("",""""),"")"",""""),""-"",""_"")&amp;""_""&amp;$A$2)"),"")</f>
        <v/>
      </c>
      <c r="D909" s="12" t="str">
        <f t="shared" si="1"/>
        <v/>
      </c>
    </row>
    <row r="910">
      <c r="C910" s="12" t="str">
        <f>IFERROR(__xludf.DUMMYFUNCTION("IF($B910="""","""",SUBSTITUTE(SUBSTITUTE(SUBSTITUTE(SUBSTITUTE(INDEX(Hairstyles!$A:$A,MATCH($B910,Hairstyles!$F:$F,0)),"" "",""""),""'"",""""),""("",""""),"")"","""")&amp;""\""&amp;INDEX(SPLIT($A$2,""_""),1)&amp;""\""&amp;INDEX(SPLIT($A$2,""_""),2)&amp;""\""&amp;SUBSTITUTE(SUBST"&amp;"ITUTE(SUBSTITUTE(SUBSTITUTE(SUBSTITUTE(INDEX(Hairstyles!$C:$C,MATCH($B910,Hairstyles!$F:$F,0)),"" "",""""),""'"",""""),""("",""""),"")"",""""),""-"",""_"")&amp;""_""&amp;$A$2)"),"")</f>
        <v/>
      </c>
      <c r="D910" s="12" t="str">
        <f t="shared" si="1"/>
        <v/>
      </c>
    </row>
    <row r="911">
      <c r="C911" s="12" t="str">
        <f>IFERROR(__xludf.DUMMYFUNCTION("IF($B911="""","""",SUBSTITUTE(SUBSTITUTE(SUBSTITUTE(SUBSTITUTE(INDEX(Hairstyles!$A:$A,MATCH($B911,Hairstyles!$F:$F,0)),"" "",""""),""'"",""""),""("",""""),"")"","""")&amp;""\""&amp;INDEX(SPLIT($A$2,""_""),1)&amp;""\""&amp;INDEX(SPLIT($A$2,""_""),2)&amp;""\""&amp;SUBSTITUTE(SUBST"&amp;"ITUTE(SUBSTITUTE(SUBSTITUTE(SUBSTITUTE(INDEX(Hairstyles!$C:$C,MATCH($B911,Hairstyles!$F:$F,0)),"" "",""""),""'"",""""),""("",""""),"")"",""""),""-"",""_"")&amp;""_""&amp;$A$2)"),"")</f>
        <v/>
      </c>
      <c r="D911" s="12" t="str">
        <f t="shared" si="1"/>
        <v/>
      </c>
    </row>
    <row r="912">
      <c r="C912" s="12" t="str">
        <f>IFERROR(__xludf.DUMMYFUNCTION("IF($B912="""","""",SUBSTITUTE(SUBSTITUTE(SUBSTITUTE(SUBSTITUTE(INDEX(Hairstyles!$A:$A,MATCH($B912,Hairstyles!$F:$F,0)),"" "",""""),""'"",""""),""("",""""),"")"","""")&amp;""\""&amp;INDEX(SPLIT($A$2,""_""),1)&amp;""\""&amp;INDEX(SPLIT($A$2,""_""),2)&amp;""\""&amp;SUBSTITUTE(SUBST"&amp;"ITUTE(SUBSTITUTE(SUBSTITUTE(SUBSTITUTE(INDEX(Hairstyles!$C:$C,MATCH($B912,Hairstyles!$F:$F,0)),"" "",""""),""'"",""""),""("",""""),"")"",""""),""-"",""_"")&amp;""_""&amp;$A$2)"),"")</f>
        <v/>
      </c>
      <c r="D912" s="12" t="str">
        <f t="shared" si="1"/>
        <v/>
      </c>
    </row>
    <row r="913">
      <c r="C913" s="12" t="str">
        <f>IFERROR(__xludf.DUMMYFUNCTION("IF($B913="""","""",SUBSTITUTE(SUBSTITUTE(SUBSTITUTE(SUBSTITUTE(INDEX(Hairstyles!$A:$A,MATCH($B913,Hairstyles!$F:$F,0)),"" "",""""),""'"",""""),""("",""""),"")"","""")&amp;""\""&amp;INDEX(SPLIT($A$2,""_""),1)&amp;""\""&amp;INDEX(SPLIT($A$2,""_""),2)&amp;""\""&amp;SUBSTITUTE(SUBST"&amp;"ITUTE(SUBSTITUTE(SUBSTITUTE(SUBSTITUTE(INDEX(Hairstyles!$C:$C,MATCH($B913,Hairstyles!$F:$F,0)),"" "",""""),""'"",""""),""("",""""),"")"",""""),""-"",""_"")&amp;""_""&amp;$A$2)"),"")</f>
        <v/>
      </c>
      <c r="D913" s="12" t="str">
        <f t="shared" si="1"/>
        <v/>
      </c>
    </row>
    <row r="914">
      <c r="C914" s="12" t="str">
        <f>IFERROR(__xludf.DUMMYFUNCTION("IF($B914="""","""",SUBSTITUTE(SUBSTITUTE(SUBSTITUTE(SUBSTITUTE(INDEX(Hairstyles!$A:$A,MATCH($B914,Hairstyles!$F:$F,0)),"" "",""""),""'"",""""),""("",""""),"")"","""")&amp;""\""&amp;INDEX(SPLIT($A$2,""_""),1)&amp;""\""&amp;INDEX(SPLIT($A$2,""_""),2)&amp;""\""&amp;SUBSTITUTE(SUBST"&amp;"ITUTE(SUBSTITUTE(SUBSTITUTE(SUBSTITUTE(INDEX(Hairstyles!$C:$C,MATCH($B914,Hairstyles!$F:$F,0)),"" "",""""),""'"",""""),""("",""""),"")"",""""),""-"",""_"")&amp;""_""&amp;$A$2)"),"")</f>
        <v/>
      </c>
      <c r="D914" s="12" t="str">
        <f t="shared" si="1"/>
        <v/>
      </c>
    </row>
    <row r="915">
      <c r="C915" s="12" t="str">
        <f>IFERROR(__xludf.DUMMYFUNCTION("IF($B915="""","""",SUBSTITUTE(SUBSTITUTE(SUBSTITUTE(SUBSTITUTE(INDEX(Hairstyles!$A:$A,MATCH($B915,Hairstyles!$F:$F,0)),"" "",""""),""'"",""""),""("",""""),"")"","""")&amp;""\""&amp;INDEX(SPLIT($A$2,""_""),1)&amp;""\""&amp;INDEX(SPLIT($A$2,""_""),2)&amp;""\""&amp;SUBSTITUTE(SUBST"&amp;"ITUTE(SUBSTITUTE(SUBSTITUTE(SUBSTITUTE(INDEX(Hairstyles!$C:$C,MATCH($B915,Hairstyles!$F:$F,0)),"" "",""""),""'"",""""),""("",""""),"")"",""""),""-"",""_"")&amp;""_""&amp;$A$2)"),"")</f>
        <v/>
      </c>
      <c r="D915" s="12" t="str">
        <f t="shared" si="1"/>
        <v/>
      </c>
    </row>
    <row r="916">
      <c r="C916" s="12" t="str">
        <f>IFERROR(__xludf.DUMMYFUNCTION("IF($B916="""","""",SUBSTITUTE(SUBSTITUTE(SUBSTITUTE(SUBSTITUTE(INDEX(Hairstyles!$A:$A,MATCH($B916,Hairstyles!$F:$F,0)),"" "",""""),""'"",""""),""("",""""),"")"","""")&amp;""\""&amp;INDEX(SPLIT($A$2,""_""),1)&amp;""\""&amp;INDEX(SPLIT($A$2,""_""),2)&amp;""\""&amp;SUBSTITUTE(SUBST"&amp;"ITUTE(SUBSTITUTE(SUBSTITUTE(SUBSTITUTE(INDEX(Hairstyles!$C:$C,MATCH($B916,Hairstyles!$F:$F,0)),"" "",""""),""'"",""""),""("",""""),"")"",""""),""-"",""_"")&amp;""_""&amp;$A$2)"),"")</f>
        <v/>
      </c>
      <c r="D916" s="12" t="str">
        <f t="shared" si="1"/>
        <v/>
      </c>
    </row>
    <row r="917">
      <c r="C917" s="12" t="str">
        <f>IFERROR(__xludf.DUMMYFUNCTION("IF($B917="""","""",SUBSTITUTE(SUBSTITUTE(SUBSTITUTE(SUBSTITUTE(INDEX(Hairstyles!$A:$A,MATCH($B917,Hairstyles!$F:$F,0)),"" "",""""),""'"",""""),""("",""""),"")"","""")&amp;""\""&amp;INDEX(SPLIT($A$2,""_""),1)&amp;""\""&amp;INDEX(SPLIT($A$2,""_""),2)&amp;""\""&amp;SUBSTITUTE(SUBST"&amp;"ITUTE(SUBSTITUTE(SUBSTITUTE(SUBSTITUTE(INDEX(Hairstyles!$C:$C,MATCH($B917,Hairstyles!$F:$F,0)),"" "",""""),""'"",""""),""("",""""),"")"",""""),""-"",""_"")&amp;""_""&amp;$A$2)"),"")</f>
        <v/>
      </c>
      <c r="D917" s="12" t="str">
        <f t="shared" si="1"/>
        <v/>
      </c>
    </row>
    <row r="918">
      <c r="C918" s="12" t="str">
        <f>IFERROR(__xludf.DUMMYFUNCTION("IF($B918="""","""",SUBSTITUTE(SUBSTITUTE(SUBSTITUTE(SUBSTITUTE(INDEX(Hairstyles!$A:$A,MATCH($B918,Hairstyles!$F:$F,0)),"" "",""""),""'"",""""),""("",""""),"")"","""")&amp;""\""&amp;INDEX(SPLIT($A$2,""_""),1)&amp;""\""&amp;INDEX(SPLIT($A$2,""_""),2)&amp;""\""&amp;SUBSTITUTE(SUBST"&amp;"ITUTE(SUBSTITUTE(SUBSTITUTE(SUBSTITUTE(INDEX(Hairstyles!$C:$C,MATCH($B918,Hairstyles!$F:$F,0)),"" "",""""),""'"",""""),""("",""""),"")"",""""),""-"",""_"")&amp;""_""&amp;$A$2)"),"")</f>
        <v/>
      </c>
      <c r="D918" s="12" t="str">
        <f t="shared" si="1"/>
        <v/>
      </c>
    </row>
    <row r="919">
      <c r="C919" s="12" t="str">
        <f>IFERROR(__xludf.DUMMYFUNCTION("IF($B919="""","""",SUBSTITUTE(SUBSTITUTE(SUBSTITUTE(SUBSTITUTE(INDEX(Hairstyles!$A:$A,MATCH($B919,Hairstyles!$F:$F,0)),"" "",""""),""'"",""""),""("",""""),"")"","""")&amp;""\""&amp;INDEX(SPLIT($A$2,""_""),1)&amp;""\""&amp;INDEX(SPLIT($A$2,""_""),2)&amp;""\""&amp;SUBSTITUTE(SUBST"&amp;"ITUTE(SUBSTITUTE(SUBSTITUTE(SUBSTITUTE(INDEX(Hairstyles!$C:$C,MATCH($B919,Hairstyles!$F:$F,0)),"" "",""""),""'"",""""),""("",""""),"")"",""""),""-"",""_"")&amp;""_""&amp;$A$2)"),"")</f>
        <v/>
      </c>
      <c r="D919" s="12" t="str">
        <f t="shared" si="1"/>
        <v/>
      </c>
    </row>
    <row r="920">
      <c r="C920" s="12" t="str">
        <f>IFERROR(__xludf.DUMMYFUNCTION("IF($B920="""","""",SUBSTITUTE(SUBSTITUTE(SUBSTITUTE(SUBSTITUTE(INDEX(Hairstyles!$A:$A,MATCH($B920,Hairstyles!$F:$F,0)),"" "",""""),""'"",""""),""("",""""),"")"","""")&amp;""\""&amp;INDEX(SPLIT($A$2,""_""),1)&amp;""\""&amp;INDEX(SPLIT($A$2,""_""),2)&amp;""\""&amp;SUBSTITUTE(SUBST"&amp;"ITUTE(SUBSTITUTE(SUBSTITUTE(SUBSTITUTE(INDEX(Hairstyles!$C:$C,MATCH($B920,Hairstyles!$F:$F,0)),"" "",""""),""'"",""""),""("",""""),"")"",""""),""-"",""_"")&amp;""_""&amp;$A$2)"),"")</f>
        <v/>
      </c>
      <c r="D920" s="12" t="str">
        <f t="shared" si="1"/>
        <v/>
      </c>
    </row>
    <row r="921">
      <c r="C921" s="12" t="str">
        <f>IFERROR(__xludf.DUMMYFUNCTION("IF($B921="""","""",SUBSTITUTE(SUBSTITUTE(SUBSTITUTE(SUBSTITUTE(INDEX(Hairstyles!$A:$A,MATCH($B921,Hairstyles!$F:$F,0)),"" "",""""),""'"",""""),""("",""""),"")"","""")&amp;""\""&amp;INDEX(SPLIT($A$2,""_""),1)&amp;""\""&amp;INDEX(SPLIT($A$2,""_""),2)&amp;""\""&amp;SUBSTITUTE(SUBST"&amp;"ITUTE(SUBSTITUTE(SUBSTITUTE(SUBSTITUTE(INDEX(Hairstyles!$C:$C,MATCH($B921,Hairstyles!$F:$F,0)),"" "",""""),""'"",""""),""("",""""),"")"",""""),""-"",""_"")&amp;""_""&amp;$A$2)"),"")</f>
        <v/>
      </c>
      <c r="D921" s="12" t="str">
        <f t="shared" si="1"/>
        <v/>
      </c>
    </row>
    <row r="922">
      <c r="C922" s="12" t="str">
        <f>IFERROR(__xludf.DUMMYFUNCTION("IF($B922="""","""",SUBSTITUTE(SUBSTITUTE(SUBSTITUTE(SUBSTITUTE(INDEX(Hairstyles!$A:$A,MATCH($B922,Hairstyles!$F:$F,0)),"" "",""""),""'"",""""),""("",""""),"")"","""")&amp;""\""&amp;INDEX(SPLIT($A$2,""_""),1)&amp;""\""&amp;INDEX(SPLIT($A$2,""_""),2)&amp;""\""&amp;SUBSTITUTE(SUBST"&amp;"ITUTE(SUBSTITUTE(SUBSTITUTE(SUBSTITUTE(INDEX(Hairstyles!$C:$C,MATCH($B922,Hairstyles!$F:$F,0)),"" "",""""),""'"",""""),""("",""""),"")"",""""),""-"",""_"")&amp;""_""&amp;$A$2)"),"")</f>
        <v/>
      </c>
      <c r="D922" s="12" t="str">
        <f t="shared" si="1"/>
        <v/>
      </c>
    </row>
    <row r="923">
      <c r="C923" s="12" t="str">
        <f>IFERROR(__xludf.DUMMYFUNCTION("IF($B923="""","""",SUBSTITUTE(SUBSTITUTE(SUBSTITUTE(SUBSTITUTE(INDEX(Hairstyles!$A:$A,MATCH($B923,Hairstyles!$F:$F,0)),"" "",""""),""'"",""""),""("",""""),"")"","""")&amp;""\""&amp;INDEX(SPLIT($A$2,""_""),1)&amp;""\""&amp;INDEX(SPLIT($A$2,""_""),2)&amp;""\""&amp;SUBSTITUTE(SUBST"&amp;"ITUTE(SUBSTITUTE(SUBSTITUTE(SUBSTITUTE(INDEX(Hairstyles!$C:$C,MATCH($B923,Hairstyles!$F:$F,0)),"" "",""""),""'"",""""),""("",""""),"")"",""""),""-"",""_"")&amp;""_""&amp;$A$2)"),"")</f>
        <v/>
      </c>
      <c r="D923" s="12" t="str">
        <f t="shared" si="1"/>
        <v/>
      </c>
    </row>
    <row r="924">
      <c r="C924" s="12" t="str">
        <f>IFERROR(__xludf.DUMMYFUNCTION("IF($B924="""","""",SUBSTITUTE(SUBSTITUTE(SUBSTITUTE(SUBSTITUTE(INDEX(Hairstyles!$A:$A,MATCH($B924,Hairstyles!$F:$F,0)),"" "",""""),""'"",""""),""("",""""),"")"","""")&amp;""\""&amp;INDEX(SPLIT($A$2,""_""),1)&amp;""\""&amp;INDEX(SPLIT($A$2,""_""),2)&amp;""\""&amp;SUBSTITUTE(SUBST"&amp;"ITUTE(SUBSTITUTE(SUBSTITUTE(SUBSTITUTE(INDEX(Hairstyles!$C:$C,MATCH($B924,Hairstyles!$F:$F,0)),"" "",""""),""'"",""""),""("",""""),"")"",""""),""-"",""_"")&amp;""_""&amp;$A$2)"),"")</f>
        <v/>
      </c>
      <c r="D924" s="12" t="str">
        <f t="shared" si="1"/>
        <v/>
      </c>
    </row>
    <row r="925">
      <c r="C925" s="12" t="str">
        <f>IFERROR(__xludf.DUMMYFUNCTION("IF($B925="""","""",SUBSTITUTE(SUBSTITUTE(SUBSTITUTE(SUBSTITUTE(INDEX(Hairstyles!$A:$A,MATCH($B925,Hairstyles!$F:$F,0)),"" "",""""),""'"",""""),""("",""""),"")"","""")&amp;""\""&amp;INDEX(SPLIT($A$2,""_""),1)&amp;""\""&amp;INDEX(SPLIT($A$2,""_""),2)&amp;""\""&amp;SUBSTITUTE(SUBST"&amp;"ITUTE(SUBSTITUTE(SUBSTITUTE(SUBSTITUTE(INDEX(Hairstyles!$C:$C,MATCH($B925,Hairstyles!$F:$F,0)),"" "",""""),""'"",""""),""("",""""),"")"",""""),""-"",""_"")&amp;""_""&amp;$A$2)"),"")</f>
        <v/>
      </c>
      <c r="D925" s="12" t="str">
        <f t="shared" si="1"/>
        <v/>
      </c>
    </row>
    <row r="926">
      <c r="C926" s="12" t="str">
        <f>IFERROR(__xludf.DUMMYFUNCTION("IF($B926="""","""",SUBSTITUTE(SUBSTITUTE(SUBSTITUTE(SUBSTITUTE(INDEX(Hairstyles!$A:$A,MATCH($B926,Hairstyles!$F:$F,0)),"" "",""""),""'"",""""),""("",""""),"")"","""")&amp;""\""&amp;INDEX(SPLIT($A$2,""_""),1)&amp;""\""&amp;INDEX(SPLIT($A$2,""_""),2)&amp;""\""&amp;SUBSTITUTE(SUBST"&amp;"ITUTE(SUBSTITUTE(SUBSTITUTE(SUBSTITUTE(INDEX(Hairstyles!$C:$C,MATCH($B926,Hairstyles!$F:$F,0)),"" "",""""),""'"",""""),""("",""""),"")"",""""),""-"",""_"")&amp;""_""&amp;$A$2)"),"")</f>
        <v/>
      </c>
      <c r="D926" s="12" t="str">
        <f t="shared" si="1"/>
        <v/>
      </c>
    </row>
    <row r="927">
      <c r="C927" s="12" t="str">
        <f>IFERROR(__xludf.DUMMYFUNCTION("IF($B927="""","""",SUBSTITUTE(SUBSTITUTE(SUBSTITUTE(SUBSTITUTE(INDEX(Hairstyles!$A:$A,MATCH($B927,Hairstyles!$F:$F,0)),"" "",""""),""'"",""""),""("",""""),"")"","""")&amp;""\""&amp;INDEX(SPLIT($A$2,""_""),1)&amp;""\""&amp;INDEX(SPLIT($A$2,""_""),2)&amp;""\""&amp;SUBSTITUTE(SUBST"&amp;"ITUTE(SUBSTITUTE(SUBSTITUTE(SUBSTITUTE(INDEX(Hairstyles!$C:$C,MATCH($B927,Hairstyles!$F:$F,0)),"" "",""""),""'"",""""),""("",""""),"")"",""""),""-"",""_"")&amp;""_""&amp;$A$2)"),"")</f>
        <v/>
      </c>
      <c r="D927" s="12" t="str">
        <f t="shared" si="1"/>
        <v/>
      </c>
    </row>
    <row r="928">
      <c r="C928" s="12" t="str">
        <f>IFERROR(__xludf.DUMMYFUNCTION("IF($B928="""","""",SUBSTITUTE(SUBSTITUTE(SUBSTITUTE(SUBSTITUTE(INDEX(Hairstyles!$A:$A,MATCH($B928,Hairstyles!$F:$F,0)),"" "",""""),""'"",""""),""("",""""),"")"","""")&amp;""\""&amp;INDEX(SPLIT($A$2,""_""),1)&amp;""\""&amp;INDEX(SPLIT($A$2,""_""),2)&amp;""\""&amp;SUBSTITUTE(SUBST"&amp;"ITUTE(SUBSTITUTE(SUBSTITUTE(SUBSTITUTE(INDEX(Hairstyles!$C:$C,MATCH($B928,Hairstyles!$F:$F,0)),"" "",""""),""'"",""""),""("",""""),"")"",""""),""-"",""_"")&amp;""_""&amp;$A$2)"),"")</f>
        <v/>
      </c>
      <c r="D928" s="12" t="str">
        <f t="shared" si="1"/>
        <v/>
      </c>
    </row>
    <row r="929">
      <c r="C929" s="12" t="str">
        <f>IFERROR(__xludf.DUMMYFUNCTION("IF($B929="""","""",SUBSTITUTE(SUBSTITUTE(SUBSTITUTE(SUBSTITUTE(INDEX(Hairstyles!$A:$A,MATCH($B929,Hairstyles!$F:$F,0)),"" "",""""),""'"",""""),""("",""""),"")"","""")&amp;""\""&amp;INDEX(SPLIT($A$2,""_""),1)&amp;""\""&amp;INDEX(SPLIT($A$2,""_""),2)&amp;""\""&amp;SUBSTITUTE(SUBST"&amp;"ITUTE(SUBSTITUTE(SUBSTITUTE(SUBSTITUTE(INDEX(Hairstyles!$C:$C,MATCH($B929,Hairstyles!$F:$F,0)),"" "",""""),""'"",""""),""("",""""),"")"",""""),""-"",""_"")&amp;""_""&amp;$A$2)"),"")</f>
        <v/>
      </c>
      <c r="D929" s="12" t="str">
        <f t="shared" si="1"/>
        <v/>
      </c>
    </row>
    <row r="930">
      <c r="C930" s="12" t="str">
        <f>IFERROR(__xludf.DUMMYFUNCTION("IF($B930="""","""",SUBSTITUTE(SUBSTITUTE(SUBSTITUTE(SUBSTITUTE(INDEX(Hairstyles!$A:$A,MATCH($B930,Hairstyles!$F:$F,0)),"" "",""""),""'"",""""),""("",""""),"")"","""")&amp;""\""&amp;INDEX(SPLIT($A$2,""_""),1)&amp;""\""&amp;INDEX(SPLIT($A$2,""_""),2)&amp;""\""&amp;SUBSTITUTE(SUBST"&amp;"ITUTE(SUBSTITUTE(SUBSTITUTE(SUBSTITUTE(INDEX(Hairstyles!$C:$C,MATCH($B930,Hairstyles!$F:$F,0)),"" "",""""),""'"",""""),""("",""""),"")"",""""),""-"",""_"")&amp;""_""&amp;$A$2)"),"")</f>
        <v/>
      </c>
      <c r="D930" s="12" t="str">
        <f t="shared" si="1"/>
        <v/>
      </c>
    </row>
    <row r="931">
      <c r="C931" s="12" t="str">
        <f>IFERROR(__xludf.DUMMYFUNCTION("IF($B931="""","""",SUBSTITUTE(SUBSTITUTE(SUBSTITUTE(SUBSTITUTE(INDEX(Hairstyles!$A:$A,MATCH($B931,Hairstyles!$F:$F,0)),"" "",""""),""'"",""""),""("",""""),"")"","""")&amp;""\""&amp;INDEX(SPLIT($A$2,""_""),1)&amp;""\""&amp;INDEX(SPLIT($A$2,""_""),2)&amp;""\""&amp;SUBSTITUTE(SUBST"&amp;"ITUTE(SUBSTITUTE(SUBSTITUTE(SUBSTITUTE(INDEX(Hairstyles!$C:$C,MATCH($B931,Hairstyles!$F:$F,0)),"" "",""""),""'"",""""),""("",""""),"")"",""""),""-"",""_"")&amp;""_""&amp;$A$2)"),"")</f>
        <v/>
      </c>
      <c r="D931" s="12" t="str">
        <f t="shared" si="1"/>
        <v/>
      </c>
    </row>
    <row r="932">
      <c r="C932" s="12" t="str">
        <f>IFERROR(__xludf.DUMMYFUNCTION("IF($B932="""","""",SUBSTITUTE(SUBSTITUTE(SUBSTITUTE(SUBSTITUTE(INDEX(Hairstyles!$A:$A,MATCH($B932,Hairstyles!$F:$F,0)),"" "",""""),""'"",""""),""("",""""),"")"","""")&amp;""\""&amp;INDEX(SPLIT($A$2,""_""),1)&amp;""\""&amp;INDEX(SPLIT($A$2,""_""),2)&amp;""\""&amp;SUBSTITUTE(SUBST"&amp;"ITUTE(SUBSTITUTE(SUBSTITUTE(SUBSTITUTE(INDEX(Hairstyles!$C:$C,MATCH($B932,Hairstyles!$F:$F,0)),"" "",""""),""'"",""""),""("",""""),"")"",""""),""-"",""_"")&amp;""_""&amp;$A$2)"),"")</f>
        <v/>
      </c>
      <c r="D932" s="12" t="str">
        <f t="shared" si="1"/>
        <v/>
      </c>
    </row>
    <row r="933">
      <c r="C933" s="12" t="str">
        <f>IFERROR(__xludf.DUMMYFUNCTION("IF($B933="""","""",SUBSTITUTE(SUBSTITUTE(SUBSTITUTE(SUBSTITUTE(INDEX(Hairstyles!$A:$A,MATCH($B933,Hairstyles!$F:$F,0)),"" "",""""),""'"",""""),""("",""""),"")"","""")&amp;""\""&amp;INDEX(SPLIT($A$2,""_""),1)&amp;""\""&amp;INDEX(SPLIT($A$2,""_""),2)&amp;""\""&amp;SUBSTITUTE(SUBST"&amp;"ITUTE(SUBSTITUTE(SUBSTITUTE(SUBSTITUTE(INDEX(Hairstyles!$C:$C,MATCH($B933,Hairstyles!$F:$F,0)),"" "",""""),""'"",""""),""("",""""),"")"",""""),""-"",""_"")&amp;""_""&amp;$A$2)"),"")</f>
        <v/>
      </c>
      <c r="D933" s="12" t="str">
        <f t="shared" si="1"/>
        <v/>
      </c>
    </row>
    <row r="934">
      <c r="C934" s="12" t="str">
        <f>IFERROR(__xludf.DUMMYFUNCTION("IF($B934="""","""",SUBSTITUTE(SUBSTITUTE(SUBSTITUTE(SUBSTITUTE(INDEX(Hairstyles!$A:$A,MATCH($B934,Hairstyles!$F:$F,0)),"" "",""""),""'"",""""),""("",""""),"")"","""")&amp;""\""&amp;INDEX(SPLIT($A$2,""_""),1)&amp;""\""&amp;INDEX(SPLIT($A$2,""_""),2)&amp;""\""&amp;SUBSTITUTE(SUBST"&amp;"ITUTE(SUBSTITUTE(SUBSTITUTE(SUBSTITUTE(INDEX(Hairstyles!$C:$C,MATCH($B934,Hairstyles!$F:$F,0)),"" "",""""),""'"",""""),""("",""""),"")"",""""),""-"",""_"")&amp;""_""&amp;$A$2)"),"")</f>
        <v/>
      </c>
      <c r="D934" s="12" t="str">
        <f t="shared" si="1"/>
        <v/>
      </c>
    </row>
    <row r="935">
      <c r="C935" s="12" t="str">
        <f>IFERROR(__xludf.DUMMYFUNCTION("IF($B935="""","""",SUBSTITUTE(SUBSTITUTE(SUBSTITUTE(SUBSTITUTE(INDEX(Hairstyles!$A:$A,MATCH($B935,Hairstyles!$F:$F,0)),"" "",""""),""'"",""""),""("",""""),"")"","""")&amp;""\""&amp;INDEX(SPLIT($A$2,""_""),1)&amp;""\""&amp;INDEX(SPLIT($A$2,""_""),2)&amp;""\""&amp;SUBSTITUTE(SUBST"&amp;"ITUTE(SUBSTITUTE(SUBSTITUTE(SUBSTITUTE(INDEX(Hairstyles!$C:$C,MATCH($B935,Hairstyles!$F:$F,0)),"" "",""""),""'"",""""),""("",""""),"")"",""""),""-"",""_"")&amp;""_""&amp;$A$2)"),"")</f>
        <v/>
      </c>
      <c r="D935" s="12" t="str">
        <f t="shared" si="1"/>
        <v/>
      </c>
    </row>
    <row r="936">
      <c r="C936" s="12" t="str">
        <f>IFERROR(__xludf.DUMMYFUNCTION("IF($B936="""","""",SUBSTITUTE(SUBSTITUTE(SUBSTITUTE(SUBSTITUTE(INDEX(Hairstyles!$A:$A,MATCH($B936,Hairstyles!$F:$F,0)),"" "",""""),""'"",""""),""("",""""),"")"","""")&amp;""\""&amp;INDEX(SPLIT($A$2,""_""),1)&amp;""\""&amp;INDEX(SPLIT($A$2,""_""),2)&amp;""\""&amp;SUBSTITUTE(SUBST"&amp;"ITUTE(SUBSTITUTE(SUBSTITUTE(SUBSTITUTE(INDEX(Hairstyles!$C:$C,MATCH($B936,Hairstyles!$F:$F,0)),"" "",""""),""'"",""""),""("",""""),"")"",""""),""-"",""_"")&amp;""_""&amp;$A$2)"),"")</f>
        <v/>
      </c>
      <c r="D936" s="12" t="str">
        <f t="shared" si="1"/>
        <v/>
      </c>
    </row>
    <row r="937">
      <c r="C937" s="12" t="str">
        <f>IFERROR(__xludf.DUMMYFUNCTION("IF($B937="""","""",SUBSTITUTE(SUBSTITUTE(SUBSTITUTE(SUBSTITUTE(INDEX(Hairstyles!$A:$A,MATCH($B937,Hairstyles!$F:$F,0)),"" "",""""),""'"",""""),""("",""""),"")"","""")&amp;""\""&amp;INDEX(SPLIT($A$2,""_""),1)&amp;""\""&amp;INDEX(SPLIT($A$2,""_""),2)&amp;""\""&amp;SUBSTITUTE(SUBST"&amp;"ITUTE(SUBSTITUTE(SUBSTITUTE(SUBSTITUTE(INDEX(Hairstyles!$C:$C,MATCH($B937,Hairstyles!$F:$F,0)),"" "",""""),""'"",""""),""("",""""),"")"",""""),""-"",""_"")&amp;""_""&amp;$A$2)"),"")</f>
        <v/>
      </c>
      <c r="D937" s="12" t="str">
        <f t="shared" si="1"/>
        <v/>
      </c>
    </row>
    <row r="938">
      <c r="C938" s="12" t="str">
        <f>IFERROR(__xludf.DUMMYFUNCTION("IF($B938="""","""",SUBSTITUTE(SUBSTITUTE(SUBSTITUTE(SUBSTITUTE(INDEX(Hairstyles!$A:$A,MATCH($B938,Hairstyles!$F:$F,0)),"" "",""""),""'"",""""),""("",""""),"")"","""")&amp;""\""&amp;INDEX(SPLIT($A$2,""_""),1)&amp;""\""&amp;INDEX(SPLIT($A$2,""_""),2)&amp;""\""&amp;SUBSTITUTE(SUBST"&amp;"ITUTE(SUBSTITUTE(SUBSTITUTE(SUBSTITUTE(INDEX(Hairstyles!$C:$C,MATCH($B938,Hairstyles!$F:$F,0)),"" "",""""),""'"",""""),""("",""""),"")"",""""),""-"",""_"")&amp;""_""&amp;$A$2)"),"")</f>
        <v/>
      </c>
      <c r="D938" s="12" t="str">
        <f t="shared" si="1"/>
        <v/>
      </c>
    </row>
    <row r="939">
      <c r="C939" s="12" t="str">
        <f>IFERROR(__xludf.DUMMYFUNCTION("IF($B939="""","""",SUBSTITUTE(SUBSTITUTE(SUBSTITUTE(SUBSTITUTE(INDEX(Hairstyles!$A:$A,MATCH($B939,Hairstyles!$F:$F,0)),"" "",""""),""'"",""""),""("",""""),"")"","""")&amp;""\""&amp;INDEX(SPLIT($A$2,""_""),1)&amp;""\""&amp;INDEX(SPLIT($A$2,""_""),2)&amp;""\""&amp;SUBSTITUTE(SUBST"&amp;"ITUTE(SUBSTITUTE(SUBSTITUTE(SUBSTITUTE(INDEX(Hairstyles!$C:$C,MATCH($B939,Hairstyles!$F:$F,0)),"" "",""""),""'"",""""),""("",""""),"")"",""""),""-"",""_"")&amp;""_""&amp;$A$2)"),"")</f>
        <v/>
      </c>
      <c r="D939" s="12" t="str">
        <f t="shared" si="1"/>
        <v/>
      </c>
    </row>
    <row r="940">
      <c r="C940" s="12" t="str">
        <f>IFERROR(__xludf.DUMMYFUNCTION("IF($B940="""","""",SUBSTITUTE(SUBSTITUTE(SUBSTITUTE(SUBSTITUTE(INDEX(Hairstyles!$A:$A,MATCH($B940,Hairstyles!$F:$F,0)),"" "",""""),""'"",""""),""("",""""),"")"","""")&amp;""\""&amp;INDEX(SPLIT($A$2,""_""),1)&amp;""\""&amp;INDEX(SPLIT($A$2,""_""),2)&amp;""\""&amp;SUBSTITUTE(SUBST"&amp;"ITUTE(SUBSTITUTE(SUBSTITUTE(SUBSTITUTE(INDEX(Hairstyles!$C:$C,MATCH($B940,Hairstyles!$F:$F,0)),"" "",""""),""'"",""""),""("",""""),"")"",""""),""-"",""_"")&amp;""_""&amp;$A$2)"),"")</f>
        <v/>
      </c>
      <c r="D940" s="12" t="str">
        <f t="shared" si="1"/>
        <v/>
      </c>
    </row>
    <row r="941">
      <c r="C941" s="12" t="str">
        <f>IFERROR(__xludf.DUMMYFUNCTION("IF($B941="""","""",SUBSTITUTE(SUBSTITUTE(SUBSTITUTE(SUBSTITUTE(INDEX(Hairstyles!$A:$A,MATCH($B941,Hairstyles!$F:$F,0)),"" "",""""),""'"",""""),""("",""""),"")"","""")&amp;""\""&amp;INDEX(SPLIT($A$2,""_""),1)&amp;""\""&amp;INDEX(SPLIT($A$2,""_""),2)&amp;""\""&amp;SUBSTITUTE(SUBST"&amp;"ITUTE(SUBSTITUTE(SUBSTITUTE(SUBSTITUTE(INDEX(Hairstyles!$C:$C,MATCH($B941,Hairstyles!$F:$F,0)),"" "",""""),""'"",""""),""("",""""),"")"",""""),""-"",""_"")&amp;""_""&amp;$A$2)"),"")</f>
        <v/>
      </c>
      <c r="D941" s="12" t="str">
        <f t="shared" si="1"/>
        <v/>
      </c>
    </row>
    <row r="942">
      <c r="C942" s="12" t="str">
        <f>IFERROR(__xludf.DUMMYFUNCTION("IF($B942="""","""",SUBSTITUTE(SUBSTITUTE(SUBSTITUTE(SUBSTITUTE(INDEX(Hairstyles!$A:$A,MATCH($B942,Hairstyles!$F:$F,0)),"" "",""""),""'"",""""),""("",""""),"")"","""")&amp;""\""&amp;INDEX(SPLIT($A$2,""_""),1)&amp;""\""&amp;INDEX(SPLIT($A$2,""_""),2)&amp;""\""&amp;SUBSTITUTE(SUBST"&amp;"ITUTE(SUBSTITUTE(SUBSTITUTE(SUBSTITUTE(INDEX(Hairstyles!$C:$C,MATCH($B942,Hairstyles!$F:$F,0)),"" "",""""),""'"",""""),""("",""""),"")"",""""),""-"",""_"")&amp;""_""&amp;$A$2)"),"")</f>
        <v/>
      </c>
      <c r="D942" s="12" t="str">
        <f t="shared" si="1"/>
        <v/>
      </c>
    </row>
    <row r="943">
      <c r="C943" s="12" t="str">
        <f>IFERROR(__xludf.DUMMYFUNCTION("IF($B943="""","""",SUBSTITUTE(SUBSTITUTE(SUBSTITUTE(SUBSTITUTE(INDEX(Hairstyles!$A:$A,MATCH($B943,Hairstyles!$F:$F,0)),"" "",""""),""'"",""""),""("",""""),"")"","""")&amp;""\""&amp;INDEX(SPLIT($A$2,""_""),1)&amp;""\""&amp;INDEX(SPLIT($A$2,""_""),2)&amp;""\""&amp;SUBSTITUTE(SUBST"&amp;"ITUTE(SUBSTITUTE(SUBSTITUTE(SUBSTITUTE(INDEX(Hairstyles!$C:$C,MATCH($B943,Hairstyles!$F:$F,0)),"" "",""""),""'"",""""),""("",""""),"")"",""""),""-"",""_"")&amp;""_""&amp;$A$2)"),"")</f>
        <v/>
      </c>
      <c r="D943" s="12" t="str">
        <f t="shared" si="1"/>
        <v/>
      </c>
    </row>
    <row r="944">
      <c r="C944" s="12" t="str">
        <f>IFERROR(__xludf.DUMMYFUNCTION("IF($B944="""","""",SUBSTITUTE(SUBSTITUTE(SUBSTITUTE(SUBSTITUTE(INDEX(Hairstyles!$A:$A,MATCH($B944,Hairstyles!$F:$F,0)),"" "",""""),""'"",""""),""("",""""),"")"","""")&amp;""\""&amp;INDEX(SPLIT($A$2,""_""),1)&amp;""\""&amp;INDEX(SPLIT($A$2,""_""),2)&amp;""\""&amp;SUBSTITUTE(SUBST"&amp;"ITUTE(SUBSTITUTE(SUBSTITUTE(SUBSTITUTE(INDEX(Hairstyles!$C:$C,MATCH($B944,Hairstyles!$F:$F,0)),"" "",""""),""'"",""""),""("",""""),"")"",""""),""-"",""_"")&amp;""_""&amp;$A$2)"),"")</f>
        <v/>
      </c>
      <c r="D944" s="12" t="str">
        <f t="shared" si="1"/>
        <v/>
      </c>
    </row>
    <row r="945">
      <c r="C945" s="12" t="str">
        <f>IFERROR(__xludf.DUMMYFUNCTION("IF($B945="""","""",SUBSTITUTE(SUBSTITUTE(SUBSTITUTE(SUBSTITUTE(INDEX(Hairstyles!$A:$A,MATCH($B945,Hairstyles!$F:$F,0)),"" "",""""),""'"",""""),""("",""""),"")"","""")&amp;""\""&amp;INDEX(SPLIT($A$2,""_""),1)&amp;""\""&amp;INDEX(SPLIT($A$2,""_""),2)&amp;""\""&amp;SUBSTITUTE(SUBST"&amp;"ITUTE(SUBSTITUTE(SUBSTITUTE(SUBSTITUTE(INDEX(Hairstyles!$C:$C,MATCH($B945,Hairstyles!$F:$F,0)),"" "",""""),""'"",""""),""("",""""),"")"",""""),""-"",""_"")&amp;""_""&amp;$A$2)"),"")</f>
        <v/>
      </c>
      <c r="D945" s="12" t="str">
        <f t="shared" si="1"/>
        <v/>
      </c>
    </row>
    <row r="946">
      <c r="C946" s="12" t="str">
        <f>IFERROR(__xludf.DUMMYFUNCTION("IF($B946="""","""",SUBSTITUTE(SUBSTITUTE(SUBSTITUTE(SUBSTITUTE(INDEX(Hairstyles!$A:$A,MATCH($B946,Hairstyles!$F:$F,0)),"" "",""""),""'"",""""),""("",""""),"")"","""")&amp;""\""&amp;INDEX(SPLIT($A$2,""_""),1)&amp;""\""&amp;INDEX(SPLIT($A$2,""_""),2)&amp;""\""&amp;SUBSTITUTE(SUBST"&amp;"ITUTE(SUBSTITUTE(SUBSTITUTE(SUBSTITUTE(INDEX(Hairstyles!$C:$C,MATCH($B946,Hairstyles!$F:$F,0)),"" "",""""),""'"",""""),""("",""""),"")"",""""),""-"",""_"")&amp;""_""&amp;$A$2)"),"")</f>
        <v/>
      </c>
      <c r="D946" s="12" t="str">
        <f t="shared" si="1"/>
        <v/>
      </c>
    </row>
    <row r="947">
      <c r="C947" s="12" t="str">
        <f>IFERROR(__xludf.DUMMYFUNCTION("IF($B947="""","""",SUBSTITUTE(SUBSTITUTE(SUBSTITUTE(SUBSTITUTE(INDEX(Hairstyles!$A:$A,MATCH($B947,Hairstyles!$F:$F,0)),"" "",""""),""'"",""""),""("",""""),"")"","""")&amp;""\""&amp;INDEX(SPLIT($A$2,""_""),1)&amp;""\""&amp;INDEX(SPLIT($A$2,""_""),2)&amp;""\""&amp;SUBSTITUTE(SUBST"&amp;"ITUTE(SUBSTITUTE(SUBSTITUTE(SUBSTITUTE(INDEX(Hairstyles!$C:$C,MATCH($B947,Hairstyles!$F:$F,0)),"" "",""""),""'"",""""),""("",""""),"")"",""""),""-"",""_"")&amp;""_""&amp;$A$2)"),"")</f>
        <v/>
      </c>
      <c r="D947" s="12" t="str">
        <f t="shared" si="1"/>
        <v/>
      </c>
    </row>
    <row r="948">
      <c r="C948" s="12" t="str">
        <f>IFERROR(__xludf.DUMMYFUNCTION("IF($B948="""","""",SUBSTITUTE(SUBSTITUTE(SUBSTITUTE(SUBSTITUTE(INDEX(Hairstyles!$A:$A,MATCH($B948,Hairstyles!$F:$F,0)),"" "",""""),""'"",""""),""("",""""),"")"","""")&amp;""\""&amp;INDEX(SPLIT($A$2,""_""),1)&amp;""\""&amp;INDEX(SPLIT($A$2,""_""),2)&amp;""\""&amp;SUBSTITUTE(SUBST"&amp;"ITUTE(SUBSTITUTE(SUBSTITUTE(SUBSTITUTE(INDEX(Hairstyles!$C:$C,MATCH($B948,Hairstyles!$F:$F,0)),"" "",""""),""'"",""""),""("",""""),"")"",""""),""-"",""_"")&amp;""_""&amp;$A$2)"),"")</f>
        <v/>
      </c>
      <c r="D948" s="12" t="str">
        <f t="shared" si="1"/>
        <v/>
      </c>
    </row>
    <row r="949">
      <c r="C949" s="12" t="str">
        <f>IFERROR(__xludf.DUMMYFUNCTION("IF($B949="""","""",SUBSTITUTE(SUBSTITUTE(SUBSTITUTE(SUBSTITUTE(INDEX(Hairstyles!$A:$A,MATCH($B949,Hairstyles!$F:$F,0)),"" "",""""),""'"",""""),""("",""""),"")"","""")&amp;""\""&amp;INDEX(SPLIT($A$2,""_""),1)&amp;""\""&amp;INDEX(SPLIT($A$2,""_""),2)&amp;""\""&amp;SUBSTITUTE(SUBST"&amp;"ITUTE(SUBSTITUTE(SUBSTITUTE(SUBSTITUTE(INDEX(Hairstyles!$C:$C,MATCH($B949,Hairstyles!$F:$F,0)),"" "",""""),""'"",""""),""("",""""),"")"",""""),""-"",""_"")&amp;""_""&amp;$A$2)"),"")</f>
        <v/>
      </c>
      <c r="D949" s="12" t="str">
        <f t="shared" si="1"/>
        <v/>
      </c>
    </row>
    <row r="950">
      <c r="C950" s="12" t="str">
        <f>IFERROR(__xludf.DUMMYFUNCTION("IF($B950="""","""",SUBSTITUTE(SUBSTITUTE(SUBSTITUTE(SUBSTITUTE(INDEX(Hairstyles!$A:$A,MATCH($B950,Hairstyles!$F:$F,0)),"" "",""""),""'"",""""),""("",""""),"")"","""")&amp;""\""&amp;INDEX(SPLIT($A$2,""_""),1)&amp;""\""&amp;INDEX(SPLIT($A$2,""_""),2)&amp;""\""&amp;SUBSTITUTE(SUBST"&amp;"ITUTE(SUBSTITUTE(SUBSTITUTE(SUBSTITUTE(INDEX(Hairstyles!$C:$C,MATCH($B950,Hairstyles!$F:$F,0)),"" "",""""),""'"",""""),""("",""""),"")"",""""),""-"",""_"")&amp;""_""&amp;$A$2)"),"")</f>
        <v/>
      </c>
      <c r="D950" s="12" t="str">
        <f t="shared" si="1"/>
        <v/>
      </c>
    </row>
    <row r="951">
      <c r="C951" s="12" t="str">
        <f>IFERROR(__xludf.DUMMYFUNCTION("IF($B951="""","""",SUBSTITUTE(SUBSTITUTE(SUBSTITUTE(SUBSTITUTE(INDEX(Hairstyles!$A:$A,MATCH($B951,Hairstyles!$F:$F,0)),"" "",""""),""'"",""""),""("",""""),"")"","""")&amp;""\""&amp;INDEX(SPLIT($A$2,""_""),1)&amp;""\""&amp;INDEX(SPLIT($A$2,""_""),2)&amp;""\""&amp;SUBSTITUTE(SUBST"&amp;"ITUTE(SUBSTITUTE(SUBSTITUTE(SUBSTITUTE(INDEX(Hairstyles!$C:$C,MATCH($B951,Hairstyles!$F:$F,0)),"" "",""""),""'"",""""),""("",""""),"")"",""""),""-"",""_"")&amp;""_""&amp;$A$2)"),"")</f>
        <v/>
      </c>
      <c r="D951" s="12" t="str">
        <f t="shared" si="1"/>
        <v/>
      </c>
    </row>
    <row r="952">
      <c r="C952" s="12" t="str">
        <f>IFERROR(__xludf.DUMMYFUNCTION("IF($B952="""","""",SUBSTITUTE(SUBSTITUTE(SUBSTITUTE(SUBSTITUTE(INDEX(Hairstyles!$A:$A,MATCH($B952,Hairstyles!$F:$F,0)),"" "",""""),""'"",""""),""("",""""),"")"","""")&amp;""\""&amp;INDEX(SPLIT($A$2,""_""),1)&amp;""\""&amp;INDEX(SPLIT($A$2,""_""),2)&amp;""\""&amp;SUBSTITUTE(SUBST"&amp;"ITUTE(SUBSTITUTE(SUBSTITUTE(SUBSTITUTE(INDEX(Hairstyles!$C:$C,MATCH($B952,Hairstyles!$F:$F,0)),"" "",""""),""'"",""""),""("",""""),"")"",""""),""-"",""_"")&amp;""_""&amp;$A$2)"),"")</f>
        <v/>
      </c>
      <c r="D952" s="12" t="str">
        <f t="shared" si="1"/>
        <v/>
      </c>
    </row>
    <row r="953">
      <c r="C953" s="12" t="str">
        <f>IFERROR(__xludf.DUMMYFUNCTION("IF($B953="""","""",SUBSTITUTE(SUBSTITUTE(SUBSTITUTE(SUBSTITUTE(INDEX(Hairstyles!$A:$A,MATCH($B953,Hairstyles!$F:$F,0)),"" "",""""),""'"",""""),""("",""""),"")"","""")&amp;""\""&amp;INDEX(SPLIT($A$2,""_""),1)&amp;""\""&amp;INDEX(SPLIT($A$2,""_""),2)&amp;""\""&amp;SUBSTITUTE(SUBST"&amp;"ITUTE(SUBSTITUTE(SUBSTITUTE(SUBSTITUTE(INDEX(Hairstyles!$C:$C,MATCH($B953,Hairstyles!$F:$F,0)),"" "",""""),""'"",""""),""("",""""),"")"",""""),""-"",""_"")&amp;""_""&amp;$A$2)"),"")</f>
        <v/>
      </c>
      <c r="D953" s="12" t="str">
        <f t="shared" si="1"/>
        <v/>
      </c>
    </row>
    <row r="954">
      <c r="C954" s="12" t="str">
        <f>IFERROR(__xludf.DUMMYFUNCTION("IF($B954="""","""",SUBSTITUTE(SUBSTITUTE(SUBSTITUTE(SUBSTITUTE(INDEX(Hairstyles!$A:$A,MATCH($B954,Hairstyles!$F:$F,0)),"" "",""""),""'"",""""),""("",""""),"")"","""")&amp;""\""&amp;INDEX(SPLIT($A$2,""_""),1)&amp;""\""&amp;INDEX(SPLIT($A$2,""_""),2)&amp;""\""&amp;SUBSTITUTE(SUBST"&amp;"ITUTE(SUBSTITUTE(SUBSTITUTE(SUBSTITUTE(INDEX(Hairstyles!$C:$C,MATCH($B954,Hairstyles!$F:$F,0)),"" "",""""),""'"",""""),""("",""""),"")"",""""),""-"",""_"")&amp;""_""&amp;$A$2)"),"")</f>
        <v/>
      </c>
      <c r="D954" s="12" t="str">
        <f t="shared" si="1"/>
        <v/>
      </c>
    </row>
    <row r="955">
      <c r="C955" s="12" t="str">
        <f>IFERROR(__xludf.DUMMYFUNCTION("IF($B955="""","""",SUBSTITUTE(SUBSTITUTE(SUBSTITUTE(SUBSTITUTE(INDEX(Hairstyles!$A:$A,MATCH($B955,Hairstyles!$F:$F,0)),"" "",""""),""'"",""""),""("",""""),"")"","""")&amp;""\""&amp;INDEX(SPLIT($A$2,""_""),1)&amp;""\""&amp;INDEX(SPLIT($A$2,""_""),2)&amp;""\""&amp;SUBSTITUTE(SUBST"&amp;"ITUTE(SUBSTITUTE(SUBSTITUTE(SUBSTITUTE(INDEX(Hairstyles!$C:$C,MATCH($B955,Hairstyles!$F:$F,0)),"" "",""""),""'"",""""),""("",""""),"")"",""""),""-"",""_"")&amp;""_""&amp;$A$2)"),"")</f>
        <v/>
      </c>
      <c r="D955" s="12" t="str">
        <f t="shared" si="1"/>
        <v/>
      </c>
    </row>
    <row r="956">
      <c r="C956" s="12" t="str">
        <f>IFERROR(__xludf.DUMMYFUNCTION("IF($B956="""","""",SUBSTITUTE(SUBSTITUTE(SUBSTITUTE(SUBSTITUTE(INDEX(Hairstyles!$A:$A,MATCH($B956,Hairstyles!$F:$F,0)),"" "",""""),""'"",""""),""("",""""),"")"","""")&amp;""\""&amp;INDEX(SPLIT($A$2,""_""),1)&amp;""\""&amp;INDEX(SPLIT($A$2,""_""),2)&amp;""\""&amp;SUBSTITUTE(SUBST"&amp;"ITUTE(SUBSTITUTE(SUBSTITUTE(SUBSTITUTE(INDEX(Hairstyles!$C:$C,MATCH($B956,Hairstyles!$F:$F,0)),"" "",""""),""'"",""""),""("",""""),"")"",""""),""-"",""_"")&amp;""_""&amp;$A$2)"),"")</f>
        <v/>
      </c>
      <c r="D956" s="12" t="str">
        <f t="shared" si="1"/>
        <v/>
      </c>
    </row>
    <row r="957">
      <c r="C957" s="12" t="str">
        <f>IFERROR(__xludf.DUMMYFUNCTION("IF($B957="""","""",SUBSTITUTE(SUBSTITUTE(SUBSTITUTE(SUBSTITUTE(INDEX(Hairstyles!$A:$A,MATCH($B957,Hairstyles!$F:$F,0)),"" "",""""),""'"",""""),""("",""""),"")"","""")&amp;""\""&amp;INDEX(SPLIT($A$2,""_""),1)&amp;""\""&amp;INDEX(SPLIT($A$2,""_""),2)&amp;""\""&amp;SUBSTITUTE(SUBST"&amp;"ITUTE(SUBSTITUTE(SUBSTITUTE(SUBSTITUTE(INDEX(Hairstyles!$C:$C,MATCH($B957,Hairstyles!$F:$F,0)),"" "",""""),""'"",""""),""("",""""),"")"",""""),""-"",""_"")&amp;""_""&amp;$A$2)"),"")</f>
        <v/>
      </c>
      <c r="D957" s="12" t="str">
        <f t="shared" si="1"/>
        <v/>
      </c>
    </row>
    <row r="958">
      <c r="C958" s="12" t="str">
        <f>IFERROR(__xludf.DUMMYFUNCTION("IF($B958="""","""",SUBSTITUTE(SUBSTITUTE(SUBSTITUTE(SUBSTITUTE(INDEX(Hairstyles!$A:$A,MATCH($B958,Hairstyles!$F:$F,0)),"" "",""""),""'"",""""),""("",""""),"")"","""")&amp;""\""&amp;INDEX(SPLIT($A$2,""_""),1)&amp;""\""&amp;INDEX(SPLIT($A$2,""_""),2)&amp;""\""&amp;SUBSTITUTE(SUBST"&amp;"ITUTE(SUBSTITUTE(SUBSTITUTE(SUBSTITUTE(INDEX(Hairstyles!$C:$C,MATCH($B958,Hairstyles!$F:$F,0)),"" "",""""),""'"",""""),""("",""""),"")"",""""),""-"",""_"")&amp;""_""&amp;$A$2)"),"")</f>
        <v/>
      </c>
      <c r="D958" s="12" t="str">
        <f t="shared" si="1"/>
        <v/>
      </c>
    </row>
    <row r="959">
      <c r="C959" s="12" t="str">
        <f>IFERROR(__xludf.DUMMYFUNCTION("IF($B959="""","""",SUBSTITUTE(SUBSTITUTE(SUBSTITUTE(SUBSTITUTE(INDEX(Hairstyles!$A:$A,MATCH($B959,Hairstyles!$F:$F,0)),"" "",""""),""'"",""""),""("",""""),"")"","""")&amp;""\""&amp;INDEX(SPLIT($A$2,""_""),1)&amp;""\""&amp;INDEX(SPLIT($A$2,""_""),2)&amp;""\""&amp;SUBSTITUTE(SUBST"&amp;"ITUTE(SUBSTITUTE(SUBSTITUTE(SUBSTITUTE(INDEX(Hairstyles!$C:$C,MATCH($B959,Hairstyles!$F:$F,0)),"" "",""""),""'"",""""),""("",""""),"")"",""""),""-"",""_"")&amp;""_""&amp;$A$2)"),"")</f>
        <v/>
      </c>
      <c r="D959" s="12" t="str">
        <f t="shared" si="1"/>
        <v/>
      </c>
    </row>
    <row r="960">
      <c r="C960" s="12" t="str">
        <f>IFERROR(__xludf.DUMMYFUNCTION("IF($B960="""","""",SUBSTITUTE(SUBSTITUTE(SUBSTITUTE(SUBSTITUTE(INDEX(Hairstyles!$A:$A,MATCH($B960,Hairstyles!$F:$F,0)),"" "",""""),""'"",""""),""("",""""),"")"","""")&amp;""\""&amp;INDEX(SPLIT($A$2,""_""),1)&amp;""\""&amp;INDEX(SPLIT($A$2,""_""),2)&amp;""\""&amp;SUBSTITUTE(SUBST"&amp;"ITUTE(SUBSTITUTE(SUBSTITUTE(SUBSTITUTE(INDEX(Hairstyles!$C:$C,MATCH($B960,Hairstyles!$F:$F,0)),"" "",""""),""'"",""""),""("",""""),"")"",""""),""-"",""_"")&amp;""_""&amp;$A$2)"),"")</f>
        <v/>
      </c>
      <c r="D960" s="12" t="str">
        <f t="shared" si="1"/>
        <v/>
      </c>
    </row>
    <row r="961">
      <c r="C961" s="12" t="str">
        <f>IFERROR(__xludf.DUMMYFUNCTION("IF($B961="""","""",SUBSTITUTE(SUBSTITUTE(SUBSTITUTE(SUBSTITUTE(INDEX(Hairstyles!$A:$A,MATCH($B961,Hairstyles!$F:$F,0)),"" "",""""),""'"",""""),""("",""""),"")"","""")&amp;""\""&amp;INDEX(SPLIT($A$2,""_""),1)&amp;""\""&amp;INDEX(SPLIT($A$2,""_""),2)&amp;""\""&amp;SUBSTITUTE(SUBST"&amp;"ITUTE(SUBSTITUTE(SUBSTITUTE(SUBSTITUTE(INDEX(Hairstyles!$C:$C,MATCH($B961,Hairstyles!$F:$F,0)),"" "",""""),""'"",""""),""("",""""),"")"",""""),""-"",""_"")&amp;""_""&amp;$A$2)"),"")</f>
        <v/>
      </c>
      <c r="D961" s="12" t="str">
        <f t="shared" si="1"/>
        <v/>
      </c>
    </row>
    <row r="962">
      <c r="C962" s="12" t="str">
        <f>IFERROR(__xludf.DUMMYFUNCTION("IF($B962="""","""",SUBSTITUTE(SUBSTITUTE(SUBSTITUTE(SUBSTITUTE(INDEX(Hairstyles!$A:$A,MATCH($B962,Hairstyles!$F:$F,0)),"" "",""""),""'"",""""),""("",""""),"")"","""")&amp;""\""&amp;INDEX(SPLIT($A$2,""_""),1)&amp;""\""&amp;INDEX(SPLIT($A$2,""_""),2)&amp;""\""&amp;SUBSTITUTE(SUBST"&amp;"ITUTE(SUBSTITUTE(SUBSTITUTE(SUBSTITUTE(INDEX(Hairstyles!$C:$C,MATCH($B962,Hairstyles!$F:$F,0)),"" "",""""),""'"",""""),""("",""""),"")"",""""),""-"",""_"")&amp;""_""&amp;$A$2)"),"")</f>
        <v/>
      </c>
      <c r="D962" s="12" t="str">
        <f t="shared" si="1"/>
        <v/>
      </c>
    </row>
    <row r="963">
      <c r="C963" s="12" t="str">
        <f>IFERROR(__xludf.DUMMYFUNCTION("IF($B963="""","""",SUBSTITUTE(SUBSTITUTE(SUBSTITUTE(SUBSTITUTE(INDEX(Hairstyles!$A:$A,MATCH($B963,Hairstyles!$F:$F,0)),"" "",""""),""'"",""""),""("",""""),"")"","""")&amp;""\""&amp;INDEX(SPLIT($A$2,""_""),1)&amp;""\""&amp;INDEX(SPLIT($A$2,""_""),2)&amp;""\""&amp;SUBSTITUTE(SUBST"&amp;"ITUTE(SUBSTITUTE(SUBSTITUTE(SUBSTITUTE(INDEX(Hairstyles!$C:$C,MATCH($B963,Hairstyles!$F:$F,0)),"" "",""""),""'"",""""),""("",""""),"")"",""""),""-"",""_"")&amp;""_""&amp;$A$2)"),"")</f>
        <v/>
      </c>
      <c r="D963" s="12" t="str">
        <f t="shared" si="1"/>
        <v/>
      </c>
    </row>
    <row r="964">
      <c r="C964" s="12" t="str">
        <f>IFERROR(__xludf.DUMMYFUNCTION("IF($B964="""","""",SUBSTITUTE(SUBSTITUTE(SUBSTITUTE(SUBSTITUTE(INDEX(Hairstyles!$A:$A,MATCH($B964,Hairstyles!$F:$F,0)),"" "",""""),""'"",""""),""("",""""),"")"","""")&amp;""\""&amp;INDEX(SPLIT($A$2,""_""),1)&amp;""\""&amp;INDEX(SPLIT($A$2,""_""),2)&amp;""\""&amp;SUBSTITUTE(SUBST"&amp;"ITUTE(SUBSTITUTE(SUBSTITUTE(SUBSTITUTE(INDEX(Hairstyles!$C:$C,MATCH($B964,Hairstyles!$F:$F,0)),"" "",""""),""'"",""""),""("",""""),"")"",""""),""-"",""_"")&amp;""_""&amp;$A$2)"),"")</f>
        <v/>
      </c>
      <c r="D964" s="12" t="str">
        <f t="shared" si="1"/>
        <v/>
      </c>
    </row>
    <row r="965">
      <c r="C965" s="12" t="str">
        <f>IFERROR(__xludf.DUMMYFUNCTION("IF($B965="""","""",SUBSTITUTE(SUBSTITUTE(SUBSTITUTE(SUBSTITUTE(INDEX(Hairstyles!$A:$A,MATCH($B965,Hairstyles!$F:$F,0)),"" "",""""),""'"",""""),""("",""""),"")"","""")&amp;""\""&amp;INDEX(SPLIT($A$2,""_""),1)&amp;""\""&amp;INDEX(SPLIT($A$2,""_""),2)&amp;""\""&amp;SUBSTITUTE(SUBST"&amp;"ITUTE(SUBSTITUTE(SUBSTITUTE(SUBSTITUTE(INDEX(Hairstyles!$C:$C,MATCH($B965,Hairstyles!$F:$F,0)),"" "",""""),""'"",""""),""("",""""),"")"",""""),""-"",""_"")&amp;""_""&amp;$A$2)"),"")</f>
        <v/>
      </c>
      <c r="D965" s="12" t="str">
        <f t="shared" si="1"/>
        <v/>
      </c>
    </row>
    <row r="966">
      <c r="C966" s="12" t="str">
        <f>IFERROR(__xludf.DUMMYFUNCTION("IF($B966="""","""",SUBSTITUTE(SUBSTITUTE(SUBSTITUTE(SUBSTITUTE(INDEX(Hairstyles!$A:$A,MATCH($B966,Hairstyles!$F:$F,0)),"" "",""""),""'"",""""),""("",""""),"")"","""")&amp;""\""&amp;INDEX(SPLIT($A$2,""_""),1)&amp;""\""&amp;INDEX(SPLIT($A$2,""_""),2)&amp;""\""&amp;SUBSTITUTE(SUBST"&amp;"ITUTE(SUBSTITUTE(SUBSTITUTE(SUBSTITUTE(INDEX(Hairstyles!$C:$C,MATCH($B966,Hairstyles!$F:$F,0)),"" "",""""),""'"",""""),""("",""""),"")"",""""),""-"",""_"")&amp;""_""&amp;$A$2)"),"")</f>
        <v/>
      </c>
      <c r="D966" s="12" t="str">
        <f t="shared" si="1"/>
        <v/>
      </c>
    </row>
    <row r="967">
      <c r="C967" s="12" t="str">
        <f>IFERROR(__xludf.DUMMYFUNCTION("IF($B967="""","""",SUBSTITUTE(SUBSTITUTE(SUBSTITUTE(SUBSTITUTE(INDEX(Hairstyles!$A:$A,MATCH($B967,Hairstyles!$F:$F,0)),"" "",""""),""'"",""""),""("",""""),"")"","""")&amp;""\""&amp;INDEX(SPLIT($A$2,""_""),1)&amp;""\""&amp;INDEX(SPLIT($A$2,""_""),2)&amp;""\""&amp;SUBSTITUTE(SUBST"&amp;"ITUTE(SUBSTITUTE(SUBSTITUTE(SUBSTITUTE(INDEX(Hairstyles!$C:$C,MATCH($B967,Hairstyles!$F:$F,0)),"" "",""""),""'"",""""),""("",""""),"")"",""""),""-"",""_"")&amp;""_""&amp;$A$2)"),"")</f>
        <v/>
      </c>
      <c r="D967" s="12" t="str">
        <f t="shared" si="1"/>
        <v/>
      </c>
    </row>
    <row r="968">
      <c r="C968" s="12" t="str">
        <f>IFERROR(__xludf.DUMMYFUNCTION("IF($B968="""","""",SUBSTITUTE(SUBSTITUTE(SUBSTITUTE(SUBSTITUTE(INDEX(Hairstyles!$A:$A,MATCH($B968,Hairstyles!$F:$F,0)),"" "",""""),""'"",""""),""("",""""),"")"","""")&amp;""\""&amp;INDEX(SPLIT($A$2,""_""),1)&amp;""\""&amp;INDEX(SPLIT($A$2,""_""),2)&amp;""\""&amp;SUBSTITUTE(SUBST"&amp;"ITUTE(SUBSTITUTE(SUBSTITUTE(SUBSTITUTE(INDEX(Hairstyles!$C:$C,MATCH($B968,Hairstyles!$F:$F,0)),"" "",""""),""'"",""""),""("",""""),"")"",""""),""-"",""_"")&amp;""_""&amp;$A$2)"),"")</f>
        <v/>
      </c>
      <c r="D968" s="12" t="str">
        <f t="shared" si="1"/>
        <v/>
      </c>
    </row>
    <row r="969">
      <c r="C969" s="12" t="str">
        <f>IFERROR(__xludf.DUMMYFUNCTION("IF($B969="""","""",SUBSTITUTE(SUBSTITUTE(SUBSTITUTE(SUBSTITUTE(INDEX(Hairstyles!$A:$A,MATCH($B969,Hairstyles!$F:$F,0)),"" "",""""),""'"",""""),""("",""""),"")"","""")&amp;""\""&amp;INDEX(SPLIT($A$2,""_""),1)&amp;""\""&amp;INDEX(SPLIT($A$2,""_""),2)&amp;""\""&amp;SUBSTITUTE(SUBST"&amp;"ITUTE(SUBSTITUTE(SUBSTITUTE(SUBSTITUTE(INDEX(Hairstyles!$C:$C,MATCH($B969,Hairstyles!$F:$F,0)),"" "",""""),""'"",""""),""("",""""),"")"",""""),""-"",""_"")&amp;""_""&amp;$A$2)"),"")</f>
        <v/>
      </c>
      <c r="D969" s="12" t="str">
        <f t="shared" si="1"/>
        <v/>
      </c>
    </row>
    <row r="970">
      <c r="C970" s="12" t="str">
        <f>IFERROR(__xludf.DUMMYFUNCTION("IF($B970="""","""",SUBSTITUTE(SUBSTITUTE(SUBSTITUTE(SUBSTITUTE(INDEX(Hairstyles!$A:$A,MATCH($B970,Hairstyles!$F:$F,0)),"" "",""""),""'"",""""),""("",""""),"")"","""")&amp;""\""&amp;INDEX(SPLIT($A$2,""_""),1)&amp;""\""&amp;INDEX(SPLIT($A$2,""_""),2)&amp;""\""&amp;SUBSTITUTE(SUBST"&amp;"ITUTE(SUBSTITUTE(SUBSTITUTE(SUBSTITUTE(INDEX(Hairstyles!$C:$C,MATCH($B970,Hairstyles!$F:$F,0)),"" "",""""),""'"",""""),""("",""""),"")"",""""),""-"",""_"")&amp;""_""&amp;$A$2)"),"")</f>
        <v/>
      </c>
      <c r="D970" s="12" t="str">
        <f t="shared" si="1"/>
        <v/>
      </c>
    </row>
    <row r="971">
      <c r="C971" s="12" t="str">
        <f>IFERROR(__xludf.DUMMYFUNCTION("IF($B971="""","""",SUBSTITUTE(SUBSTITUTE(SUBSTITUTE(SUBSTITUTE(INDEX(Hairstyles!$A:$A,MATCH($B971,Hairstyles!$F:$F,0)),"" "",""""),""'"",""""),""("",""""),"")"","""")&amp;""\""&amp;INDEX(SPLIT($A$2,""_""),1)&amp;""\""&amp;INDEX(SPLIT($A$2,""_""),2)&amp;""\""&amp;SUBSTITUTE(SUBST"&amp;"ITUTE(SUBSTITUTE(SUBSTITUTE(SUBSTITUTE(INDEX(Hairstyles!$C:$C,MATCH($B971,Hairstyles!$F:$F,0)),"" "",""""),""'"",""""),""("",""""),"")"",""""),""-"",""_"")&amp;""_""&amp;$A$2)"),"")</f>
        <v/>
      </c>
      <c r="D971" s="12" t="str">
        <f t="shared" si="1"/>
        <v/>
      </c>
    </row>
    <row r="972">
      <c r="C972" s="12" t="str">
        <f>IFERROR(__xludf.DUMMYFUNCTION("IF($B972="""","""",SUBSTITUTE(SUBSTITUTE(SUBSTITUTE(SUBSTITUTE(INDEX(Hairstyles!$A:$A,MATCH($B972,Hairstyles!$F:$F,0)),"" "",""""),""'"",""""),""("",""""),"")"","""")&amp;""\""&amp;INDEX(SPLIT($A$2,""_""),1)&amp;""\""&amp;INDEX(SPLIT($A$2,""_""),2)&amp;""\""&amp;SUBSTITUTE(SUBST"&amp;"ITUTE(SUBSTITUTE(SUBSTITUTE(SUBSTITUTE(INDEX(Hairstyles!$C:$C,MATCH($B972,Hairstyles!$F:$F,0)),"" "",""""),""'"",""""),""("",""""),"")"",""""),""-"",""_"")&amp;""_""&amp;$A$2)"),"")</f>
        <v/>
      </c>
      <c r="D972" s="12" t="str">
        <f t="shared" si="1"/>
        <v/>
      </c>
    </row>
    <row r="973">
      <c r="C973" s="12" t="str">
        <f>IFERROR(__xludf.DUMMYFUNCTION("IF($B973="""","""",SUBSTITUTE(SUBSTITUTE(SUBSTITUTE(SUBSTITUTE(INDEX(Hairstyles!$A:$A,MATCH($B973,Hairstyles!$F:$F,0)),"" "",""""),""'"",""""),""("",""""),"")"","""")&amp;""\""&amp;INDEX(SPLIT($A$2,""_""),1)&amp;""\""&amp;INDEX(SPLIT($A$2,""_""),2)&amp;""\""&amp;SUBSTITUTE(SUBST"&amp;"ITUTE(SUBSTITUTE(SUBSTITUTE(SUBSTITUTE(INDEX(Hairstyles!$C:$C,MATCH($B973,Hairstyles!$F:$F,0)),"" "",""""),""'"",""""),""("",""""),"")"",""""),""-"",""_"")&amp;""_""&amp;$A$2)"),"")</f>
        <v/>
      </c>
      <c r="D973" s="12" t="str">
        <f t="shared" si="1"/>
        <v/>
      </c>
    </row>
    <row r="974">
      <c r="C974" s="12" t="str">
        <f>IFERROR(__xludf.DUMMYFUNCTION("IF($B974="""","""",SUBSTITUTE(SUBSTITUTE(SUBSTITUTE(SUBSTITUTE(INDEX(Hairstyles!$A:$A,MATCH($B974,Hairstyles!$F:$F,0)),"" "",""""),""'"",""""),""("",""""),"")"","""")&amp;""\""&amp;INDEX(SPLIT($A$2,""_""),1)&amp;""\""&amp;INDEX(SPLIT($A$2,""_""),2)&amp;""\""&amp;SUBSTITUTE(SUBST"&amp;"ITUTE(SUBSTITUTE(SUBSTITUTE(SUBSTITUTE(INDEX(Hairstyles!$C:$C,MATCH($B974,Hairstyles!$F:$F,0)),"" "",""""),""'"",""""),""("",""""),"")"",""""),""-"",""_"")&amp;""_""&amp;$A$2)"),"")</f>
        <v/>
      </c>
      <c r="D974" s="12" t="str">
        <f t="shared" si="1"/>
        <v/>
      </c>
    </row>
    <row r="975">
      <c r="C975" s="12" t="str">
        <f>IFERROR(__xludf.DUMMYFUNCTION("IF($B975="""","""",SUBSTITUTE(SUBSTITUTE(SUBSTITUTE(SUBSTITUTE(INDEX(Hairstyles!$A:$A,MATCH($B975,Hairstyles!$F:$F,0)),"" "",""""),""'"",""""),""("",""""),"")"","""")&amp;""\""&amp;INDEX(SPLIT($A$2,""_""),1)&amp;""\""&amp;INDEX(SPLIT($A$2,""_""),2)&amp;""\""&amp;SUBSTITUTE(SUBST"&amp;"ITUTE(SUBSTITUTE(SUBSTITUTE(SUBSTITUTE(INDEX(Hairstyles!$C:$C,MATCH($B975,Hairstyles!$F:$F,0)),"" "",""""),""'"",""""),""("",""""),"")"",""""),""-"",""_"")&amp;""_""&amp;$A$2)"),"")</f>
        <v/>
      </c>
      <c r="D975" s="12" t="str">
        <f t="shared" si="1"/>
        <v/>
      </c>
    </row>
    <row r="976">
      <c r="C976" s="12" t="str">
        <f>IFERROR(__xludf.DUMMYFUNCTION("IF($B976="""","""",SUBSTITUTE(SUBSTITUTE(SUBSTITUTE(SUBSTITUTE(INDEX(Hairstyles!$A:$A,MATCH($B976,Hairstyles!$F:$F,0)),"" "",""""),""'"",""""),""("",""""),"")"","""")&amp;""\""&amp;INDEX(SPLIT($A$2,""_""),1)&amp;""\""&amp;INDEX(SPLIT($A$2,""_""),2)&amp;""\""&amp;SUBSTITUTE(SUBST"&amp;"ITUTE(SUBSTITUTE(SUBSTITUTE(SUBSTITUTE(INDEX(Hairstyles!$C:$C,MATCH($B976,Hairstyles!$F:$F,0)),"" "",""""),""'"",""""),""("",""""),"")"",""""),""-"",""_"")&amp;""_""&amp;$A$2)"),"")</f>
        <v/>
      </c>
      <c r="D976" s="12" t="str">
        <f t="shared" si="1"/>
        <v/>
      </c>
    </row>
    <row r="977">
      <c r="C977" s="12" t="str">
        <f>IFERROR(__xludf.DUMMYFUNCTION("IF($B977="""","""",SUBSTITUTE(SUBSTITUTE(SUBSTITUTE(SUBSTITUTE(INDEX(Hairstyles!$A:$A,MATCH($B977,Hairstyles!$F:$F,0)),"" "",""""),""'"",""""),""("",""""),"")"","""")&amp;""\""&amp;INDEX(SPLIT($A$2,""_""),1)&amp;""\""&amp;INDEX(SPLIT($A$2,""_""),2)&amp;""\""&amp;SUBSTITUTE(SUBST"&amp;"ITUTE(SUBSTITUTE(SUBSTITUTE(SUBSTITUTE(INDEX(Hairstyles!$C:$C,MATCH($B977,Hairstyles!$F:$F,0)),"" "",""""),""'"",""""),""("",""""),"")"",""""),""-"",""_"")&amp;""_""&amp;$A$2)"),"")</f>
        <v/>
      </c>
      <c r="D977" s="12" t="str">
        <f t="shared" si="1"/>
        <v/>
      </c>
    </row>
    <row r="978">
      <c r="C978" s="12" t="str">
        <f>IFERROR(__xludf.DUMMYFUNCTION("IF($B978="""","""",SUBSTITUTE(SUBSTITUTE(SUBSTITUTE(SUBSTITUTE(INDEX(Hairstyles!$A:$A,MATCH($B978,Hairstyles!$F:$F,0)),"" "",""""),""'"",""""),""("",""""),"")"","""")&amp;""\""&amp;INDEX(SPLIT($A$2,""_""),1)&amp;""\""&amp;INDEX(SPLIT($A$2,""_""),2)&amp;""\""&amp;SUBSTITUTE(SUBST"&amp;"ITUTE(SUBSTITUTE(SUBSTITUTE(SUBSTITUTE(INDEX(Hairstyles!$C:$C,MATCH($B978,Hairstyles!$F:$F,0)),"" "",""""),""'"",""""),""("",""""),"")"",""""),""-"",""_"")&amp;""_""&amp;$A$2)"),"")</f>
        <v/>
      </c>
      <c r="D978" s="12" t="str">
        <f t="shared" si="1"/>
        <v/>
      </c>
    </row>
    <row r="979">
      <c r="C979" s="12" t="str">
        <f>IFERROR(__xludf.DUMMYFUNCTION("IF($B979="""","""",SUBSTITUTE(SUBSTITUTE(SUBSTITUTE(SUBSTITUTE(INDEX(Hairstyles!$A:$A,MATCH($B979,Hairstyles!$F:$F,0)),"" "",""""),""'"",""""),""("",""""),"")"","""")&amp;""\""&amp;INDEX(SPLIT($A$2,""_""),1)&amp;""\""&amp;INDEX(SPLIT($A$2,""_""),2)&amp;""\""&amp;SUBSTITUTE(SUBST"&amp;"ITUTE(SUBSTITUTE(SUBSTITUTE(SUBSTITUTE(INDEX(Hairstyles!$C:$C,MATCH($B979,Hairstyles!$F:$F,0)),"" "",""""),""'"",""""),""("",""""),"")"",""""),""-"",""_"")&amp;""_""&amp;$A$2)"),"")</f>
        <v/>
      </c>
      <c r="D979" s="12" t="str">
        <f t="shared" si="1"/>
        <v/>
      </c>
    </row>
    <row r="980">
      <c r="C980" s="12" t="str">
        <f>IFERROR(__xludf.DUMMYFUNCTION("IF($B980="""","""",SUBSTITUTE(SUBSTITUTE(SUBSTITUTE(SUBSTITUTE(INDEX(Hairstyles!$A:$A,MATCH($B980,Hairstyles!$F:$F,0)),"" "",""""),""'"",""""),""("",""""),"")"","""")&amp;""\""&amp;INDEX(SPLIT($A$2,""_""),1)&amp;""\""&amp;INDEX(SPLIT($A$2,""_""),2)&amp;""\""&amp;SUBSTITUTE(SUBST"&amp;"ITUTE(SUBSTITUTE(SUBSTITUTE(SUBSTITUTE(INDEX(Hairstyles!$C:$C,MATCH($B980,Hairstyles!$F:$F,0)),"" "",""""),""'"",""""),""("",""""),"")"",""""),""-"",""_"")&amp;""_""&amp;$A$2)"),"")</f>
        <v/>
      </c>
      <c r="D980" s="12" t="str">
        <f t="shared" si="1"/>
        <v/>
      </c>
    </row>
    <row r="981">
      <c r="C981" s="12" t="str">
        <f>IFERROR(__xludf.DUMMYFUNCTION("IF($B981="""","""",SUBSTITUTE(SUBSTITUTE(SUBSTITUTE(SUBSTITUTE(INDEX(Hairstyles!$A:$A,MATCH($B981,Hairstyles!$F:$F,0)),"" "",""""),""'"",""""),""("",""""),"")"","""")&amp;""\""&amp;INDEX(SPLIT($A$2,""_""),1)&amp;""\""&amp;INDEX(SPLIT($A$2,""_""),2)&amp;""\""&amp;SUBSTITUTE(SUBST"&amp;"ITUTE(SUBSTITUTE(SUBSTITUTE(SUBSTITUTE(INDEX(Hairstyles!$C:$C,MATCH($B981,Hairstyles!$F:$F,0)),"" "",""""),""'"",""""),""("",""""),"")"",""""),""-"",""_"")&amp;""_""&amp;$A$2)"),"")</f>
        <v/>
      </c>
      <c r="D981" s="12" t="str">
        <f t="shared" si="1"/>
        <v/>
      </c>
    </row>
    <row r="982">
      <c r="C982" s="12" t="str">
        <f>IFERROR(__xludf.DUMMYFUNCTION("IF($B982="""","""",SUBSTITUTE(SUBSTITUTE(SUBSTITUTE(SUBSTITUTE(INDEX(Hairstyles!$A:$A,MATCH($B982,Hairstyles!$F:$F,0)),"" "",""""),""'"",""""),""("",""""),"")"","""")&amp;""\""&amp;INDEX(SPLIT($A$2,""_""),1)&amp;""\""&amp;INDEX(SPLIT($A$2,""_""),2)&amp;""\""&amp;SUBSTITUTE(SUBST"&amp;"ITUTE(SUBSTITUTE(SUBSTITUTE(SUBSTITUTE(INDEX(Hairstyles!$C:$C,MATCH($B982,Hairstyles!$F:$F,0)),"" "",""""),""'"",""""),""("",""""),"")"",""""),""-"",""_"")&amp;""_""&amp;$A$2)"),"")</f>
        <v/>
      </c>
      <c r="D982" s="12" t="str">
        <f t="shared" si="1"/>
        <v/>
      </c>
    </row>
    <row r="983">
      <c r="C983" s="12" t="str">
        <f>IFERROR(__xludf.DUMMYFUNCTION("IF($B983="""","""",SUBSTITUTE(SUBSTITUTE(SUBSTITUTE(SUBSTITUTE(INDEX(Hairstyles!$A:$A,MATCH($B983,Hairstyles!$F:$F,0)),"" "",""""),""'"",""""),""("",""""),"")"","""")&amp;""\""&amp;INDEX(SPLIT($A$2,""_""),1)&amp;""\""&amp;INDEX(SPLIT($A$2,""_""),2)&amp;""\""&amp;SUBSTITUTE(SUBST"&amp;"ITUTE(SUBSTITUTE(SUBSTITUTE(SUBSTITUTE(INDEX(Hairstyles!$C:$C,MATCH($B983,Hairstyles!$F:$F,0)),"" "",""""),""'"",""""),""("",""""),"")"",""""),""-"",""_"")&amp;""_""&amp;$A$2)"),"")</f>
        <v/>
      </c>
      <c r="D983" s="12" t="str">
        <f t="shared" si="1"/>
        <v/>
      </c>
    </row>
    <row r="984">
      <c r="C984" s="12" t="str">
        <f>IFERROR(__xludf.DUMMYFUNCTION("IF($B984="""","""",SUBSTITUTE(SUBSTITUTE(SUBSTITUTE(SUBSTITUTE(INDEX(Hairstyles!$A:$A,MATCH($B984,Hairstyles!$F:$F,0)),"" "",""""),""'"",""""),""("",""""),"")"","""")&amp;""\""&amp;INDEX(SPLIT($A$2,""_""),1)&amp;""\""&amp;INDEX(SPLIT($A$2,""_""),2)&amp;""\""&amp;SUBSTITUTE(SUBST"&amp;"ITUTE(SUBSTITUTE(SUBSTITUTE(SUBSTITUTE(INDEX(Hairstyles!$C:$C,MATCH($B984,Hairstyles!$F:$F,0)),"" "",""""),""'"",""""),""("",""""),"")"",""""),""-"",""_"")&amp;""_""&amp;$A$2)"),"")</f>
        <v/>
      </c>
      <c r="D984" s="12" t="str">
        <f t="shared" si="1"/>
        <v/>
      </c>
    </row>
    <row r="985">
      <c r="C985" s="12" t="str">
        <f>IFERROR(__xludf.DUMMYFUNCTION("IF($B985="""","""",SUBSTITUTE(SUBSTITUTE(SUBSTITUTE(SUBSTITUTE(INDEX(Hairstyles!$A:$A,MATCH($B985,Hairstyles!$F:$F,0)),"" "",""""),""'"",""""),""("",""""),"")"","""")&amp;""\""&amp;INDEX(SPLIT($A$2,""_""),1)&amp;""\""&amp;INDEX(SPLIT($A$2,""_""),2)&amp;""\""&amp;SUBSTITUTE(SUBST"&amp;"ITUTE(SUBSTITUTE(SUBSTITUTE(SUBSTITUTE(INDEX(Hairstyles!$C:$C,MATCH($B985,Hairstyles!$F:$F,0)),"" "",""""),""'"",""""),""("",""""),"")"",""""),""-"",""_"")&amp;""_""&amp;$A$2)"),"")</f>
        <v/>
      </c>
      <c r="D985" s="12" t="str">
        <f t="shared" si="1"/>
        <v/>
      </c>
    </row>
    <row r="986">
      <c r="C986" s="12" t="str">
        <f>IFERROR(__xludf.DUMMYFUNCTION("IF($B986="""","""",SUBSTITUTE(SUBSTITUTE(SUBSTITUTE(SUBSTITUTE(INDEX(Hairstyles!$A:$A,MATCH($B986,Hairstyles!$F:$F,0)),"" "",""""),""'"",""""),""("",""""),"")"","""")&amp;""\""&amp;INDEX(SPLIT($A$2,""_""),1)&amp;""\""&amp;INDEX(SPLIT($A$2,""_""),2)&amp;""\""&amp;SUBSTITUTE(SUBST"&amp;"ITUTE(SUBSTITUTE(SUBSTITUTE(SUBSTITUTE(INDEX(Hairstyles!$C:$C,MATCH($B986,Hairstyles!$F:$F,0)),"" "",""""),""'"",""""),""("",""""),"")"",""""),""-"",""_"")&amp;""_""&amp;$A$2)"),"")</f>
        <v/>
      </c>
      <c r="D986" s="12" t="str">
        <f t="shared" si="1"/>
        <v/>
      </c>
    </row>
    <row r="987">
      <c r="C987" s="12" t="str">
        <f>IFERROR(__xludf.DUMMYFUNCTION("IF($B987="""","""",SUBSTITUTE(SUBSTITUTE(SUBSTITUTE(SUBSTITUTE(INDEX(Hairstyles!$A:$A,MATCH($B987,Hairstyles!$F:$F,0)),"" "",""""),""'"",""""),""("",""""),"")"","""")&amp;""\""&amp;INDEX(SPLIT($A$2,""_""),1)&amp;""\""&amp;INDEX(SPLIT($A$2,""_""),2)&amp;""\""&amp;SUBSTITUTE(SUBST"&amp;"ITUTE(SUBSTITUTE(SUBSTITUTE(SUBSTITUTE(INDEX(Hairstyles!$C:$C,MATCH($B987,Hairstyles!$F:$F,0)),"" "",""""),""'"",""""),""("",""""),"")"",""""),""-"",""_"")&amp;""_""&amp;$A$2)"),"")</f>
        <v/>
      </c>
      <c r="D987" s="12" t="str">
        <f t="shared" si="1"/>
        <v/>
      </c>
    </row>
    <row r="988">
      <c r="C988" s="12" t="str">
        <f>IFERROR(__xludf.DUMMYFUNCTION("IF($B988="""","""",SUBSTITUTE(SUBSTITUTE(SUBSTITUTE(SUBSTITUTE(INDEX(Hairstyles!$A:$A,MATCH($B988,Hairstyles!$F:$F,0)),"" "",""""),""'"",""""),""("",""""),"")"","""")&amp;""\""&amp;INDEX(SPLIT($A$2,""_""),1)&amp;""\""&amp;INDEX(SPLIT($A$2,""_""),2)&amp;""\""&amp;SUBSTITUTE(SUBST"&amp;"ITUTE(SUBSTITUTE(SUBSTITUTE(SUBSTITUTE(INDEX(Hairstyles!$C:$C,MATCH($B988,Hairstyles!$F:$F,0)),"" "",""""),""'"",""""),""("",""""),"")"",""""),""-"",""_"")&amp;""_""&amp;$A$2)"),"")</f>
        <v/>
      </c>
      <c r="D988" s="12" t="str">
        <f t="shared" si="1"/>
        <v/>
      </c>
    </row>
    <row r="989">
      <c r="C989" s="12" t="str">
        <f>IFERROR(__xludf.DUMMYFUNCTION("IF($B989="""","""",SUBSTITUTE(SUBSTITUTE(SUBSTITUTE(SUBSTITUTE(INDEX(Hairstyles!$A:$A,MATCH($B989,Hairstyles!$F:$F,0)),"" "",""""),""'"",""""),""("",""""),"")"","""")&amp;""\""&amp;INDEX(SPLIT($A$2,""_""),1)&amp;""\""&amp;INDEX(SPLIT($A$2,""_""),2)&amp;""\""&amp;SUBSTITUTE(SUBST"&amp;"ITUTE(SUBSTITUTE(SUBSTITUTE(SUBSTITUTE(INDEX(Hairstyles!$C:$C,MATCH($B989,Hairstyles!$F:$F,0)),"" "",""""),""'"",""""),""("",""""),"")"",""""),""-"",""_"")&amp;""_""&amp;$A$2)"),"")</f>
        <v/>
      </c>
      <c r="D989" s="12" t="str">
        <f t="shared" si="1"/>
        <v/>
      </c>
    </row>
    <row r="990">
      <c r="C990" s="12" t="str">
        <f>IFERROR(__xludf.DUMMYFUNCTION("IF($B990="""","""",SUBSTITUTE(SUBSTITUTE(SUBSTITUTE(SUBSTITUTE(INDEX(Hairstyles!$A:$A,MATCH($B990,Hairstyles!$F:$F,0)),"" "",""""),""'"",""""),""("",""""),"")"","""")&amp;""\""&amp;INDEX(SPLIT($A$2,""_""),1)&amp;""\""&amp;INDEX(SPLIT($A$2,""_""),2)&amp;""\""&amp;SUBSTITUTE(SUBST"&amp;"ITUTE(SUBSTITUTE(SUBSTITUTE(SUBSTITUTE(INDEX(Hairstyles!$C:$C,MATCH($B990,Hairstyles!$F:$F,0)),"" "",""""),""'"",""""),""("",""""),"")"",""""),""-"",""_"")&amp;""_""&amp;$A$2)"),"")</f>
        <v/>
      </c>
      <c r="D990" s="12" t="str">
        <f t="shared" si="1"/>
        <v/>
      </c>
    </row>
    <row r="991">
      <c r="C991" s="12" t="str">
        <f>IFERROR(__xludf.DUMMYFUNCTION("IF($B991="""","""",SUBSTITUTE(SUBSTITUTE(SUBSTITUTE(SUBSTITUTE(INDEX(Hairstyles!$A:$A,MATCH($B991,Hairstyles!$F:$F,0)),"" "",""""),""'"",""""),""("",""""),"")"","""")&amp;""\""&amp;INDEX(SPLIT($A$2,""_""),1)&amp;""\""&amp;INDEX(SPLIT($A$2,""_""),2)&amp;""\""&amp;SUBSTITUTE(SUBST"&amp;"ITUTE(SUBSTITUTE(SUBSTITUTE(SUBSTITUTE(INDEX(Hairstyles!$C:$C,MATCH($B991,Hairstyles!$F:$F,0)),"" "",""""),""'"",""""),""("",""""),"")"",""""),""-"",""_"")&amp;""_""&amp;$A$2)"),"")</f>
        <v/>
      </c>
      <c r="D991" s="12" t="str">
        <f t="shared" si="1"/>
        <v/>
      </c>
    </row>
    <row r="992">
      <c r="C992" s="12" t="str">
        <f>IFERROR(__xludf.DUMMYFUNCTION("IF($B992="""","""",SUBSTITUTE(SUBSTITUTE(SUBSTITUTE(SUBSTITUTE(INDEX(Hairstyles!$A:$A,MATCH($B992,Hairstyles!$F:$F,0)),"" "",""""),""'"",""""),""("",""""),"")"","""")&amp;""\""&amp;INDEX(SPLIT($A$2,""_""),1)&amp;""\""&amp;INDEX(SPLIT($A$2,""_""),2)&amp;""\""&amp;SUBSTITUTE(SUBST"&amp;"ITUTE(SUBSTITUTE(SUBSTITUTE(SUBSTITUTE(INDEX(Hairstyles!$C:$C,MATCH($B992,Hairstyles!$F:$F,0)),"" "",""""),""'"",""""),""("",""""),"")"",""""),""-"",""_"")&amp;""_""&amp;$A$2)"),"")</f>
        <v/>
      </c>
      <c r="D992" s="12" t="str">
        <f t="shared" si="1"/>
        <v/>
      </c>
    </row>
    <row r="993">
      <c r="C993" s="12" t="str">
        <f>IFERROR(__xludf.DUMMYFUNCTION("IF($B993="""","""",SUBSTITUTE(SUBSTITUTE(SUBSTITUTE(SUBSTITUTE(INDEX(Hairstyles!$A:$A,MATCH($B993,Hairstyles!$F:$F,0)),"" "",""""),""'"",""""),""("",""""),"")"","""")&amp;""\""&amp;INDEX(SPLIT($A$2,""_""),1)&amp;""\""&amp;INDEX(SPLIT($A$2,""_""),2)&amp;""\""&amp;SUBSTITUTE(SUBST"&amp;"ITUTE(SUBSTITUTE(SUBSTITUTE(SUBSTITUTE(INDEX(Hairstyles!$C:$C,MATCH($B993,Hairstyles!$F:$F,0)),"" "",""""),""'"",""""),""("",""""),"")"",""""),""-"",""_"")&amp;""_""&amp;$A$2)"),"")</f>
        <v/>
      </c>
      <c r="D993" s="12" t="str">
        <f t="shared" si="1"/>
        <v/>
      </c>
    </row>
    <row r="994">
      <c r="C994" s="12" t="str">
        <f>IFERROR(__xludf.DUMMYFUNCTION("IF($B994="""","""",SUBSTITUTE(SUBSTITUTE(SUBSTITUTE(SUBSTITUTE(INDEX(Hairstyles!$A:$A,MATCH($B994,Hairstyles!$F:$F,0)),"" "",""""),""'"",""""),""("",""""),"")"","""")&amp;""\""&amp;INDEX(SPLIT($A$2,""_""),1)&amp;""\""&amp;INDEX(SPLIT($A$2,""_""),2)&amp;""\""&amp;SUBSTITUTE(SUBST"&amp;"ITUTE(SUBSTITUTE(SUBSTITUTE(SUBSTITUTE(INDEX(Hairstyles!$C:$C,MATCH($B994,Hairstyles!$F:$F,0)),"" "",""""),""'"",""""),""("",""""),"")"",""""),""-"",""_"")&amp;""_""&amp;$A$2)"),"")</f>
        <v/>
      </c>
      <c r="D994" s="12" t="str">
        <f t="shared" si="1"/>
        <v/>
      </c>
    </row>
    <row r="995">
      <c r="C995" s="12" t="str">
        <f>IFERROR(__xludf.DUMMYFUNCTION("IF($B995="""","""",SUBSTITUTE(SUBSTITUTE(SUBSTITUTE(SUBSTITUTE(INDEX(Hairstyles!$A:$A,MATCH($B995,Hairstyles!$F:$F,0)),"" "",""""),""'"",""""),""("",""""),"")"","""")&amp;""\""&amp;INDEX(SPLIT($A$2,""_""),1)&amp;""\""&amp;INDEX(SPLIT($A$2,""_""),2)&amp;""\""&amp;SUBSTITUTE(SUBST"&amp;"ITUTE(SUBSTITUTE(SUBSTITUTE(SUBSTITUTE(INDEX(Hairstyles!$C:$C,MATCH($B995,Hairstyles!$F:$F,0)),"" "",""""),""'"",""""),""("",""""),"")"",""""),""-"",""_"")&amp;""_""&amp;$A$2)"),"")</f>
        <v/>
      </c>
      <c r="D995" s="12" t="str">
        <f t="shared" si="1"/>
        <v/>
      </c>
    </row>
    <row r="996">
      <c r="C996" s="12" t="str">
        <f>IFERROR(__xludf.DUMMYFUNCTION("IF($B996="""","""",SUBSTITUTE(SUBSTITUTE(SUBSTITUTE(SUBSTITUTE(INDEX(Hairstyles!$A:$A,MATCH($B996,Hairstyles!$F:$F,0)),"" "",""""),""'"",""""),""("",""""),"")"","""")&amp;""\""&amp;INDEX(SPLIT($A$2,""_""),1)&amp;""\""&amp;INDEX(SPLIT($A$2,""_""),2)&amp;""\""&amp;SUBSTITUTE(SUBST"&amp;"ITUTE(SUBSTITUTE(SUBSTITUTE(SUBSTITUTE(INDEX(Hairstyles!$C:$C,MATCH($B996,Hairstyles!$F:$F,0)),"" "",""""),""'"",""""),""("",""""),"")"",""""),""-"",""_"")&amp;""_""&amp;$A$2)"),"")</f>
        <v/>
      </c>
      <c r="D996" s="12" t="str">
        <f t="shared" si="1"/>
        <v/>
      </c>
    </row>
    <row r="997">
      <c r="C997" s="12" t="str">
        <f>IFERROR(__xludf.DUMMYFUNCTION("IF($B997="""","""",SUBSTITUTE(SUBSTITUTE(SUBSTITUTE(SUBSTITUTE(INDEX(Hairstyles!$A:$A,MATCH($B997,Hairstyles!$F:$F,0)),"" "",""""),""'"",""""),""("",""""),"")"","""")&amp;""\""&amp;INDEX(SPLIT($A$2,""_""),1)&amp;""\""&amp;INDEX(SPLIT($A$2,""_""),2)&amp;""\""&amp;SUBSTITUTE(SUBST"&amp;"ITUTE(SUBSTITUTE(SUBSTITUTE(SUBSTITUTE(INDEX(Hairstyles!$C:$C,MATCH($B997,Hairstyles!$F:$F,0)),"" "",""""),""'"",""""),""("",""""),"")"",""""),""-"",""_"")&amp;""_""&amp;$A$2)"),"")</f>
        <v/>
      </c>
      <c r="D997" s="12" t="str">
        <f t="shared" si="1"/>
        <v/>
      </c>
    </row>
    <row r="998">
      <c r="C998" s="12" t="str">
        <f>IFERROR(__xludf.DUMMYFUNCTION("IF($B998="""","""",SUBSTITUTE(SUBSTITUTE(SUBSTITUTE(SUBSTITUTE(INDEX(Hairstyles!$A:$A,MATCH($B998,Hairstyles!$F:$F,0)),"" "",""""),""'"",""""),""("",""""),"")"","""")&amp;""\""&amp;INDEX(SPLIT($A$2,""_""),1)&amp;""\""&amp;INDEX(SPLIT($A$2,""_""),2)&amp;""\""&amp;SUBSTITUTE(SUBST"&amp;"ITUTE(SUBSTITUTE(SUBSTITUTE(SUBSTITUTE(INDEX(Hairstyles!$C:$C,MATCH($B998,Hairstyles!$F:$F,0)),"" "",""""),""'"",""""),""("",""""),"")"",""""),""-"",""_"")&amp;""_""&amp;$A$2)"),"")</f>
        <v/>
      </c>
      <c r="D998" s="12" t="str">
        <f t="shared" si="1"/>
        <v/>
      </c>
    </row>
    <row r="999">
      <c r="C999" s="12" t="str">
        <f>IFERROR(__xludf.DUMMYFUNCTION("IF($B999="""","""",SUBSTITUTE(SUBSTITUTE(SUBSTITUTE(SUBSTITUTE(INDEX(Hairstyles!$A:$A,MATCH($B999,Hairstyles!$F:$F,0)),"" "",""""),""'"",""""),""("",""""),"")"","""")&amp;""\""&amp;INDEX(SPLIT($A$2,""_""),1)&amp;""\""&amp;INDEX(SPLIT($A$2,""_""),2)&amp;""\""&amp;SUBSTITUTE(SUBST"&amp;"ITUTE(SUBSTITUTE(SUBSTITUTE(SUBSTITUTE(INDEX(Hairstyles!$C:$C,MATCH($B999,Hairstyles!$F:$F,0)),"" "",""""),""'"",""""),""("",""""),"")"",""""),""-"",""_"")&amp;""_""&amp;$A$2)"),"")</f>
        <v/>
      </c>
      <c r="D999" s="12" t="str">
        <f t="shared" si="1"/>
        <v/>
      </c>
    </row>
    <row r="1000">
      <c r="C1000" s="12" t="str">
        <f>IFERROR(__xludf.DUMMYFUNCTION("IF($B1000="""","""",SUBSTITUTE(SUBSTITUTE(SUBSTITUTE(SUBSTITUTE(INDEX(Hairstyles!$A:$A,MATCH($B1000,Hairstyles!$F:$F,0)),"" "",""""),""'"",""""),""("",""""),"")"","""")&amp;""\""&amp;INDEX(SPLIT($A$2,""_""),1)&amp;""\""&amp;INDEX(SPLIT($A$2,""_""),2)&amp;""\""&amp;SUBSTITUTE(SUB"&amp;"STITUTE(SUBSTITUTE(SUBSTITUTE(SUBSTITUTE(INDEX(Hairstyles!$C:$C,MATCH($B1000,Hairstyles!$F:$F,0)),"" "",""""),""'"",""""),""("",""""),"")"",""""),""-"",""_"")&amp;""_""&amp;$A$2)"),"")</f>
        <v/>
      </c>
      <c r="D1000" s="12" t="str">
        <f t="shared" si="1"/>
        <v/>
      </c>
    </row>
  </sheetData>
  <drawing r:id="rId1"/>
</worksheet>
</file>